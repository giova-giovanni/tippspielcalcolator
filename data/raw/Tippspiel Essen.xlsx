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giovanni\Desktop\"/>
    </mc:Choice>
  </mc:AlternateContent>
  <xr:revisionPtr revIDLastSave="0" documentId="13_ncr:1_{F6BE54EE-F9EA-4EB8-B963-2195789473DC}" xr6:coauthVersionLast="47" xr6:coauthVersionMax="47" xr10:uidLastSave="{00000000-0000-0000-0000-000000000000}"/>
  <bookViews>
    <workbookView xWindow="-120" yWindow="-120" windowWidth="29040" windowHeight="17520" tabRatio="500" activeTab="3" xr2:uid="{00000000-000D-0000-FFFF-FFFF00000000}"/>
  </bookViews>
  <sheets>
    <sheet name="Grafische Darstellung" sheetId="3" r:id="rId1"/>
    <sheet name="2024" sheetId="1" r:id="rId2"/>
    <sheet name="2025" sheetId="4" r:id="rId3"/>
    <sheet name="2026" sheetId="2" r:id="rId4"/>
    <sheet name="Regelwerk" sheetId="5" r:id="rId5"/>
  </sheets>
  <definedNames>
    <definedName name="_xlnm._FilterDatabase" localSheetId="3" hidden="1">'2026'!$A$8:$T$256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202" i="2" l="1"/>
  <c r="R202" i="2"/>
  <c r="L7" i="4"/>
  <c r="P197" i="2"/>
  <c r="G197" i="2"/>
  <c r="F197" i="2"/>
  <c r="E197" i="2"/>
  <c r="H194" i="2"/>
  <c r="T180" i="2"/>
  <c r="L178" i="2"/>
  <c r="S146" i="2"/>
  <c r="R146" i="2"/>
  <c r="Q146" i="2"/>
  <c r="C3" i="5"/>
  <c r="C15" i="5"/>
  <c r="C27" i="5"/>
  <c r="C4" i="5"/>
  <c r="C16" i="5"/>
  <c r="C28" i="5"/>
  <c r="C9" i="5"/>
  <c r="C22" i="5"/>
  <c r="C23" i="5"/>
  <c r="C24" i="5"/>
  <c r="C26" i="5"/>
  <c r="C5" i="5"/>
  <c r="C17" i="5"/>
  <c r="C29" i="5"/>
  <c r="C6" i="5"/>
  <c r="C18" i="5"/>
  <c r="C20" i="5"/>
  <c r="C21" i="5"/>
  <c r="C10" i="5"/>
  <c r="C11" i="5"/>
  <c r="C12" i="5"/>
  <c r="C13" i="5"/>
  <c r="C14" i="5"/>
  <c r="C7" i="5"/>
  <c r="C8" i="5"/>
  <c r="C2" i="5"/>
  <c r="T143" i="2" l="1"/>
  <c r="H138" i="2"/>
  <c r="S138" i="2"/>
  <c r="R138" i="2"/>
  <c r="Q138" i="2"/>
  <c r="P119" i="2"/>
  <c r="S117" i="2" l="1"/>
  <c r="R117" i="2"/>
  <c r="Q117" i="2"/>
  <c r="S114" i="2"/>
  <c r="R114" i="2"/>
  <c r="Q114" i="2"/>
  <c r="S107" i="2"/>
  <c r="T107" i="2" s="1"/>
  <c r="R107" i="2"/>
  <c r="Q107" i="2"/>
  <c r="S99" i="2"/>
  <c r="R99" i="2"/>
  <c r="Q99" i="2"/>
  <c r="S96" i="2"/>
  <c r="R96" i="2"/>
  <c r="T96" i="2" s="1"/>
  <c r="L89" i="2"/>
  <c r="H88" i="2"/>
  <c r="L88" i="2"/>
  <c r="P88" i="2"/>
  <c r="T88" i="2"/>
  <c r="S85" i="2"/>
  <c r="R85" i="2"/>
  <c r="Q85" i="2"/>
  <c r="T85" i="2" s="1"/>
  <c r="P84" i="2"/>
  <c r="L84" i="2"/>
  <c r="H84" i="2"/>
  <c r="S77" i="2"/>
  <c r="R77" i="2"/>
  <c r="Q73" i="2"/>
  <c r="T73" i="2" s="1"/>
  <c r="S70" i="2"/>
  <c r="R70" i="2"/>
  <c r="Q70" i="2"/>
  <c r="S67" i="2"/>
  <c r="T67" i="2" s="1"/>
  <c r="S68" i="2"/>
  <c r="R68" i="2"/>
  <c r="Q68" i="2"/>
  <c r="R65" i="2"/>
  <c r="T65" i="2" s="1"/>
  <c r="S63" i="2"/>
  <c r="R63" i="2"/>
  <c r="H62" i="2"/>
  <c r="Q62" i="2"/>
  <c r="T62" i="2" s="1"/>
  <c r="Q60" i="2"/>
  <c r="S60" i="2"/>
  <c r="R60" i="2"/>
  <c r="S56" i="2"/>
  <c r="R56" i="2"/>
  <c r="Q56" i="2"/>
  <c r="S55" i="2"/>
  <c r="R55" i="2"/>
  <c r="Q55" i="2"/>
  <c r="S54" i="2"/>
  <c r="R54" i="2"/>
  <c r="Q54" i="2"/>
  <c r="S53" i="2"/>
  <c r="R53" i="2"/>
  <c r="Q53" i="2"/>
  <c r="S52" i="2"/>
  <c r="R52" i="2"/>
  <c r="Q52" i="2"/>
  <c r="S51" i="2"/>
  <c r="R51" i="2"/>
  <c r="Q51" i="2"/>
  <c r="S49" i="2"/>
  <c r="R49" i="2"/>
  <c r="Q49" i="2"/>
  <c r="P52" i="2"/>
  <c r="T12"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6" i="2"/>
  <c r="T105" i="2"/>
  <c r="T104" i="2"/>
  <c r="T103" i="2"/>
  <c r="T102" i="2"/>
  <c r="T101" i="2"/>
  <c r="T100" i="2"/>
  <c r="T98" i="2"/>
  <c r="T97" i="2"/>
  <c r="T95" i="2"/>
  <c r="T94" i="2"/>
  <c r="T93" i="2"/>
  <c r="T92" i="2"/>
  <c r="T91" i="2"/>
  <c r="T90" i="2"/>
  <c r="T89" i="2"/>
  <c r="T87" i="2"/>
  <c r="T86" i="2"/>
  <c r="T84" i="2"/>
  <c r="T83" i="2"/>
  <c r="T82" i="2"/>
  <c r="T81" i="2"/>
  <c r="T80" i="2"/>
  <c r="T79" i="2"/>
  <c r="T78" i="2"/>
  <c r="T76" i="2"/>
  <c r="T75" i="2"/>
  <c r="T74" i="2"/>
  <c r="T72" i="2"/>
  <c r="T71" i="2"/>
  <c r="T66" i="2"/>
  <c r="T64" i="2"/>
  <c r="T61" i="2"/>
  <c r="T59" i="2"/>
  <c r="T58" i="2"/>
  <c r="T57" i="2"/>
  <c r="T50"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1" i="2"/>
  <c r="T10" i="2"/>
  <c r="T9" i="2"/>
  <c r="H4" i="3" s="1"/>
  <c r="H39" i="2"/>
  <c r="L39" i="2"/>
  <c r="P39" i="2"/>
  <c r="H40" i="2"/>
  <c r="L40" i="2"/>
  <c r="P40" i="2"/>
  <c r="H41" i="2"/>
  <c r="L41" i="2"/>
  <c r="P41" i="2"/>
  <c r="H42" i="2"/>
  <c r="L42" i="2"/>
  <c r="P42" i="2"/>
  <c r="H43" i="2"/>
  <c r="L43" i="2"/>
  <c r="P43" i="2"/>
  <c r="H44" i="2"/>
  <c r="L44" i="2"/>
  <c r="P44" i="2"/>
  <c r="H45" i="2"/>
  <c r="L45" i="2"/>
  <c r="P45" i="2"/>
  <c r="H46" i="2"/>
  <c r="L46" i="2"/>
  <c r="P46" i="2"/>
  <c r="H47" i="2"/>
  <c r="L47" i="2"/>
  <c r="P47" i="2"/>
  <c r="H48" i="2"/>
  <c r="L48" i="2"/>
  <c r="P48" i="2"/>
  <c r="H49" i="2"/>
  <c r="L49" i="2"/>
  <c r="P49" i="2"/>
  <c r="H50" i="2"/>
  <c r="L50" i="2"/>
  <c r="P50" i="2"/>
  <c r="H51" i="2"/>
  <c r="L51" i="2"/>
  <c r="P51" i="2"/>
  <c r="H52" i="2"/>
  <c r="L52" i="2"/>
  <c r="H53" i="2"/>
  <c r="L53" i="2"/>
  <c r="P53" i="2"/>
  <c r="H54" i="2"/>
  <c r="L54" i="2"/>
  <c r="P54" i="2"/>
  <c r="H55" i="2"/>
  <c r="L55" i="2"/>
  <c r="P55" i="2"/>
  <c r="H56" i="2"/>
  <c r="L56" i="2"/>
  <c r="P56" i="2"/>
  <c r="H57" i="2"/>
  <c r="L57" i="2"/>
  <c r="P57" i="2"/>
  <c r="H58" i="2"/>
  <c r="L58" i="2"/>
  <c r="P58" i="2"/>
  <c r="H59" i="2"/>
  <c r="L59" i="2"/>
  <c r="P59" i="2"/>
  <c r="H60" i="2"/>
  <c r="L60" i="2"/>
  <c r="P60" i="2"/>
  <c r="H61" i="2"/>
  <c r="L61" i="2"/>
  <c r="P61" i="2"/>
  <c r="L62" i="2"/>
  <c r="P62" i="2"/>
  <c r="H63" i="2"/>
  <c r="L63" i="2"/>
  <c r="P63" i="2"/>
  <c r="H64" i="2"/>
  <c r="L64" i="2"/>
  <c r="P64" i="2"/>
  <c r="H65" i="2"/>
  <c r="L65" i="2"/>
  <c r="P65" i="2"/>
  <c r="H66" i="2"/>
  <c r="L66" i="2"/>
  <c r="P66" i="2"/>
  <c r="H67" i="2"/>
  <c r="L67" i="2"/>
  <c r="P67" i="2"/>
  <c r="H68" i="2"/>
  <c r="P68" i="2"/>
  <c r="H70" i="2"/>
  <c r="L70" i="2"/>
  <c r="P70" i="2"/>
  <c r="H71" i="2"/>
  <c r="L71" i="2"/>
  <c r="P71" i="2"/>
  <c r="H72" i="2"/>
  <c r="L72" i="2"/>
  <c r="P72" i="2"/>
  <c r="H73" i="2"/>
  <c r="L73" i="2"/>
  <c r="P73" i="2"/>
  <c r="H74" i="2"/>
  <c r="L74" i="2"/>
  <c r="P74" i="2"/>
  <c r="H75" i="2"/>
  <c r="L75" i="2"/>
  <c r="P75" i="2"/>
  <c r="H76" i="2"/>
  <c r="L76" i="2"/>
  <c r="P76" i="2"/>
  <c r="H77" i="2"/>
  <c r="L77" i="2"/>
  <c r="P77" i="2"/>
  <c r="H78" i="2"/>
  <c r="L78" i="2"/>
  <c r="P78" i="2"/>
  <c r="H79" i="2"/>
  <c r="L79" i="2"/>
  <c r="P79" i="2"/>
  <c r="H80" i="2"/>
  <c r="L80" i="2"/>
  <c r="P80" i="2"/>
  <c r="H81" i="2"/>
  <c r="L81" i="2"/>
  <c r="P81" i="2"/>
  <c r="H82" i="2"/>
  <c r="L82" i="2"/>
  <c r="P82" i="2"/>
  <c r="H83" i="2"/>
  <c r="L83" i="2"/>
  <c r="P83" i="2"/>
  <c r="H85" i="2"/>
  <c r="L85" i="2"/>
  <c r="P85" i="2"/>
  <c r="H86" i="2"/>
  <c r="L86" i="2"/>
  <c r="P86" i="2"/>
  <c r="H87" i="2"/>
  <c r="L87" i="2"/>
  <c r="P87" i="2"/>
  <c r="H89" i="2"/>
  <c r="P89" i="2"/>
  <c r="H90" i="2"/>
  <c r="L90" i="2"/>
  <c r="P90" i="2"/>
  <c r="H91" i="2"/>
  <c r="L91" i="2"/>
  <c r="P91" i="2"/>
  <c r="H92" i="2"/>
  <c r="L92" i="2"/>
  <c r="P92" i="2"/>
  <c r="H93" i="2"/>
  <c r="L93" i="2"/>
  <c r="P93" i="2"/>
  <c r="H94" i="2"/>
  <c r="L94" i="2"/>
  <c r="P94" i="2"/>
  <c r="H95" i="2"/>
  <c r="L95" i="2"/>
  <c r="P95" i="2"/>
  <c r="H96" i="2"/>
  <c r="L96" i="2"/>
  <c r="P96" i="2"/>
  <c r="H97" i="2"/>
  <c r="L97" i="2"/>
  <c r="P97" i="2"/>
  <c r="H98" i="2"/>
  <c r="L98" i="2"/>
  <c r="P98" i="2"/>
  <c r="H99" i="2"/>
  <c r="L99" i="2"/>
  <c r="P99" i="2"/>
  <c r="H100" i="2"/>
  <c r="L100" i="2"/>
  <c r="P100" i="2"/>
  <c r="H101" i="2"/>
  <c r="L101" i="2"/>
  <c r="P101" i="2"/>
  <c r="H102" i="2"/>
  <c r="L102" i="2"/>
  <c r="P102" i="2"/>
  <c r="H103" i="2"/>
  <c r="L103" i="2"/>
  <c r="P103" i="2"/>
  <c r="H104" i="2"/>
  <c r="H105" i="2"/>
  <c r="L105" i="2"/>
  <c r="H106" i="2"/>
  <c r="L106" i="2"/>
  <c r="H107" i="2"/>
  <c r="L107" i="2"/>
  <c r="H108" i="2"/>
  <c r="L108" i="2"/>
  <c r="H109" i="2"/>
  <c r="H110" i="2"/>
  <c r="H111" i="2"/>
  <c r="L111" i="2"/>
  <c r="H112" i="2"/>
  <c r="H113" i="2"/>
  <c r="L113" i="2"/>
  <c r="H114" i="2"/>
  <c r="H115" i="2"/>
  <c r="L115" i="2"/>
  <c r="P115" i="2"/>
  <c r="H116" i="2"/>
  <c r="L116" i="2"/>
  <c r="P116" i="2"/>
  <c r="H117" i="2"/>
  <c r="L117" i="2"/>
  <c r="P117" i="2"/>
  <c r="H118" i="2"/>
  <c r="L118" i="2"/>
  <c r="P118" i="2"/>
  <c r="H119" i="2"/>
  <c r="L119" i="2"/>
  <c r="H120" i="2"/>
  <c r="L120" i="2"/>
  <c r="P120" i="2"/>
  <c r="H121" i="2"/>
  <c r="L121" i="2"/>
  <c r="P121" i="2"/>
  <c r="H122" i="2"/>
  <c r="L122" i="2"/>
  <c r="P122" i="2"/>
  <c r="H123" i="2"/>
  <c r="L123" i="2"/>
  <c r="P123" i="2"/>
  <c r="H124" i="2"/>
  <c r="P124" i="2"/>
  <c r="H125" i="2"/>
  <c r="H126" i="2"/>
  <c r="H127" i="2"/>
  <c r="H128" i="2"/>
  <c r="H129" i="2"/>
  <c r="H130" i="2"/>
  <c r="H131" i="2"/>
  <c r="H132" i="2"/>
  <c r="H133" i="2"/>
  <c r="H134" i="2"/>
  <c r="P134" i="2"/>
  <c r="H135" i="2"/>
  <c r="L135" i="2"/>
  <c r="P135" i="2"/>
  <c r="H136" i="2"/>
  <c r="L136" i="2"/>
  <c r="P136" i="2"/>
  <c r="H137" i="2"/>
  <c r="L137" i="2"/>
  <c r="P137" i="2"/>
  <c r="L138" i="2"/>
  <c r="P138" i="2"/>
  <c r="H139" i="2"/>
  <c r="L139" i="2"/>
  <c r="P139" i="2"/>
  <c r="H140" i="2"/>
  <c r="L140" i="2"/>
  <c r="P140" i="2"/>
  <c r="H141" i="2"/>
  <c r="L141" i="2"/>
  <c r="P141" i="2"/>
  <c r="H142" i="2"/>
  <c r="L142" i="2"/>
  <c r="P142" i="2"/>
  <c r="H143" i="2"/>
  <c r="L143" i="2"/>
  <c r="P143" i="2"/>
  <c r="L144" i="2"/>
  <c r="P144" i="2"/>
  <c r="L145" i="2"/>
  <c r="P145" i="2"/>
  <c r="L146" i="2"/>
  <c r="P146" i="2"/>
  <c r="L147" i="2"/>
  <c r="P147" i="2"/>
  <c r="H148" i="2"/>
  <c r="L148" i="2"/>
  <c r="P148" i="2"/>
  <c r="H149" i="2"/>
  <c r="L149" i="2"/>
  <c r="H150" i="2"/>
  <c r="P150" i="2"/>
  <c r="H151" i="2"/>
  <c r="L151" i="2"/>
  <c r="P151" i="2"/>
  <c r="H152" i="2"/>
  <c r="L152" i="2"/>
  <c r="H153" i="2"/>
  <c r="L153" i="2"/>
  <c r="H154" i="2"/>
  <c r="L154" i="2"/>
  <c r="P154" i="2"/>
  <c r="H155" i="2"/>
  <c r="L155" i="2"/>
  <c r="P155" i="2"/>
  <c r="H156" i="2"/>
  <c r="L156" i="2"/>
  <c r="P156" i="2"/>
  <c r="H157" i="2"/>
  <c r="L157" i="2"/>
  <c r="P157" i="2"/>
  <c r="H158" i="2"/>
  <c r="L158" i="2"/>
  <c r="P158" i="2"/>
  <c r="H169" i="2"/>
  <c r="L169" i="2"/>
  <c r="P169" i="2"/>
  <c r="H170" i="2"/>
  <c r="L170" i="2"/>
  <c r="P170" i="2"/>
  <c r="H171" i="2"/>
  <c r="L171" i="2"/>
  <c r="P171" i="2"/>
  <c r="H172" i="2"/>
  <c r="L172" i="2"/>
  <c r="P172" i="2"/>
  <c r="H173" i="2"/>
  <c r="L173" i="2"/>
  <c r="P173" i="2"/>
  <c r="H174" i="2"/>
  <c r="L174" i="2"/>
  <c r="P174" i="2"/>
  <c r="H175" i="2"/>
  <c r="L175" i="2"/>
  <c r="P175" i="2"/>
  <c r="H176" i="2"/>
  <c r="L176" i="2"/>
  <c r="P176" i="2"/>
  <c r="H177" i="2"/>
  <c r="L177" i="2"/>
  <c r="P177" i="2"/>
  <c r="H178" i="2"/>
  <c r="P178" i="2"/>
  <c r="H179" i="2"/>
  <c r="L179" i="2"/>
  <c r="P179" i="2"/>
  <c r="H180" i="2"/>
  <c r="L180" i="2"/>
  <c r="P180" i="2"/>
  <c r="H181" i="2"/>
  <c r="L181" i="2"/>
  <c r="P181" i="2"/>
  <c r="H182" i="2"/>
  <c r="P182" i="2"/>
  <c r="H183" i="2"/>
  <c r="L183" i="2"/>
  <c r="P183" i="2"/>
  <c r="H184" i="2"/>
  <c r="L184" i="2"/>
  <c r="P184" i="2"/>
  <c r="H185" i="2"/>
  <c r="L185" i="2"/>
  <c r="P185" i="2"/>
  <c r="H186" i="2"/>
  <c r="L186" i="2"/>
  <c r="P186" i="2"/>
  <c r="H187" i="2"/>
  <c r="L187" i="2"/>
  <c r="P187" i="2"/>
  <c r="H188" i="2"/>
  <c r="L188" i="2"/>
  <c r="P188" i="2"/>
  <c r="H189" i="2"/>
  <c r="L189" i="2"/>
  <c r="P189" i="2"/>
  <c r="H190" i="2"/>
  <c r="L190" i="2"/>
  <c r="P190" i="2"/>
  <c r="H191" i="2"/>
  <c r="L191" i="2"/>
  <c r="P191" i="2"/>
  <c r="H192" i="2"/>
  <c r="L192" i="2"/>
  <c r="P192" i="2"/>
  <c r="H193" i="2"/>
  <c r="L193" i="2"/>
  <c r="P193" i="2"/>
  <c r="L194" i="2"/>
  <c r="P194" i="2"/>
  <c r="H195" i="2"/>
  <c r="L195" i="2"/>
  <c r="P195" i="2"/>
  <c r="H196" i="2"/>
  <c r="P196" i="2"/>
  <c r="H197" i="2"/>
  <c r="L197" i="2"/>
  <c r="H198" i="2"/>
  <c r="L198" i="2"/>
  <c r="P198" i="2"/>
  <c r="H199" i="2"/>
  <c r="L199" i="2"/>
  <c r="P199" i="2"/>
  <c r="H200" i="2"/>
  <c r="L200" i="2"/>
  <c r="P200" i="2"/>
  <c r="H201" i="2"/>
  <c r="L201" i="2"/>
  <c r="P201" i="2"/>
  <c r="H202" i="2"/>
  <c r="L202" i="2"/>
  <c r="P202" i="2"/>
  <c r="H203" i="2"/>
  <c r="L203" i="2"/>
  <c r="P203" i="2"/>
  <c r="H204" i="2"/>
  <c r="L204" i="2"/>
  <c r="P204" i="2"/>
  <c r="H205" i="2"/>
  <c r="L205" i="2"/>
  <c r="P205" i="2"/>
  <c r="H206" i="2"/>
  <c r="L206" i="2"/>
  <c r="P206" i="2"/>
  <c r="H207" i="2"/>
  <c r="L207" i="2"/>
  <c r="P207" i="2"/>
  <c r="H208" i="2"/>
  <c r="L208" i="2"/>
  <c r="P208" i="2"/>
  <c r="H209" i="2"/>
  <c r="L209" i="2"/>
  <c r="P209" i="2"/>
  <c r="H210" i="2"/>
  <c r="L210" i="2"/>
  <c r="P210" i="2"/>
  <c r="H211" i="2"/>
  <c r="L211" i="2"/>
  <c r="P211" i="2"/>
  <c r="H212" i="2"/>
  <c r="L212" i="2"/>
  <c r="P212" i="2"/>
  <c r="H213" i="2"/>
  <c r="L213" i="2"/>
  <c r="P213" i="2"/>
  <c r="H214" i="2"/>
  <c r="L214" i="2"/>
  <c r="P214" i="2"/>
  <c r="H215" i="2"/>
  <c r="L215" i="2"/>
  <c r="P215" i="2"/>
  <c r="H216" i="2"/>
  <c r="L216" i="2"/>
  <c r="P216" i="2"/>
  <c r="H217" i="2"/>
  <c r="L217" i="2"/>
  <c r="P217" i="2"/>
  <c r="H218" i="2"/>
  <c r="L218" i="2"/>
  <c r="P218" i="2"/>
  <c r="H219" i="2"/>
  <c r="L219" i="2"/>
  <c r="P219" i="2"/>
  <c r="H220" i="2"/>
  <c r="L220" i="2"/>
  <c r="P220" i="2"/>
  <c r="H221" i="2"/>
  <c r="L221" i="2"/>
  <c r="P221" i="2"/>
  <c r="H222" i="2"/>
  <c r="L222" i="2"/>
  <c r="P222" i="2"/>
  <c r="H223" i="2"/>
  <c r="L223" i="2"/>
  <c r="P223" i="2"/>
  <c r="H224" i="2"/>
  <c r="L224" i="2"/>
  <c r="P224" i="2"/>
  <c r="H225" i="2"/>
  <c r="L225" i="2"/>
  <c r="P225" i="2"/>
  <c r="H226" i="2"/>
  <c r="L226" i="2"/>
  <c r="P226" i="2"/>
  <c r="H227" i="2"/>
  <c r="L227" i="2"/>
  <c r="P227" i="2"/>
  <c r="H228" i="2"/>
  <c r="L228" i="2"/>
  <c r="P228" i="2"/>
  <c r="H229" i="2"/>
  <c r="L229" i="2"/>
  <c r="P229" i="2"/>
  <c r="H230" i="2"/>
  <c r="L230" i="2"/>
  <c r="P230" i="2"/>
  <c r="H231" i="2"/>
  <c r="L231" i="2"/>
  <c r="P231" i="2"/>
  <c r="H232" i="2"/>
  <c r="L232" i="2"/>
  <c r="P232" i="2"/>
  <c r="H233" i="2"/>
  <c r="L233" i="2"/>
  <c r="P233" i="2"/>
  <c r="H234" i="2"/>
  <c r="L234" i="2"/>
  <c r="P234" i="2"/>
  <c r="H235" i="2"/>
  <c r="L235" i="2"/>
  <c r="P235" i="2"/>
  <c r="H236" i="2"/>
  <c r="L236" i="2"/>
  <c r="P236" i="2"/>
  <c r="H237" i="2"/>
  <c r="L237" i="2"/>
  <c r="P237" i="2"/>
  <c r="H238" i="2"/>
  <c r="L238" i="2"/>
  <c r="P238" i="2"/>
  <c r="H239" i="2"/>
  <c r="L239" i="2"/>
  <c r="P239" i="2"/>
  <c r="H240" i="2"/>
  <c r="L240" i="2"/>
  <c r="P240" i="2"/>
  <c r="H241" i="2"/>
  <c r="L241" i="2"/>
  <c r="P241" i="2"/>
  <c r="H242" i="2"/>
  <c r="L242" i="2"/>
  <c r="P242" i="2"/>
  <c r="H243" i="2"/>
  <c r="L243" i="2"/>
  <c r="P243" i="2"/>
  <c r="H244" i="2"/>
  <c r="L244" i="2"/>
  <c r="P244" i="2"/>
  <c r="H246" i="2"/>
  <c r="L246" i="2"/>
  <c r="P246" i="2"/>
  <c r="H247" i="2"/>
  <c r="L247" i="2"/>
  <c r="P247" i="2"/>
  <c r="H248" i="2"/>
  <c r="L248" i="2"/>
  <c r="P248" i="2"/>
  <c r="H249" i="2"/>
  <c r="L249" i="2"/>
  <c r="P249" i="2"/>
  <c r="H250" i="2"/>
  <c r="L250" i="2"/>
  <c r="P250" i="2"/>
  <c r="H251" i="2"/>
  <c r="L251" i="2"/>
  <c r="P251" i="2"/>
  <c r="H252" i="2"/>
  <c r="L252" i="2"/>
  <c r="P252" i="2"/>
  <c r="H253" i="2"/>
  <c r="L253" i="2"/>
  <c r="P253" i="2"/>
  <c r="H254" i="2"/>
  <c r="L254" i="2"/>
  <c r="P254" i="2"/>
  <c r="H255" i="2"/>
  <c r="L255" i="2"/>
  <c r="P255" i="2"/>
  <c r="H256" i="2"/>
  <c r="L256" i="2"/>
  <c r="P256" i="2"/>
  <c r="H19" i="2"/>
  <c r="L19" i="2"/>
  <c r="P19" i="2"/>
  <c r="H20" i="2"/>
  <c r="L20" i="2"/>
  <c r="P20" i="2"/>
  <c r="H21" i="2"/>
  <c r="L21" i="2"/>
  <c r="P21" i="2"/>
  <c r="H22" i="2"/>
  <c r="L22" i="2"/>
  <c r="P22" i="2"/>
  <c r="H23" i="2"/>
  <c r="L23" i="2"/>
  <c r="P23" i="2"/>
  <c r="H24" i="2"/>
  <c r="L24" i="2"/>
  <c r="P24" i="2"/>
  <c r="H25" i="2"/>
  <c r="L25" i="2"/>
  <c r="P25" i="2"/>
  <c r="H26" i="2"/>
  <c r="L26" i="2"/>
  <c r="P26" i="2"/>
  <c r="H27" i="2"/>
  <c r="L27" i="2"/>
  <c r="P27" i="2"/>
  <c r="H28" i="2"/>
  <c r="L28" i="2"/>
  <c r="P28" i="2"/>
  <c r="H29" i="2"/>
  <c r="L29" i="2"/>
  <c r="P29" i="2"/>
  <c r="H30" i="2"/>
  <c r="L30" i="2"/>
  <c r="P30" i="2"/>
  <c r="H31" i="2"/>
  <c r="L31" i="2"/>
  <c r="P31" i="2"/>
  <c r="H32" i="2"/>
  <c r="L32" i="2"/>
  <c r="P32" i="2"/>
  <c r="H33" i="2"/>
  <c r="L33" i="2"/>
  <c r="P33" i="2"/>
  <c r="H34" i="2"/>
  <c r="L34" i="2"/>
  <c r="P34" i="2"/>
  <c r="H35" i="2"/>
  <c r="L35" i="2"/>
  <c r="P35" i="2"/>
  <c r="P11" i="2"/>
  <c r="P12" i="2"/>
  <c r="P13" i="2"/>
  <c r="P14" i="2"/>
  <c r="P15" i="2"/>
  <c r="P16" i="2"/>
  <c r="P17" i="2"/>
  <c r="P18" i="2"/>
  <c r="P36" i="2"/>
  <c r="P37" i="2"/>
  <c r="P38" i="2"/>
  <c r="P10" i="2"/>
  <c r="L11" i="2"/>
  <c r="L12" i="2"/>
  <c r="L13" i="2"/>
  <c r="L14" i="2"/>
  <c r="L15" i="2"/>
  <c r="L16" i="2"/>
  <c r="L17" i="2"/>
  <c r="L18" i="2"/>
  <c r="L36" i="2"/>
  <c r="L37" i="2"/>
  <c r="L38" i="2"/>
  <c r="L10" i="2"/>
  <c r="H11" i="2"/>
  <c r="H12" i="2"/>
  <c r="H13" i="2"/>
  <c r="H14" i="2"/>
  <c r="H15" i="2"/>
  <c r="H16" i="2"/>
  <c r="H17" i="2"/>
  <c r="H18" i="2"/>
  <c r="H36" i="2"/>
  <c r="H37" i="2"/>
  <c r="H38" i="2"/>
  <c r="C5" i="3"/>
  <c r="D5" i="3" s="1"/>
  <c r="H10" i="2"/>
  <c r="P9" i="2"/>
  <c r="G4" i="3" s="1"/>
  <c r="L9" i="2"/>
  <c r="F4" i="3" s="1"/>
  <c r="H9" i="2"/>
  <c r="C4" i="3" s="1"/>
  <c r="D4" i="3" s="1"/>
  <c r="P12" i="4"/>
  <c r="P229" i="4"/>
  <c r="L229" i="4"/>
  <c r="H229" i="4"/>
  <c r="P228" i="4"/>
  <c r="L228" i="4"/>
  <c r="H228" i="4"/>
  <c r="P227" i="4"/>
  <c r="L227" i="4"/>
  <c r="H227" i="4"/>
  <c r="P226" i="4"/>
  <c r="L226" i="4"/>
  <c r="H226" i="4"/>
  <c r="P225" i="4"/>
  <c r="L225" i="4"/>
  <c r="H225" i="4"/>
  <c r="P224" i="4"/>
  <c r="L224" i="4"/>
  <c r="H224" i="4"/>
  <c r="P223" i="4"/>
  <c r="L223" i="4"/>
  <c r="H223" i="4"/>
  <c r="P222" i="4"/>
  <c r="L222" i="4"/>
  <c r="H222" i="4"/>
  <c r="P221" i="4"/>
  <c r="L221" i="4"/>
  <c r="H221" i="4"/>
  <c r="P220" i="4"/>
  <c r="L220" i="4"/>
  <c r="H220" i="4"/>
  <c r="P219" i="4"/>
  <c r="L219" i="4"/>
  <c r="H219" i="4"/>
  <c r="P218" i="4"/>
  <c r="L218" i="4"/>
  <c r="H218" i="4"/>
  <c r="P217" i="4"/>
  <c r="L217" i="4"/>
  <c r="H217" i="4"/>
  <c r="P216" i="4"/>
  <c r="L216" i="4"/>
  <c r="H216" i="4"/>
  <c r="P215" i="4"/>
  <c r="L215" i="4"/>
  <c r="H215" i="4"/>
  <c r="P214" i="4"/>
  <c r="L214" i="4"/>
  <c r="H214" i="4"/>
  <c r="P213" i="4"/>
  <c r="L213" i="4"/>
  <c r="H213" i="4"/>
  <c r="P212" i="4"/>
  <c r="L212" i="4"/>
  <c r="H212" i="4"/>
  <c r="P211" i="4"/>
  <c r="L211" i="4"/>
  <c r="H211" i="4"/>
  <c r="P210" i="4"/>
  <c r="L210" i="4"/>
  <c r="H210" i="4"/>
  <c r="P209" i="4"/>
  <c r="L209" i="4"/>
  <c r="H209" i="4"/>
  <c r="P208" i="4"/>
  <c r="L208" i="4"/>
  <c r="H208" i="4"/>
  <c r="P207" i="4"/>
  <c r="L207" i="4"/>
  <c r="H207" i="4"/>
  <c r="P206" i="4"/>
  <c r="L206" i="4"/>
  <c r="H206" i="4"/>
  <c r="P205" i="4"/>
  <c r="L205" i="4"/>
  <c r="H205" i="4"/>
  <c r="P204" i="4"/>
  <c r="L204" i="4"/>
  <c r="H204" i="4"/>
  <c r="P203" i="4"/>
  <c r="L203" i="4"/>
  <c r="H203" i="4"/>
  <c r="P202" i="4"/>
  <c r="L202" i="4"/>
  <c r="H202" i="4"/>
  <c r="P201" i="4"/>
  <c r="L201" i="4"/>
  <c r="H201" i="4"/>
  <c r="P200" i="4"/>
  <c r="L200" i="4"/>
  <c r="H200" i="4"/>
  <c r="P199" i="4"/>
  <c r="L199" i="4"/>
  <c r="H199" i="4"/>
  <c r="P198" i="4"/>
  <c r="L198" i="4"/>
  <c r="H198" i="4"/>
  <c r="P197" i="4"/>
  <c r="L197" i="4"/>
  <c r="H197" i="4"/>
  <c r="P196" i="4"/>
  <c r="L196" i="4"/>
  <c r="H196" i="4"/>
  <c r="P195" i="4"/>
  <c r="L195" i="4"/>
  <c r="H195" i="4"/>
  <c r="P194" i="4"/>
  <c r="L194" i="4"/>
  <c r="H194" i="4"/>
  <c r="P193" i="4"/>
  <c r="L193" i="4"/>
  <c r="H193" i="4"/>
  <c r="P192" i="4"/>
  <c r="L192" i="4"/>
  <c r="H192" i="4"/>
  <c r="P191" i="4"/>
  <c r="L191" i="4"/>
  <c r="H191" i="4"/>
  <c r="P190" i="4"/>
  <c r="L190" i="4"/>
  <c r="H190" i="4"/>
  <c r="P189" i="4"/>
  <c r="L189" i="4"/>
  <c r="H189" i="4"/>
  <c r="P188" i="4"/>
  <c r="L188" i="4"/>
  <c r="H188" i="4"/>
  <c r="P187" i="4"/>
  <c r="L187" i="4"/>
  <c r="H187" i="4"/>
  <c r="P186" i="4"/>
  <c r="L186" i="4"/>
  <c r="H186" i="4"/>
  <c r="P185" i="4"/>
  <c r="L185" i="4"/>
  <c r="H185" i="4"/>
  <c r="P184" i="4"/>
  <c r="L184" i="4"/>
  <c r="H184" i="4"/>
  <c r="P183" i="4"/>
  <c r="L183" i="4"/>
  <c r="H183" i="4"/>
  <c r="P182" i="4"/>
  <c r="L182" i="4"/>
  <c r="H182" i="4"/>
  <c r="P181" i="4"/>
  <c r="L181" i="4"/>
  <c r="H181" i="4"/>
  <c r="P180" i="4"/>
  <c r="L180" i="4"/>
  <c r="H180" i="4"/>
  <c r="P179" i="4"/>
  <c r="H179" i="4"/>
  <c r="P178" i="4"/>
  <c r="L178" i="4"/>
  <c r="H178" i="4"/>
  <c r="P177" i="4"/>
  <c r="L177" i="4"/>
  <c r="H177" i="4"/>
  <c r="P176" i="4"/>
  <c r="L176" i="4"/>
  <c r="H176" i="4"/>
  <c r="P175" i="4"/>
  <c r="L175" i="4"/>
  <c r="H175" i="4"/>
  <c r="P174" i="4"/>
  <c r="L174" i="4"/>
  <c r="H174" i="4"/>
  <c r="P173" i="4"/>
  <c r="L173" i="4"/>
  <c r="H173" i="4"/>
  <c r="P172" i="4"/>
  <c r="L172" i="4"/>
  <c r="H172" i="4"/>
  <c r="P171" i="4"/>
  <c r="L171" i="4"/>
  <c r="H171" i="4"/>
  <c r="P170" i="4"/>
  <c r="L170" i="4"/>
  <c r="H170" i="4"/>
  <c r="P169" i="4"/>
  <c r="L169" i="4"/>
  <c r="H169" i="4"/>
  <c r="P168" i="4"/>
  <c r="L168" i="4"/>
  <c r="H168" i="4"/>
  <c r="P167" i="4"/>
  <c r="L167" i="4"/>
  <c r="H167" i="4"/>
  <c r="P166" i="4"/>
  <c r="L166" i="4"/>
  <c r="H166" i="4"/>
  <c r="P165" i="4"/>
  <c r="L165" i="4"/>
  <c r="H165" i="4"/>
  <c r="P164" i="4"/>
  <c r="L164" i="4"/>
  <c r="H164" i="4"/>
  <c r="P163" i="4"/>
  <c r="L163" i="4"/>
  <c r="H163" i="4"/>
  <c r="P162" i="4"/>
  <c r="L162" i="4"/>
  <c r="H162" i="4"/>
  <c r="P161" i="4"/>
  <c r="L161" i="4"/>
  <c r="H161" i="4"/>
  <c r="P160" i="4"/>
  <c r="L160" i="4"/>
  <c r="H160" i="4"/>
  <c r="P159" i="4"/>
  <c r="L159" i="4"/>
  <c r="H159" i="4"/>
  <c r="P158" i="4"/>
  <c r="L158" i="4"/>
  <c r="H158" i="4"/>
  <c r="P157" i="4"/>
  <c r="L157" i="4"/>
  <c r="H157" i="4"/>
  <c r="P156" i="4"/>
  <c r="L156" i="4"/>
  <c r="H156" i="4"/>
  <c r="P155" i="4"/>
  <c r="L155" i="4"/>
  <c r="H155" i="4"/>
  <c r="P154" i="4"/>
  <c r="L154" i="4"/>
  <c r="H154" i="4"/>
  <c r="P153" i="4"/>
  <c r="L153" i="4"/>
  <c r="H153" i="4"/>
  <c r="P152" i="4"/>
  <c r="L152" i="4"/>
  <c r="H152" i="4"/>
  <c r="P151" i="4"/>
  <c r="L151" i="4"/>
  <c r="H151" i="4"/>
  <c r="P150" i="4"/>
  <c r="L150" i="4"/>
  <c r="H150" i="4"/>
  <c r="P149" i="4"/>
  <c r="L149" i="4"/>
  <c r="H149" i="4"/>
  <c r="P148" i="4"/>
  <c r="L148" i="4"/>
  <c r="H148" i="4"/>
  <c r="P147" i="4"/>
  <c r="L147" i="4"/>
  <c r="H147" i="4"/>
  <c r="P146" i="4"/>
  <c r="L146" i="4"/>
  <c r="H146" i="4"/>
  <c r="P145" i="4"/>
  <c r="L145" i="4"/>
  <c r="H145" i="4"/>
  <c r="P144" i="4"/>
  <c r="L144" i="4"/>
  <c r="H144" i="4"/>
  <c r="P143" i="4"/>
  <c r="L143" i="4"/>
  <c r="H143" i="4"/>
  <c r="P142" i="4"/>
  <c r="L142" i="4"/>
  <c r="H142" i="4"/>
  <c r="P141" i="4"/>
  <c r="L141" i="4"/>
  <c r="H141" i="4"/>
  <c r="P140" i="4"/>
  <c r="L140" i="4"/>
  <c r="H140" i="4"/>
  <c r="P139" i="4"/>
  <c r="L139" i="4"/>
  <c r="H139" i="4"/>
  <c r="P138" i="4"/>
  <c r="L138" i="4"/>
  <c r="H138" i="4"/>
  <c r="P137" i="4"/>
  <c r="L137" i="4"/>
  <c r="H137" i="4"/>
  <c r="P136" i="4"/>
  <c r="L136" i="4"/>
  <c r="H136" i="4"/>
  <c r="P135" i="4"/>
  <c r="L135" i="4"/>
  <c r="H135" i="4"/>
  <c r="P134" i="4"/>
  <c r="L134" i="4"/>
  <c r="H134" i="4"/>
  <c r="P133" i="4"/>
  <c r="L133" i="4"/>
  <c r="H133" i="4"/>
  <c r="P132" i="4"/>
  <c r="L132" i="4"/>
  <c r="H132" i="4"/>
  <c r="P131" i="4"/>
  <c r="L131" i="4"/>
  <c r="H131" i="4"/>
  <c r="P130" i="4"/>
  <c r="L130" i="4"/>
  <c r="H130" i="4"/>
  <c r="P129" i="4"/>
  <c r="L129" i="4"/>
  <c r="H129" i="4"/>
  <c r="P128" i="4"/>
  <c r="L128" i="4"/>
  <c r="H128" i="4"/>
  <c r="P127" i="4"/>
  <c r="L127" i="4"/>
  <c r="H127" i="4"/>
  <c r="P126" i="4"/>
  <c r="L126" i="4"/>
  <c r="H126" i="4"/>
  <c r="P125" i="4"/>
  <c r="L125" i="4"/>
  <c r="H125" i="4"/>
  <c r="P124" i="4"/>
  <c r="L124" i="4"/>
  <c r="H124" i="4"/>
  <c r="P123" i="4"/>
  <c r="L123" i="4"/>
  <c r="H123" i="4"/>
  <c r="P122" i="4"/>
  <c r="L122" i="4"/>
  <c r="H122" i="4"/>
  <c r="P121" i="4"/>
  <c r="L121" i="4"/>
  <c r="H121" i="4"/>
  <c r="P120" i="4"/>
  <c r="L120" i="4"/>
  <c r="H120" i="4"/>
  <c r="P119" i="4"/>
  <c r="L119" i="4"/>
  <c r="H119" i="4"/>
  <c r="P118" i="4"/>
  <c r="L118" i="4"/>
  <c r="H118" i="4"/>
  <c r="P117" i="4"/>
  <c r="L117" i="4"/>
  <c r="H117" i="4"/>
  <c r="P116" i="4"/>
  <c r="L116" i="4"/>
  <c r="H116" i="4"/>
  <c r="P115" i="4"/>
  <c r="L115" i="4"/>
  <c r="H115" i="4"/>
  <c r="P114" i="4"/>
  <c r="L114" i="4"/>
  <c r="H114" i="4"/>
  <c r="P113" i="4"/>
  <c r="L113" i="4"/>
  <c r="H113" i="4"/>
  <c r="P112" i="4"/>
  <c r="L112" i="4"/>
  <c r="H112" i="4"/>
  <c r="P111" i="4"/>
  <c r="L111" i="4"/>
  <c r="H111" i="4"/>
  <c r="P110" i="4"/>
  <c r="L110" i="4"/>
  <c r="H110" i="4"/>
  <c r="P109" i="4"/>
  <c r="L109" i="4"/>
  <c r="H109" i="4"/>
  <c r="P108" i="4"/>
  <c r="L108" i="4"/>
  <c r="H108" i="4"/>
  <c r="P107" i="4"/>
  <c r="L107" i="4"/>
  <c r="H107" i="4"/>
  <c r="P106" i="4"/>
  <c r="L106" i="4"/>
  <c r="H106" i="4"/>
  <c r="P105" i="4"/>
  <c r="L105" i="4"/>
  <c r="H105" i="4"/>
  <c r="P104" i="4"/>
  <c r="L104" i="4"/>
  <c r="H104" i="4"/>
  <c r="P103" i="4"/>
  <c r="L103" i="4"/>
  <c r="H103" i="4"/>
  <c r="P102" i="4"/>
  <c r="L102" i="4"/>
  <c r="H102" i="4"/>
  <c r="P101" i="4"/>
  <c r="L101" i="4"/>
  <c r="H101" i="4"/>
  <c r="P100" i="4"/>
  <c r="L100" i="4"/>
  <c r="H100" i="4"/>
  <c r="P99" i="4"/>
  <c r="L99" i="4"/>
  <c r="H99" i="4"/>
  <c r="P98" i="4"/>
  <c r="L98" i="4"/>
  <c r="H98" i="4"/>
  <c r="P97" i="4"/>
  <c r="L97" i="4"/>
  <c r="H97" i="4"/>
  <c r="P96" i="4"/>
  <c r="L96" i="4"/>
  <c r="H96" i="4"/>
  <c r="P95" i="4"/>
  <c r="L95" i="4"/>
  <c r="H95" i="4"/>
  <c r="P94" i="4"/>
  <c r="L94" i="4"/>
  <c r="H94" i="4"/>
  <c r="P93" i="4"/>
  <c r="L93" i="4"/>
  <c r="H93" i="4"/>
  <c r="P92" i="4"/>
  <c r="L92" i="4"/>
  <c r="H92" i="4"/>
  <c r="P91" i="4"/>
  <c r="L91" i="4"/>
  <c r="H91" i="4"/>
  <c r="P90" i="4"/>
  <c r="L90" i="4"/>
  <c r="H90" i="4"/>
  <c r="P89" i="4"/>
  <c r="L89" i="4"/>
  <c r="H89" i="4"/>
  <c r="P88" i="4"/>
  <c r="L88" i="4"/>
  <c r="H88" i="4"/>
  <c r="P87" i="4"/>
  <c r="L87" i="4"/>
  <c r="H87" i="4"/>
  <c r="P86" i="4"/>
  <c r="L86" i="4"/>
  <c r="H86" i="4"/>
  <c r="P85" i="4"/>
  <c r="L85" i="4"/>
  <c r="H85" i="4"/>
  <c r="P84" i="4"/>
  <c r="L84" i="4"/>
  <c r="H84" i="4"/>
  <c r="P83" i="4"/>
  <c r="L83" i="4"/>
  <c r="H83" i="4"/>
  <c r="P82" i="4"/>
  <c r="L82" i="4"/>
  <c r="H82" i="4"/>
  <c r="P81" i="4"/>
  <c r="L81" i="4"/>
  <c r="H81" i="4"/>
  <c r="P80" i="4"/>
  <c r="L80" i="4"/>
  <c r="H80" i="4"/>
  <c r="P79" i="4"/>
  <c r="L79" i="4"/>
  <c r="H79" i="4"/>
  <c r="P78" i="4"/>
  <c r="L78" i="4"/>
  <c r="H78" i="4"/>
  <c r="P77" i="4"/>
  <c r="L77" i="4"/>
  <c r="H77" i="4"/>
  <c r="P76" i="4"/>
  <c r="L76" i="4"/>
  <c r="H76" i="4"/>
  <c r="P75" i="4"/>
  <c r="L75" i="4"/>
  <c r="H75" i="4"/>
  <c r="P74" i="4"/>
  <c r="L74" i="4"/>
  <c r="H74" i="4"/>
  <c r="P73" i="4"/>
  <c r="L73" i="4"/>
  <c r="H73" i="4"/>
  <c r="P72" i="4"/>
  <c r="L72" i="4"/>
  <c r="H72" i="4"/>
  <c r="P71" i="4"/>
  <c r="L71" i="4"/>
  <c r="H71" i="4"/>
  <c r="P70" i="4"/>
  <c r="L70" i="4"/>
  <c r="H70" i="4"/>
  <c r="P69" i="4"/>
  <c r="L69" i="4"/>
  <c r="H69" i="4"/>
  <c r="P68" i="4"/>
  <c r="L68" i="4"/>
  <c r="H68" i="4"/>
  <c r="P67" i="4"/>
  <c r="L67" i="4"/>
  <c r="H67" i="4"/>
  <c r="P66" i="4"/>
  <c r="L66" i="4"/>
  <c r="H66" i="4"/>
  <c r="P65" i="4"/>
  <c r="L65" i="4"/>
  <c r="H65" i="4"/>
  <c r="P64" i="4"/>
  <c r="L64" i="4"/>
  <c r="H64" i="4"/>
  <c r="P63" i="4"/>
  <c r="L63" i="4"/>
  <c r="H63" i="4"/>
  <c r="P62" i="4"/>
  <c r="L62" i="4"/>
  <c r="H62" i="4"/>
  <c r="P61" i="4"/>
  <c r="L61" i="4"/>
  <c r="H61" i="4"/>
  <c r="P60" i="4"/>
  <c r="L60" i="4"/>
  <c r="H60" i="4"/>
  <c r="P59" i="4"/>
  <c r="L59" i="4"/>
  <c r="H59" i="4"/>
  <c r="P58" i="4"/>
  <c r="L58" i="4"/>
  <c r="H58" i="4"/>
  <c r="P57" i="4"/>
  <c r="L57" i="4"/>
  <c r="H57" i="4"/>
  <c r="P56" i="4"/>
  <c r="L56" i="4"/>
  <c r="H56" i="4"/>
  <c r="P55" i="4"/>
  <c r="L55" i="4"/>
  <c r="H55" i="4"/>
  <c r="P54" i="4"/>
  <c r="L54" i="4"/>
  <c r="H54" i="4"/>
  <c r="P53" i="4"/>
  <c r="L53" i="4"/>
  <c r="H53" i="4"/>
  <c r="P52" i="4"/>
  <c r="L52" i="4"/>
  <c r="H52" i="4"/>
  <c r="P51" i="4"/>
  <c r="L51" i="4"/>
  <c r="H51" i="4"/>
  <c r="P50" i="4"/>
  <c r="L50" i="4"/>
  <c r="H50" i="4"/>
  <c r="P49" i="4"/>
  <c r="L49" i="4"/>
  <c r="H49" i="4"/>
  <c r="P48" i="4"/>
  <c r="L48" i="4"/>
  <c r="H48" i="4"/>
  <c r="P47" i="4"/>
  <c r="L47" i="4"/>
  <c r="H47" i="4"/>
  <c r="P46" i="4"/>
  <c r="L46" i="4"/>
  <c r="H46" i="4"/>
  <c r="P45" i="4"/>
  <c r="L45" i="4"/>
  <c r="H45" i="4"/>
  <c r="P44" i="4"/>
  <c r="L44" i="4"/>
  <c r="H44" i="4"/>
  <c r="P43" i="4"/>
  <c r="L43" i="4"/>
  <c r="H43" i="4"/>
  <c r="P42" i="4"/>
  <c r="L42" i="4"/>
  <c r="H42" i="4"/>
  <c r="P41" i="4"/>
  <c r="L41" i="4"/>
  <c r="H41" i="4"/>
  <c r="P40" i="4"/>
  <c r="L40" i="4"/>
  <c r="H40" i="4"/>
  <c r="P39" i="4"/>
  <c r="L39" i="4"/>
  <c r="H39" i="4"/>
  <c r="P38" i="4"/>
  <c r="L38" i="4"/>
  <c r="H38" i="4"/>
  <c r="P37" i="4"/>
  <c r="L37" i="4"/>
  <c r="H37" i="4"/>
  <c r="P36" i="4"/>
  <c r="L36" i="4"/>
  <c r="H36" i="4"/>
  <c r="P35" i="4"/>
  <c r="L35" i="4"/>
  <c r="H35" i="4"/>
  <c r="P34" i="4"/>
  <c r="L34" i="4"/>
  <c r="H34" i="4"/>
  <c r="P33" i="4"/>
  <c r="L33" i="4"/>
  <c r="H33" i="4"/>
  <c r="P32" i="4"/>
  <c r="L32" i="4"/>
  <c r="H32" i="4"/>
  <c r="P31" i="4"/>
  <c r="L31" i="4"/>
  <c r="H31" i="4"/>
  <c r="P30" i="4"/>
  <c r="L30" i="4"/>
  <c r="H30" i="4"/>
  <c r="P29" i="4"/>
  <c r="L29" i="4"/>
  <c r="H29" i="4"/>
  <c r="P28" i="4"/>
  <c r="L28" i="4"/>
  <c r="H28" i="4"/>
  <c r="P27" i="4"/>
  <c r="L27" i="4"/>
  <c r="H27" i="4"/>
  <c r="P26" i="4"/>
  <c r="L26" i="4"/>
  <c r="H26" i="4"/>
  <c r="P25" i="4"/>
  <c r="L25" i="4"/>
  <c r="H25" i="4"/>
  <c r="P24" i="4"/>
  <c r="L24" i="4"/>
  <c r="H24" i="4"/>
  <c r="P23" i="4"/>
  <c r="L23" i="4"/>
  <c r="H23" i="4"/>
  <c r="P22" i="4"/>
  <c r="L22" i="4"/>
  <c r="H22" i="4"/>
  <c r="P21" i="4"/>
  <c r="L21" i="4"/>
  <c r="H21" i="4"/>
  <c r="P20" i="4"/>
  <c r="L20" i="4"/>
  <c r="H20" i="4"/>
  <c r="P19" i="4"/>
  <c r="L19" i="4"/>
  <c r="H19" i="4"/>
  <c r="P18" i="4"/>
  <c r="L18" i="4"/>
  <c r="H18" i="4"/>
  <c r="P17" i="4"/>
  <c r="L17" i="4"/>
  <c r="H17" i="4"/>
  <c r="P16" i="4"/>
  <c r="L16" i="4"/>
  <c r="H16" i="4"/>
  <c r="P15" i="4"/>
  <c r="L15" i="4"/>
  <c r="H15" i="4"/>
  <c r="P14" i="4"/>
  <c r="L14" i="4"/>
  <c r="H14" i="4"/>
  <c r="P13" i="4"/>
  <c r="L13" i="4"/>
  <c r="H13" i="4"/>
  <c r="L12" i="4"/>
  <c r="H12" i="4"/>
  <c r="P11" i="4"/>
  <c r="L11" i="4"/>
  <c r="H11" i="4"/>
  <c r="P10" i="4"/>
  <c r="L10" i="4"/>
  <c r="H10" i="4"/>
  <c r="P9" i="4"/>
  <c r="L9" i="4"/>
  <c r="H9" i="4"/>
  <c r="C224" i="3"/>
  <c r="D224"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210" i="3"/>
  <c r="D210" i="3" s="1"/>
  <c r="C211" i="3"/>
  <c r="D211" i="3" s="1"/>
  <c r="C212" i="3"/>
  <c r="D212" i="3" s="1"/>
  <c r="C213" i="3"/>
  <c r="D213" i="3" s="1"/>
  <c r="C214" i="3"/>
  <c r="D214" i="3" s="1"/>
  <c r="C215" i="3"/>
  <c r="D215" i="3" s="1"/>
  <c r="C216" i="3"/>
  <c r="D216" i="3" s="1"/>
  <c r="C217" i="3"/>
  <c r="D217" i="3" s="1"/>
  <c r="C218" i="3"/>
  <c r="D218" i="3" s="1"/>
  <c r="C219" i="3"/>
  <c r="D219" i="3" s="1"/>
  <c r="C220" i="3"/>
  <c r="D220" i="3" s="1"/>
  <c r="C221" i="3"/>
  <c r="D221" i="3" s="1"/>
  <c r="C222" i="3"/>
  <c r="D222" i="3" s="1"/>
  <c r="C223" i="3"/>
  <c r="D223" i="3" s="1"/>
  <c r="C197" i="3"/>
  <c r="D197" i="3" s="1"/>
  <c r="C196" i="3"/>
  <c r="D196" i="3" s="1"/>
  <c r="C195" i="3"/>
  <c r="D195" i="3" s="1"/>
  <c r="C194" i="3"/>
  <c r="D194" i="3" s="1"/>
  <c r="C193" i="3"/>
  <c r="D193" i="3" s="1"/>
  <c r="C192" i="3"/>
  <c r="D192" i="3" s="1"/>
  <c r="C191" i="3"/>
  <c r="D191" i="3" s="1"/>
  <c r="C190" i="3"/>
  <c r="D190" i="3" s="1"/>
  <c r="C189" i="3"/>
  <c r="D189" i="3" s="1"/>
  <c r="C188" i="3"/>
  <c r="D188" i="3" s="1"/>
  <c r="C187" i="3"/>
  <c r="D187" i="3" s="1"/>
  <c r="C186" i="3"/>
  <c r="D186" i="3" s="1"/>
  <c r="C185" i="3"/>
  <c r="D185" i="3" s="1"/>
  <c r="C184" i="3"/>
  <c r="D184" i="3" s="1"/>
  <c r="C183" i="3"/>
  <c r="D183" i="3" s="1"/>
  <c r="C182" i="3"/>
  <c r="D182" i="3" s="1"/>
  <c r="C181" i="3"/>
  <c r="D181" i="3" s="1"/>
  <c r="C180" i="3"/>
  <c r="D180" i="3" s="1"/>
  <c r="C179" i="3"/>
  <c r="D179" i="3" s="1"/>
  <c r="C178" i="3"/>
  <c r="D178" i="3" s="1"/>
  <c r="C177" i="3"/>
  <c r="D177" i="3" s="1"/>
  <c r="C176" i="3"/>
  <c r="D176" i="3" s="1"/>
  <c r="C175" i="3"/>
  <c r="D175" i="3" s="1"/>
  <c r="C174" i="3"/>
  <c r="D174" i="3" s="1"/>
  <c r="C173" i="3"/>
  <c r="D173" i="3" s="1"/>
  <c r="C172" i="3"/>
  <c r="D172" i="3" s="1"/>
  <c r="C171" i="3"/>
  <c r="D171" i="3" s="1"/>
  <c r="C170" i="3"/>
  <c r="D170" i="3" s="1"/>
  <c r="C169" i="3"/>
  <c r="D169" i="3" s="1"/>
  <c r="C168" i="3"/>
  <c r="D168" i="3" s="1"/>
  <c r="C167" i="3"/>
  <c r="D167" i="3" s="1"/>
  <c r="C166" i="3"/>
  <c r="D166" i="3" s="1"/>
  <c r="C165" i="3"/>
  <c r="D165" i="3" s="1"/>
  <c r="C164" i="3"/>
  <c r="D164" i="3" s="1"/>
  <c r="C163" i="3"/>
  <c r="D163" i="3" s="1"/>
  <c r="C162" i="3"/>
  <c r="D162" i="3" s="1"/>
  <c r="C161" i="3"/>
  <c r="D161" i="3" s="1"/>
  <c r="C160" i="3"/>
  <c r="D160" i="3" s="1"/>
  <c r="C159" i="3"/>
  <c r="D159" i="3" s="1"/>
  <c r="C158" i="3"/>
  <c r="D158" i="3" s="1"/>
  <c r="C157" i="3"/>
  <c r="D157" i="3" s="1"/>
  <c r="C156" i="3"/>
  <c r="D156" i="3" s="1"/>
  <c r="C155" i="3"/>
  <c r="D155" i="3" s="1"/>
  <c r="C154" i="3"/>
  <c r="D154" i="3" s="1"/>
  <c r="C153" i="3"/>
  <c r="D153" i="3" s="1"/>
  <c r="C152" i="3"/>
  <c r="D152" i="3" s="1"/>
  <c r="C151" i="3"/>
  <c r="D151" i="3" s="1"/>
  <c r="C150" i="3"/>
  <c r="D150" i="3" s="1"/>
  <c r="C149" i="3"/>
  <c r="D149" i="3" s="1"/>
  <c r="C148" i="3"/>
  <c r="D148" i="3" s="1"/>
  <c r="C147" i="3"/>
  <c r="D147" i="3" s="1"/>
  <c r="C146" i="3"/>
  <c r="D146" i="3" s="1"/>
  <c r="C145" i="3"/>
  <c r="D145" i="3" s="1"/>
  <c r="C144" i="3"/>
  <c r="D144" i="3" s="1"/>
  <c r="C143" i="3"/>
  <c r="D143" i="3" s="1"/>
  <c r="C142" i="3"/>
  <c r="D142" i="3" s="1"/>
  <c r="C141" i="3"/>
  <c r="D141" i="3" s="1"/>
  <c r="C140" i="3"/>
  <c r="D140" i="3" s="1"/>
  <c r="C139" i="3"/>
  <c r="D139" i="3" s="1"/>
  <c r="C138" i="3"/>
  <c r="D138" i="3" s="1"/>
  <c r="C137" i="3"/>
  <c r="D137" i="3" s="1"/>
  <c r="C136" i="3"/>
  <c r="D136" i="3" s="1"/>
  <c r="C135" i="3"/>
  <c r="D135" i="3" s="1"/>
  <c r="C134" i="3"/>
  <c r="D134" i="3" s="1"/>
  <c r="C133" i="3"/>
  <c r="D133" i="3" s="1"/>
  <c r="C132" i="3"/>
  <c r="D132" i="3" s="1"/>
  <c r="C131" i="3"/>
  <c r="D131" i="3" s="1"/>
  <c r="C130" i="3"/>
  <c r="D130" i="3" s="1"/>
  <c r="C129" i="3"/>
  <c r="D129" i="3" s="1"/>
  <c r="C128" i="3"/>
  <c r="D128" i="3" s="1"/>
  <c r="C127" i="3"/>
  <c r="D127" i="3" s="1"/>
  <c r="C126" i="3"/>
  <c r="D126" i="3" s="1"/>
  <c r="C125" i="3"/>
  <c r="D125" i="3" s="1"/>
  <c r="C124" i="3"/>
  <c r="D124" i="3" s="1"/>
  <c r="C123" i="3"/>
  <c r="D123" i="3" s="1"/>
  <c r="C122" i="3"/>
  <c r="D122" i="3" s="1"/>
  <c r="C121" i="3"/>
  <c r="D121" i="3" s="1"/>
  <c r="C120" i="3"/>
  <c r="D120" i="3" s="1"/>
  <c r="C119" i="3"/>
  <c r="D119" i="3" s="1"/>
  <c r="C118" i="3"/>
  <c r="D118" i="3" s="1"/>
  <c r="C117" i="3"/>
  <c r="D117" i="3" s="1"/>
  <c r="C116" i="3"/>
  <c r="D116" i="3" s="1"/>
  <c r="C115" i="3"/>
  <c r="D115" i="3" s="1"/>
  <c r="C114" i="3"/>
  <c r="D114" i="3" s="1"/>
  <c r="C113" i="3"/>
  <c r="D113" i="3" s="1"/>
  <c r="C112" i="3"/>
  <c r="D112" i="3" s="1"/>
  <c r="C111" i="3"/>
  <c r="D111" i="3" s="1"/>
  <c r="C110" i="3"/>
  <c r="D110" i="3" s="1"/>
  <c r="C109" i="3"/>
  <c r="D109" i="3" s="1"/>
  <c r="C108" i="3"/>
  <c r="D108" i="3" s="1"/>
  <c r="C107" i="3"/>
  <c r="D107" i="3" s="1"/>
  <c r="C106" i="3"/>
  <c r="D106" i="3" s="1"/>
  <c r="C105" i="3"/>
  <c r="D105" i="3" s="1"/>
  <c r="C104" i="3"/>
  <c r="D104" i="3" s="1"/>
  <c r="C103" i="3"/>
  <c r="D103" i="3" s="1"/>
  <c r="C102" i="3"/>
  <c r="D102" i="3" s="1"/>
  <c r="C101" i="3"/>
  <c r="D101" i="3" s="1"/>
  <c r="C100" i="3"/>
  <c r="D100" i="3" s="1"/>
  <c r="C99" i="3"/>
  <c r="D99" i="3" s="1"/>
  <c r="C98" i="3"/>
  <c r="D98" i="3" s="1"/>
  <c r="C97" i="3"/>
  <c r="D97" i="3" s="1"/>
  <c r="C96" i="3"/>
  <c r="D96" i="3" s="1"/>
  <c r="C95" i="3"/>
  <c r="D95" i="3" s="1"/>
  <c r="C94" i="3"/>
  <c r="D94" i="3" s="1"/>
  <c r="C93" i="3"/>
  <c r="D93" i="3" s="1"/>
  <c r="C92" i="3"/>
  <c r="D92" i="3" s="1"/>
  <c r="C91" i="3"/>
  <c r="D91" i="3" s="1"/>
  <c r="C90" i="3"/>
  <c r="D90" i="3" s="1"/>
  <c r="C89" i="3"/>
  <c r="D89" i="3" s="1"/>
  <c r="C88" i="3"/>
  <c r="D88" i="3" s="1"/>
  <c r="C87" i="3"/>
  <c r="D87" i="3" s="1"/>
  <c r="C86" i="3"/>
  <c r="D86" i="3" s="1"/>
  <c r="C85" i="3"/>
  <c r="D85" i="3" s="1"/>
  <c r="C84" i="3"/>
  <c r="D84" i="3" s="1"/>
  <c r="C83" i="3"/>
  <c r="D83" i="3" s="1"/>
  <c r="C82" i="3"/>
  <c r="D82" i="3" s="1"/>
  <c r="C81" i="3"/>
  <c r="D81" i="3" s="1"/>
  <c r="C80" i="3"/>
  <c r="D80" i="3" s="1"/>
  <c r="C79" i="3"/>
  <c r="D79" i="3" s="1"/>
  <c r="C78" i="3"/>
  <c r="D78" i="3" s="1"/>
  <c r="C77" i="3"/>
  <c r="D77" i="3" s="1"/>
  <c r="C76" i="3"/>
  <c r="D76" i="3" s="1"/>
  <c r="C75" i="3"/>
  <c r="D75" i="3" s="1"/>
  <c r="C74" i="3"/>
  <c r="D74" i="3" s="1"/>
  <c r="C73" i="3"/>
  <c r="D73" i="3" s="1"/>
  <c r="C72" i="3"/>
  <c r="D72" i="3" s="1"/>
  <c r="C71" i="3"/>
  <c r="D71" i="3" s="1"/>
  <c r="C70" i="3"/>
  <c r="D70" i="3" s="1"/>
  <c r="C69" i="3"/>
  <c r="D69" i="3" s="1"/>
  <c r="C68" i="3"/>
  <c r="D68" i="3" s="1"/>
  <c r="C67" i="3"/>
  <c r="D67" i="3" s="1"/>
  <c r="C66" i="3"/>
  <c r="D66" i="3" s="1"/>
  <c r="C65" i="3"/>
  <c r="D65" i="3" s="1"/>
  <c r="C64" i="3"/>
  <c r="D64" i="3" s="1"/>
  <c r="C63" i="3"/>
  <c r="D63" i="3" s="1"/>
  <c r="C62" i="3"/>
  <c r="D62" i="3" s="1"/>
  <c r="C61" i="3"/>
  <c r="D61" i="3" s="1"/>
  <c r="C60" i="3"/>
  <c r="D60" i="3" s="1"/>
  <c r="C59" i="3"/>
  <c r="D59" i="3" s="1"/>
  <c r="C58" i="3"/>
  <c r="D58" i="3" s="1"/>
  <c r="C57" i="3"/>
  <c r="D57" i="3" s="1"/>
  <c r="C56" i="3"/>
  <c r="D56" i="3" s="1"/>
  <c r="C55" i="3"/>
  <c r="D55" i="3" s="1"/>
  <c r="C54" i="3"/>
  <c r="D54" i="3" s="1"/>
  <c r="C53" i="3"/>
  <c r="D53" i="3" s="1"/>
  <c r="C52" i="3"/>
  <c r="D52" i="3" s="1"/>
  <c r="C51" i="3"/>
  <c r="D51" i="3" s="1"/>
  <c r="C50" i="3"/>
  <c r="D50" i="3" s="1"/>
  <c r="C49" i="3"/>
  <c r="D49" i="3" s="1"/>
  <c r="C48" i="3"/>
  <c r="D48" i="3" s="1"/>
  <c r="C47" i="3"/>
  <c r="D47" i="3" s="1"/>
  <c r="C46" i="3"/>
  <c r="D46" i="3" s="1"/>
  <c r="C45" i="3"/>
  <c r="D45" i="3" s="1"/>
  <c r="C44" i="3"/>
  <c r="D44" i="3" s="1"/>
  <c r="C43" i="3"/>
  <c r="D43" i="3" s="1"/>
  <c r="C42" i="3"/>
  <c r="D42" i="3" s="1"/>
  <c r="C41" i="3"/>
  <c r="D41" i="3" s="1"/>
  <c r="C40" i="3"/>
  <c r="D40" i="3" s="1"/>
  <c r="C39" i="3"/>
  <c r="D39" i="3" s="1"/>
  <c r="C38" i="3"/>
  <c r="D38" i="3" s="1"/>
  <c r="C37" i="3"/>
  <c r="D37" i="3" s="1"/>
  <c r="C36" i="3"/>
  <c r="D36" i="3" s="1"/>
  <c r="C35" i="3"/>
  <c r="D35" i="3" s="1"/>
  <c r="C34" i="3"/>
  <c r="D34" i="3" s="1"/>
  <c r="C33" i="3"/>
  <c r="D33" i="3" s="1"/>
  <c r="C32" i="3"/>
  <c r="D32" i="3" s="1"/>
  <c r="C31" i="3"/>
  <c r="D31" i="3" s="1"/>
  <c r="C30" i="3"/>
  <c r="D30" i="3" s="1"/>
  <c r="C29" i="3"/>
  <c r="D29" i="3" s="1"/>
  <c r="C28" i="3"/>
  <c r="D28" i="3" s="1"/>
  <c r="C27" i="3"/>
  <c r="D27" i="3" s="1"/>
  <c r="C26" i="3"/>
  <c r="D26" i="3" s="1"/>
  <c r="C25" i="3"/>
  <c r="D25" i="3" s="1"/>
  <c r="C24" i="3"/>
  <c r="D24" i="3" s="1"/>
  <c r="C23" i="3"/>
  <c r="D23" i="3" s="1"/>
  <c r="C22" i="3"/>
  <c r="D22" i="3" s="1"/>
  <c r="C21" i="3"/>
  <c r="D21" i="3" s="1"/>
  <c r="C20" i="3"/>
  <c r="D20" i="3" s="1"/>
  <c r="C19" i="3"/>
  <c r="D19" i="3" s="1"/>
  <c r="C18" i="3"/>
  <c r="D18" i="3" s="1"/>
  <c r="C17" i="3"/>
  <c r="D17" i="3" s="1"/>
  <c r="C16" i="3"/>
  <c r="D16" i="3" s="1"/>
  <c r="C15" i="3"/>
  <c r="D15" i="3" s="1"/>
  <c r="C14" i="3"/>
  <c r="D14" i="3" s="1"/>
  <c r="C13" i="3"/>
  <c r="D13" i="3" s="1"/>
  <c r="C12" i="3"/>
  <c r="D12" i="3" s="1"/>
  <c r="C11" i="3"/>
  <c r="D11" i="3" s="1"/>
  <c r="C10" i="3"/>
  <c r="D10" i="3" s="1"/>
  <c r="C9" i="3"/>
  <c r="D9" i="3" s="1"/>
  <c r="C8" i="3"/>
  <c r="D8" i="3" s="1"/>
  <c r="C7" i="3"/>
  <c r="D7" i="3" s="1"/>
  <c r="C6" i="3"/>
  <c r="D6" i="3" s="1"/>
  <c r="P37" i="1"/>
  <c r="L37" i="1"/>
  <c r="H37" i="1"/>
  <c r="P36" i="1"/>
  <c r="L36" i="1"/>
  <c r="H36" i="1"/>
  <c r="P35" i="1"/>
  <c r="L35" i="1"/>
  <c r="H35" i="1"/>
  <c r="P34" i="1"/>
  <c r="L34" i="1"/>
  <c r="H34" i="1"/>
  <c r="P33" i="1"/>
  <c r="L33" i="1"/>
  <c r="H33" i="1"/>
  <c r="P32" i="1"/>
  <c r="L32" i="1"/>
  <c r="H32" i="1"/>
  <c r="P31" i="1"/>
  <c r="L31" i="1"/>
  <c r="H31" i="1"/>
  <c r="P30" i="1"/>
  <c r="L30" i="1"/>
  <c r="H30" i="1"/>
  <c r="P29" i="1"/>
  <c r="L29" i="1"/>
  <c r="H29" i="1"/>
  <c r="P28" i="1"/>
  <c r="L28" i="1"/>
  <c r="H28" i="1"/>
  <c r="P27" i="1"/>
  <c r="L27" i="1"/>
  <c r="H27" i="1"/>
  <c r="P26" i="1"/>
  <c r="L26" i="1"/>
  <c r="H26" i="1"/>
  <c r="P25" i="1"/>
  <c r="L25" i="1"/>
  <c r="H25" i="1"/>
  <c r="P24" i="1"/>
  <c r="L24" i="1"/>
  <c r="H24" i="1"/>
  <c r="P23" i="1"/>
  <c r="L23" i="1"/>
  <c r="H23" i="1"/>
  <c r="P22" i="1"/>
  <c r="L22" i="1"/>
  <c r="H22" i="1"/>
  <c r="P21" i="1"/>
  <c r="L21" i="1"/>
  <c r="H21" i="1"/>
  <c r="P20" i="1"/>
  <c r="L20" i="1"/>
  <c r="H20" i="1"/>
  <c r="P19" i="1"/>
  <c r="L19" i="1"/>
  <c r="H19" i="1"/>
  <c r="P18" i="1"/>
  <c r="L18" i="1"/>
  <c r="H18" i="1"/>
  <c r="P17" i="1"/>
  <c r="L17" i="1"/>
  <c r="H17" i="1"/>
  <c r="P16" i="1"/>
  <c r="L16" i="1"/>
  <c r="H16" i="1"/>
  <c r="P15" i="1"/>
  <c r="L15" i="1"/>
  <c r="H15" i="1"/>
  <c r="P14" i="1"/>
  <c r="L14" i="1"/>
  <c r="H14" i="1"/>
  <c r="P13" i="1"/>
  <c r="L13" i="1"/>
  <c r="H13" i="1"/>
  <c r="P12" i="1"/>
  <c r="L12" i="1"/>
  <c r="H12" i="1"/>
  <c r="P11" i="1"/>
  <c r="L11" i="1"/>
  <c r="H11" i="1"/>
  <c r="P10" i="1"/>
  <c r="L10" i="1"/>
  <c r="H10" i="1"/>
  <c r="P9" i="1"/>
  <c r="L9" i="1"/>
  <c r="H9" i="1"/>
  <c r="P8" i="1"/>
  <c r="L8" i="1"/>
  <c r="H8" i="1"/>
  <c r="P7" i="1"/>
  <c r="L7" i="1"/>
  <c r="H7" i="1"/>
  <c r="P6" i="1"/>
  <c r="L6" i="1"/>
  <c r="H6" i="1"/>
  <c r="P5" i="1"/>
  <c r="L5" i="1"/>
  <c r="H5" i="1"/>
  <c r="P4" i="1"/>
  <c r="L4" i="1"/>
  <c r="H4" i="1"/>
  <c r="P3" i="1"/>
  <c r="L3" i="1"/>
  <c r="H3" i="1"/>
  <c r="T99" i="2" l="1"/>
  <c r="T77" i="2"/>
  <c r="T56" i="2"/>
  <c r="T60" i="2"/>
  <c r="T68" i="2"/>
  <c r="T63" i="2"/>
  <c r="T70" i="2"/>
  <c r="T51" i="2"/>
  <c r="H5" i="3"/>
  <c r="H6" i="3" s="1"/>
  <c r="H7" i="3" s="1"/>
  <c r="H8" i="3" s="1"/>
  <c r="H9" i="3" s="1"/>
  <c r="H10" i="3" s="1"/>
  <c r="H11" i="3" s="1"/>
  <c r="H12" i="3" s="1"/>
  <c r="H13" i="3" s="1"/>
  <c r="H14" i="3" s="1"/>
  <c r="H15" i="3" s="1"/>
  <c r="H16" i="3" s="1"/>
  <c r="H17" i="3" s="1"/>
  <c r="H18" i="3" s="1"/>
  <c r="H19" i="3" s="1"/>
  <c r="H20" i="3" s="1"/>
  <c r="H21" i="3" s="1"/>
  <c r="H22" i="3" s="1"/>
  <c r="H23" i="3" s="1"/>
  <c r="H24" i="3" s="1"/>
  <c r="H25" i="3" s="1"/>
  <c r="H26" i="3" s="1"/>
  <c r="H27" i="3" s="1"/>
  <c r="H28" i="3" s="1"/>
  <c r="H29" i="3" s="1"/>
  <c r="H30" i="3" s="1"/>
  <c r="H31" i="3" s="1"/>
  <c r="H32" i="3" s="1"/>
  <c r="H33" i="3" s="1"/>
  <c r="H34" i="3" s="1"/>
  <c r="H35" i="3" s="1"/>
  <c r="H36" i="3" s="1"/>
  <c r="H37" i="3" s="1"/>
  <c r="H38" i="3" s="1"/>
  <c r="H39" i="3" s="1"/>
  <c r="H40" i="3" s="1"/>
  <c r="H41" i="3" s="1"/>
  <c r="H42" i="3" s="1"/>
  <c r="H43" i="3" s="1"/>
  <c r="H44" i="3" s="1"/>
  <c r="H45" i="3" s="1"/>
  <c r="T55" i="2"/>
  <c r="T52" i="2"/>
  <c r="T53" i="2"/>
  <c r="T54" i="2"/>
  <c r="T49" i="2"/>
  <c r="T2" i="2" s="1"/>
  <c r="P3" i="4"/>
  <c r="P4" i="4" s="1"/>
  <c r="L40" i="1"/>
  <c r="H5" i="4"/>
  <c r="H6" i="4" s="1"/>
  <c r="F5" i="3"/>
  <c r="F6" i="3" s="1"/>
  <c r="F7" i="3" s="1"/>
  <c r="F8" i="3" s="1"/>
  <c r="F9" i="3" s="1"/>
  <c r="F10" i="3" s="1"/>
  <c r="F11" i="3" s="1"/>
  <c r="F12" i="3" s="1"/>
  <c r="F13" i="3" s="1"/>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F44" i="3" s="1"/>
  <c r="F45" i="3" s="1"/>
  <c r="F46" i="3" s="1"/>
  <c r="F47" i="3" s="1"/>
  <c r="F48" i="3" s="1"/>
  <c r="F49" i="3" s="1"/>
  <c r="F50" i="3" s="1"/>
  <c r="F51" i="3" s="1"/>
  <c r="F52" i="3" s="1"/>
  <c r="F53" i="3" s="1"/>
  <c r="F54" i="3" s="1"/>
  <c r="F55" i="3" s="1"/>
  <c r="F56" i="3" s="1"/>
  <c r="F57" i="3" s="1"/>
  <c r="F58" i="3" s="1"/>
  <c r="F59" i="3" s="1"/>
  <c r="F60" i="3" s="1"/>
  <c r="F61" i="3" s="1"/>
  <c r="F62" i="3" s="1"/>
  <c r="G5" i="3"/>
  <c r="G6" i="3" s="1"/>
  <c r="G7" i="3" s="1"/>
  <c r="G8" i="3" s="1"/>
  <c r="G9" i="3" s="1"/>
  <c r="G10" i="3" s="1"/>
  <c r="G11" i="3" s="1"/>
  <c r="G12" i="3" s="1"/>
  <c r="G13" i="3" s="1"/>
  <c r="G14" i="3" s="1"/>
  <c r="G15" i="3" s="1"/>
  <c r="G16" i="3" s="1"/>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G44" i="3" s="1"/>
  <c r="G45" i="3" s="1"/>
  <c r="G46" i="3" s="1"/>
  <c r="G47" i="3" s="1"/>
  <c r="G48" i="3" s="1"/>
  <c r="G49" i="3" s="1"/>
  <c r="G50" i="3" s="1"/>
  <c r="G51" i="3" s="1"/>
  <c r="G52" i="3" s="1"/>
  <c r="G53" i="3" s="1"/>
  <c r="G54" i="3" s="1"/>
  <c r="G55" i="3" s="1"/>
  <c r="G56" i="3" s="1"/>
  <c r="G57" i="3" s="1"/>
  <c r="G58" i="3" s="1"/>
  <c r="G59" i="3" s="1"/>
  <c r="G60" i="3" s="1"/>
  <c r="G61" i="3" s="1"/>
  <c r="G62" i="3" s="1"/>
  <c r="G63" i="3" s="1"/>
  <c r="G64" i="3" s="1"/>
  <c r="G65" i="3" s="1"/>
  <c r="G66" i="3" s="1"/>
  <c r="G67" i="3" s="1"/>
  <c r="G68" i="3" s="1"/>
  <c r="G69" i="3" s="1"/>
  <c r="G70" i="3" s="1"/>
  <c r="G71" i="3" s="1"/>
  <c r="G72" i="3" s="1"/>
  <c r="G73" i="3" s="1"/>
  <c r="G74" i="3" s="1"/>
  <c r="G75" i="3" s="1"/>
  <c r="G76" i="3" s="1"/>
  <c r="G77" i="3" s="1"/>
  <c r="G78" i="3" s="1"/>
  <c r="G79" i="3" s="1"/>
  <c r="G80" i="3" s="1"/>
  <c r="G81" i="3" s="1"/>
  <c r="G82" i="3" s="1"/>
  <c r="G83" i="3" s="1"/>
  <c r="G84" i="3" s="1"/>
  <c r="G85" i="3" s="1"/>
  <c r="G86" i="3" s="1"/>
  <c r="G87" i="3" s="1"/>
  <c r="G88" i="3" s="1"/>
  <c r="G89" i="3" s="1"/>
  <c r="G90" i="3" s="1"/>
  <c r="G91" i="3" s="1"/>
  <c r="G92" i="3" s="1"/>
  <c r="G93" i="3" s="1"/>
  <c r="G94" i="3" s="1"/>
  <c r="G95" i="3" s="1"/>
  <c r="G96" i="3" s="1"/>
  <c r="G97" i="3" s="1"/>
  <c r="G98" i="3" s="1"/>
  <c r="E4" i="3"/>
  <c r="E5" i="3" s="1"/>
  <c r="E6" i="3" s="1"/>
  <c r="E7" i="3" s="1"/>
  <c r="E8" i="3" s="1"/>
  <c r="E9" i="3" s="1"/>
  <c r="E10" i="3" s="1"/>
  <c r="E11" i="3" s="1"/>
  <c r="E12" i="3" s="1"/>
  <c r="E13" i="3" s="1"/>
  <c r="E14" i="3" s="1"/>
  <c r="E15" i="3" s="1"/>
  <c r="E16" i="3" s="1"/>
  <c r="E17" i="3" s="1"/>
  <c r="E18" i="3" s="1"/>
  <c r="E19" i="3" s="1"/>
  <c r="E20" i="3" s="1"/>
  <c r="E21" i="3" s="1"/>
  <c r="E22" i="3" s="1"/>
  <c r="E23" i="3" s="1"/>
  <c r="E24" i="3" s="1"/>
  <c r="E25" i="3" s="1"/>
  <c r="E26" i="3" s="1"/>
  <c r="E27" i="3" s="1"/>
  <c r="E28" i="3" s="1"/>
  <c r="E29" i="3" s="1"/>
  <c r="E30" i="3" s="1"/>
  <c r="E31" i="3" s="1"/>
  <c r="E32" i="3" s="1"/>
  <c r="E33" i="3" s="1"/>
  <c r="E34" i="3" s="1"/>
  <c r="E35" i="3" s="1"/>
  <c r="E36" i="3" s="1"/>
  <c r="E37" i="3" s="1"/>
  <c r="E38" i="3" s="1"/>
  <c r="E39" i="3" s="1"/>
  <c r="E40" i="3" s="1"/>
  <c r="E41" i="3" s="1"/>
  <c r="E42" i="3" s="1"/>
  <c r="E43" i="3" s="1"/>
  <c r="E44" i="3" s="1"/>
  <c r="E45" i="3" s="1"/>
  <c r="E46" i="3" s="1"/>
  <c r="E47" i="3" s="1"/>
  <c r="E48" i="3" s="1"/>
  <c r="E49" i="3" s="1"/>
  <c r="E50" i="3" s="1"/>
  <c r="E51" i="3" s="1"/>
  <c r="E52" i="3" s="1"/>
  <c r="E53" i="3" s="1"/>
  <c r="E54" i="3" s="1"/>
  <c r="E55" i="3" s="1"/>
  <c r="E56" i="3" s="1"/>
  <c r="E57" i="3" s="1"/>
  <c r="E58" i="3" s="1"/>
  <c r="E59" i="3" s="1"/>
  <c r="E60" i="3" s="1"/>
  <c r="E61" i="3" s="1"/>
  <c r="E62" i="3" s="1"/>
  <c r="E63" i="3" s="1"/>
  <c r="E64" i="3" s="1"/>
  <c r="E65" i="3" s="1"/>
  <c r="E66" i="3" s="1"/>
  <c r="E67" i="3" s="1"/>
  <c r="E68" i="3" s="1"/>
  <c r="E69" i="3" s="1"/>
  <c r="E70" i="3" s="1"/>
  <c r="E71" i="3" s="1"/>
  <c r="E72" i="3" s="1"/>
  <c r="E73" i="3" s="1"/>
  <c r="E74" i="3" s="1"/>
  <c r="E75" i="3" s="1"/>
  <c r="E76" i="3" s="1"/>
  <c r="E77" i="3" s="1"/>
  <c r="E78" i="3" s="1"/>
  <c r="E79" i="3" s="1"/>
  <c r="E80" i="3" s="1"/>
  <c r="E81" i="3" s="1"/>
  <c r="E82" i="3" s="1"/>
  <c r="E83" i="3" s="1"/>
  <c r="E84" i="3" s="1"/>
  <c r="E85" i="3" s="1"/>
  <c r="E86" i="3" s="1"/>
  <c r="E87" i="3" s="1"/>
  <c r="E88" i="3" s="1"/>
  <c r="E89" i="3" s="1"/>
  <c r="E90" i="3" s="1"/>
  <c r="E91" i="3" s="1"/>
  <c r="E92" i="3" s="1"/>
  <c r="E93" i="3" s="1"/>
  <c r="E94" i="3" s="1"/>
  <c r="E95" i="3" s="1"/>
  <c r="E96" i="3" s="1"/>
  <c r="E97" i="3" s="1"/>
  <c r="E98" i="3" s="1"/>
  <c r="E99" i="3" s="1"/>
  <c r="E100" i="3" s="1"/>
  <c r="E101" i="3" s="1"/>
  <c r="E102" i="3" s="1"/>
  <c r="E103" i="3" s="1"/>
  <c r="E104" i="3" s="1"/>
  <c r="E105" i="3" s="1"/>
  <c r="E106" i="3" s="1"/>
  <c r="E107" i="3" s="1"/>
  <c r="E108" i="3" s="1"/>
  <c r="E109" i="3" s="1"/>
  <c r="E110" i="3" s="1"/>
  <c r="E111" i="3" s="1"/>
  <c r="E112" i="3" s="1"/>
  <c r="E113" i="3" s="1"/>
  <c r="E114" i="3" s="1"/>
  <c r="E115" i="3" s="1"/>
  <c r="E116" i="3" s="1"/>
  <c r="E117" i="3" s="1"/>
  <c r="E118" i="3" s="1"/>
  <c r="E119" i="3" s="1"/>
  <c r="E120" i="3" s="1"/>
  <c r="E121" i="3" s="1"/>
  <c r="E122" i="3" s="1"/>
  <c r="E123" i="3" s="1"/>
  <c r="E124" i="3" s="1"/>
  <c r="E125" i="3" s="1"/>
  <c r="E126" i="3" s="1"/>
  <c r="E127" i="3" s="1"/>
  <c r="E128" i="3" s="1"/>
  <c r="E129" i="3" s="1"/>
  <c r="E130" i="3" s="1"/>
  <c r="E131" i="3" s="1"/>
  <c r="E132" i="3" s="1"/>
  <c r="E133" i="3" s="1"/>
  <c r="E134" i="3" s="1"/>
  <c r="E135" i="3" s="1"/>
  <c r="E136" i="3" s="1"/>
  <c r="E137" i="3" s="1"/>
  <c r="E138" i="3" s="1"/>
  <c r="L3" i="4"/>
  <c r="L4" i="4" s="1"/>
  <c r="P5" i="4"/>
  <c r="P6" i="4" s="1"/>
  <c r="H3" i="4"/>
  <c r="H4" i="4" s="1"/>
  <c r="L5" i="4"/>
  <c r="L6" i="4" s="1"/>
  <c r="P7" i="4"/>
  <c r="H7" i="4"/>
  <c r="L39" i="1"/>
  <c r="H39" i="1"/>
  <c r="H40" i="1"/>
  <c r="P39" i="1"/>
  <c r="P40" i="1"/>
  <c r="L38" i="1"/>
  <c r="P38" i="1"/>
  <c r="H38" i="1"/>
  <c r="H46" i="3" l="1"/>
  <c r="H47" i="3" s="1"/>
  <c r="H48" i="3" s="1"/>
  <c r="H49" i="3" s="1"/>
  <c r="H50" i="3" s="1"/>
  <c r="H51" i="3" s="1"/>
  <c r="H52" i="3" s="1"/>
  <c r="H53" i="3" s="1"/>
  <c r="H54" i="3" s="1"/>
  <c r="H55" i="3" s="1"/>
  <c r="H56" i="3" s="1"/>
  <c r="H57" i="3" s="1"/>
  <c r="H58" i="3" s="1"/>
  <c r="H59" i="3" s="1"/>
  <c r="H60" i="3" s="1"/>
  <c r="H61" i="3" s="1"/>
  <c r="H62" i="3" s="1"/>
  <c r="H63" i="3" s="1"/>
  <c r="H64" i="3" s="1"/>
  <c r="H65" i="3" s="1"/>
  <c r="H66" i="3" s="1"/>
  <c r="H67" i="3" s="1"/>
  <c r="H68" i="3" s="1"/>
  <c r="H69" i="3" s="1"/>
  <c r="H70" i="3" s="1"/>
  <c r="H71" i="3" s="1"/>
  <c r="H72" i="3" s="1"/>
  <c r="H73" i="3" s="1"/>
  <c r="H74" i="3" s="1"/>
  <c r="H75" i="3" s="1"/>
  <c r="H76" i="3" s="1"/>
  <c r="H77" i="3" s="1"/>
  <c r="H78" i="3" s="1"/>
  <c r="H79" i="3" s="1"/>
  <c r="H80" i="3" s="1"/>
  <c r="H81" i="3" s="1"/>
  <c r="H82" i="3" s="1"/>
  <c r="H83" i="3" s="1"/>
  <c r="H84" i="3" s="1"/>
  <c r="H85" i="3" s="1"/>
  <c r="H86" i="3" s="1"/>
  <c r="H87" i="3" s="1"/>
  <c r="H88" i="3" s="1"/>
  <c r="H89" i="3" s="1"/>
  <c r="H90" i="3" s="1"/>
  <c r="H91" i="3" s="1"/>
  <c r="H92" i="3" s="1"/>
  <c r="H93" i="3" s="1"/>
  <c r="H94" i="3" s="1"/>
  <c r="H95" i="3" s="1"/>
  <c r="H96" i="3" s="1"/>
  <c r="H97" i="3" s="1"/>
  <c r="H98" i="3" s="1"/>
  <c r="H99" i="3" s="1"/>
  <c r="H100" i="3" s="1"/>
  <c r="H101" i="3" s="1"/>
  <c r="H102" i="3" s="1"/>
  <c r="H103" i="3" s="1"/>
  <c r="H104" i="3" s="1"/>
  <c r="H105" i="3" s="1"/>
  <c r="H106" i="3" s="1"/>
  <c r="H107" i="3" s="1"/>
  <c r="H108" i="3" s="1"/>
  <c r="H109" i="3" s="1"/>
  <c r="H110" i="3" s="1"/>
  <c r="H111" i="3" s="1"/>
  <c r="H112" i="3" s="1"/>
  <c r="H113" i="3" s="1"/>
  <c r="H114" i="3" s="1"/>
  <c r="H115" i="3" s="1"/>
  <c r="H116" i="3" s="1"/>
  <c r="H117" i="3" s="1"/>
  <c r="H118" i="3" s="1"/>
  <c r="H119" i="3" s="1"/>
  <c r="H120" i="3" s="1"/>
  <c r="H121" i="3" s="1"/>
  <c r="H122" i="3" s="1"/>
  <c r="H123" i="3" s="1"/>
  <c r="H124" i="3" s="1"/>
  <c r="H125" i="3" s="1"/>
  <c r="H126" i="3" s="1"/>
  <c r="H127" i="3" s="1"/>
  <c r="H128" i="3" s="1"/>
  <c r="H129" i="3" s="1"/>
  <c r="H130" i="3" s="1"/>
  <c r="H131" i="3" s="1"/>
  <c r="H132" i="3" s="1"/>
  <c r="H133" i="3" s="1"/>
  <c r="H134" i="3" s="1"/>
  <c r="H135" i="3" s="1"/>
  <c r="H136" i="3" s="1"/>
  <c r="H137" i="3" s="1"/>
  <c r="H138" i="3" s="1"/>
  <c r="H139" i="3" s="1"/>
  <c r="H140" i="3" s="1"/>
  <c r="H141" i="3" s="1"/>
  <c r="H142" i="3" s="1"/>
  <c r="H143" i="3" s="1"/>
  <c r="H144" i="3" s="1"/>
  <c r="H145" i="3" s="1"/>
  <c r="H146" i="3" s="1"/>
  <c r="H147" i="3" s="1"/>
  <c r="H148" i="3" s="1"/>
  <c r="H149" i="3" s="1"/>
  <c r="H150" i="3" s="1"/>
  <c r="H151" i="3" s="1"/>
  <c r="H152" i="3" s="1"/>
  <c r="H153" i="3" s="1"/>
  <c r="H154" i="3" s="1"/>
  <c r="H155" i="3" s="1"/>
  <c r="H156" i="3" s="1"/>
  <c r="H157" i="3" s="1"/>
  <c r="H158" i="3" s="1"/>
  <c r="H159" i="3" s="1"/>
  <c r="H160" i="3" s="1"/>
  <c r="H161" i="3" s="1"/>
  <c r="H162" i="3" s="1"/>
  <c r="H163" i="3" s="1"/>
  <c r="H164" i="3" s="1"/>
  <c r="H165" i="3" s="1"/>
  <c r="H166" i="3" s="1"/>
  <c r="H167" i="3" s="1"/>
  <c r="H168" i="3" s="1"/>
  <c r="H169" i="3" s="1"/>
  <c r="H170" i="3" s="1"/>
  <c r="H171" i="3" s="1"/>
  <c r="H172" i="3" s="1"/>
  <c r="H173" i="3" s="1"/>
  <c r="H174" i="3" s="1"/>
  <c r="H175" i="3" s="1"/>
  <c r="H176" i="3" s="1"/>
  <c r="H177" i="3" s="1"/>
  <c r="H178" i="3" s="1"/>
  <c r="H179" i="3" s="1"/>
  <c r="H180" i="3" s="1"/>
  <c r="H181" i="3" s="1"/>
  <c r="H182" i="3" s="1"/>
  <c r="H183" i="3" s="1"/>
  <c r="H184" i="3" s="1"/>
  <c r="H185" i="3" s="1"/>
  <c r="H186" i="3" s="1"/>
  <c r="H187" i="3" s="1"/>
  <c r="H188" i="3" s="1"/>
  <c r="H189" i="3" s="1"/>
  <c r="H190" i="3" s="1"/>
  <c r="H191" i="3" s="1"/>
  <c r="H192" i="3" s="1"/>
  <c r="H193" i="3" s="1"/>
  <c r="H194" i="3" s="1"/>
  <c r="H195" i="3" s="1"/>
  <c r="H196" i="3" s="1"/>
  <c r="H197" i="3" s="1"/>
  <c r="H198" i="3" s="1"/>
  <c r="H199" i="3" s="1"/>
  <c r="H200" i="3" s="1"/>
  <c r="H201" i="3" s="1"/>
  <c r="H202" i="3" s="1"/>
  <c r="H203" i="3" s="1"/>
  <c r="H204" i="3" s="1"/>
  <c r="H205" i="3" s="1"/>
  <c r="H206" i="3" s="1"/>
  <c r="H207" i="3" s="1"/>
  <c r="H208" i="3" s="1"/>
  <c r="H209" i="3" s="1"/>
  <c r="H210" i="3" s="1"/>
  <c r="H211" i="3" s="1"/>
  <c r="H212" i="3" s="1"/>
  <c r="H213" i="3" s="1"/>
  <c r="H214" i="3" s="1"/>
  <c r="H215" i="3" s="1"/>
  <c r="H216" i="3" s="1"/>
  <c r="H217" i="3" s="1"/>
  <c r="H218" i="3" s="1"/>
  <c r="H219" i="3" s="1"/>
  <c r="H220" i="3" s="1"/>
  <c r="H221" i="3" s="1"/>
  <c r="H222" i="3" s="1"/>
  <c r="H223" i="3" s="1"/>
  <c r="H224" i="3" s="1"/>
  <c r="H225" i="3" s="1"/>
  <c r="H226" i="3" s="1"/>
  <c r="H227" i="3" s="1"/>
  <c r="H228" i="3" s="1"/>
  <c r="H229" i="3" s="1"/>
  <c r="H230" i="3" s="1"/>
  <c r="H231" i="3" s="1"/>
  <c r="H232" i="3" s="1"/>
  <c r="H233" i="3" s="1"/>
  <c r="H234" i="3" s="1"/>
  <c r="H235" i="3" s="1"/>
  <c r="H236" i="3" s="1"/>
  <c r="H237" i="3" s="1"/>
  <c r="H238" i="3" s="1"/>
  <c r="H239" i="3" s="1"/>
  <c r="H240" i="3" s="1"/>
  <c r="H241" i="3" s="1"/>
  <c r="H242" i="3" s="1"/>
  <c r="H243" i="3" s="1"/>
  <c r="H244" i="3" s="1"/>
  <c r="H245" i="3" s="1"/>
  <c r="H246" i="3" s="1"/>
  <c r="H247" i="3" s="1"/>
  <c r="H248" i="3" s="1"/>
  <c r="H249" i="3" s="1"/>
  <c r="H250" i="3" s="1"/>
  <c r="H251" i="3" s="1"/>
  <c r="T3" i="2"/>
  <c r="T7" i="2"/>
  <c r="I104" i="2"/>
  <c r="K104" i="2"/>
  <c r="J104" i="2"/>
  <c r="T5" i="2"/>
  <c r="T6" i="2" s="1"/>
  <c r="L104" i="2" l="1"/>
  <c r="T4" i="2"/>
  <c r="L68" i="2"/>
  <c r="O104" i="2" l="1"/>
  <c r="N104" i="2"/>
  <c r="M104" i="2"/>
  <c r="F63" i="3"/>
  <c r="F64" i="3" s="1"/>
  <c r="F65" i="3" s="1"/>
  <c r="F66" i="3" s="1"/>
  <c r="F67" i="3" s="1"/>
  <c r="F68" i="3" s="1"/>
  <c r="F69" i="3" s="1"/>
  <c r="F70" i="3" s="1"/>
  <c r="F71" i="3" s="1"/>
  <c r="F72" i="3" s="1"/>
  <c r="F73" i="3" s="1"/>
  <c r="F74" i="3" s="1"/>
  <c r="F75" i="3" s="1"/>
  <c r="F76" i="3" s="1"/>
  <c r="F77" i="3" s="1"/>
  <c r="F78" i="3" s="1"/>
  <c r="F79" i="3" s="1"/>
  <c r="F80" i="3" s="1"/>
  <c r="F81" i="3" s="1"/>
  <c r="F82" i="3" s="1"/>
  <c r="F83" i="3" s="1"/>
  <c r="F84" i="3" s="1"/>
  <c r="F85" i="3" s="1"/>
  <c r="F86" i="3" s="1"/>
  <c r="F87" i="3" s="1"/>
  <c r="F88" i="3" s="1"/>
  <c r="F89" i="3" s="1"/>
  <c r="F90" i="3" s="1"/>
  <c r="F91" i="3" s="1"/>
  <c r="F92" i="3" s="1"/>
  <c r="F93" i="3" s="1"/>
  <c r="F94" i="3" s="1"/>
  <c r="F95" i="3" s="1"/>
  <c r="F96" i="3" s="1"/>
  <c r="F97" i="3" s="1"/>
  <c r="F98" i="3" s="1"/>
  <c r="F99" i="3" s="1"/>
  <c r="F100" i="3" s="1"/>
  <c r="F101" i="3" s="1"/>
  <c r="F102" i="3" s="1"/>
  <c r="F103" i="3" s="1"/>
  <c r="P104" i="2" l="1"/>
  <c r="G99" i="3" l="1"/>
  <c r="M105" i="2"/>
  <c r="N105" i="2"/>
  <c r="O105" i="2"/>
  <c r="P105" i="2" l="1"/>
  <c r="G100" i="3" s="1"/>
  <c r="M107" i="2" l="1"/>
  <c r="N107" i="2"/>
  <c r="O107" i="2"/>
  <c r="N108" i="2"/>
  <c r="N106" i="2"/>
  <c r="O106" i="2"/>
  <c r="O108" i="2"/>
  <c r="M108" i="2"/>
  <c r="M106" i="2"/>
  <c r="P108" i="2" l="1"/>
  <c r="P106" i="2"/>
  <c r="G101" i="3" s="1"/>
  <c r="G102" i="3" s="1"/>
  <c r="G103" i="3" s="1"/>
  <c r="P107" i="2"/>
  <c r="I109" i="2" s="1"/>
  <c r="K109" i="2" l="1"/>
  <c r="O109" i="2" s="1"/>
  <c r="J109" i="2"/>
  <c r="N109" i="2" s="1"/>
  <c r="M109" i="2"/>
  <c r="P109" i="2" l="1"/>
  <c r="K110" i="2" s="1"/>
  <c r="O110" i="2" s="1"/>
  <c r="L109" i="2"/>
  <c r="F104" i="3" s="1"/>
  <c r="J110" i="2"/>
  <c r="N110" i="2" s="1"/>
  <c r="G104" i="3"/>
  <c r="I110" i="2"/>
  <c r="L110" i="2" s="1"/>
  <c r="F105" i="3" s="1"/>
  <c r="F106" i="3" s="1"/>
  <c r="M110" i="2" l="1"/>
  <c r="P110" i="2" s="1"/>
  <c r="M111" i="2"/>
  <c r="N111" i="2"/>
  <c r="O111" i="2"/>
  <c r="G105" i="3" l="1"/>
  <c r="P111" i="2"/>
  <c r="I112" i="2" s="1"/>
  <c r="M112" i="2" l="1"/>
  <c r="J112" i="2"/>
  <c r="N112" i="2" s="1"/>
  <c r="G106" i="3"/>
  <c r="K112" i="2"/>
  <c r="O112" i="2" s="1"/>
  <c r="L112" i="2" l="1"/>
  <c r="M114" i="2" s="1"/>
  <c r="P112" i="2"/>
  <c r="G107" i="3" s="1"/>
  <c r="L114" i="2"/>
  <c r="F107" i="3" l="1"/>
  <c r="F108" i="3" s="1"/>
  <c r="F109" i="3" s="1"/>
  <c r="F110" i="3" s="1"/>
  <c r="F111" i="3" s="1"/>
  <c r="F112" i="3" s="1"/>
  <c r="F113" i="3" s="1"/>
  <c r="F114" i="3" s="1"/>
  <c r="F115" i="3" s="1"/>
  <c r="F116" i="3" s="1"/>
  <c r="F117" i="3" s="1"/>
  <c r="F118" i="3" s="1"/>
  <c r="M113" i="2"/>
  <c r="O114" i="2"/>
  <c r="N114" i="2"/>
  <c r="P114" i="2" s="1"/>
  <c r="N113" i="2"/>
  <c r="O113" i="2"/>
  <c r="P113" i="2" l="1"/>
  <c r="G108" i="3" l="1"/>
  <c r="G109" i="3" s="1"/>
  <c r="G110" i="3" s="1"/>
  <c r="G111" i="3" s="1"/>
  <c r="G112" i="3" s="1"/>
  <c r="G113" i="3" s="1"/>
  <c r="G114" i="3" s="1"/>
  <c r="G115" i="3" s="1"/>
  <c r="G116" i="3" s="1"/>
  <c r="G117" i="3" s="1"/>
  <c r="G118" i="3" s="1"/>
  <c r="G119" i="3" s="1"/>
  <c r="J124" i="2"/>
  <c r="I124" i="2"/>
  <c r="K125" i="2"/>
  <c r="K124" i="2"/>
  <c r="I125" i="2"/>
  <c r="J125" i="2"/>
  <c r="L124" i="2" l="1"/>
  <c r="F119" i="3" s="1"/>
  <c r="L125" i="2"/>
  <c r="F120" i="3" s="1"/>
  <c r="O125" i="2"/>
  <c r="M125" i="2" l="1"/>
  <c r="N125" i="2"/>
  <c r="P125" i="2" s="1"/>
  <c r="J126" i="2" l="1"/>
  <c r="N126" i="2" s="1"/>
  <c r="K126" i="2"/>
  <c r="O126" i="2" s="1"/>
  <c r="I126" i="2"/>
  <c r="G120" i="3"/>
  <c r="M126" i="2" l="1"/>
  <c r="P126" i="2" s="1"/>
  <c r="L126" i="2"/>
  <c r="F121" i="3" l="1"/>
  <c r="I127" i="2"/>
  <c r="K127" i="2"/>
  <c r="O127" i="2" s="1"/>
  <c r="J127" i="2"/>
  <c r="N127" i="2" s="1"/>
  <c r="G121" i="3"/>
  <c r="M127" i="2" l="1"/>
  <c r="P127" i="2" s="1"/>
  <c r="L127" i="2"/>
  <c r="F122" i="3" s="1"/>
  <c r="G122" i="3" l="1"/>
  <c r="J128" i="2"/>
  <c r="N128" i="2" s="1"/>
  <c r="K128" i="2"/>
  <c r="O128" i="2" s="1"/>
  <c r="I128" i="2"/>
  <c r="M128" i="2" l="1"/>
  <c r="P128" i="2" s="1"/>
  <c r="G123" i="3" s="1"/>
  <c r="L128" i="2"/>
  <c r="F123" i="3" s="1"/>
  <c r="I129" i="2" l="1"/>
  <c r="K129" i="2"/>
  <c r="O129" i="2" s="1"/>
  <c r="J129" i="2"/>
  <c r="N129" i="2" s="1"/>
  <c r="M129" i="2" l="1"/>
  <c r="P129" i="2" s="1"/>
  <c r="L129" i="2"/>
  <c r="F124" i="3" l="1"/>
  <c r="G124" i="3"/>
  <c r="K130" i="2"/>
  <c r="O130" i="2" s="1"/>
  <c r="I130" i="2"/>
  <c r="J130" i="2"/>
  <c r="N130" i="2" s="1"/>
  <c r="H166" i="2"/>
  <c r="H245" i="2"/>
  <c r="H165" i="2"/>
  <c r="H168" i="2"/>
  <c r="H164" i="2"/>
  <c r="H161" i="2"/>
  <c r="H167" i="2"/>
  <c r="H162" i="2"/>
  <c r="H163" i="2"/>
  <c r="H160" i="2"/>
  <c r="H159" i="2"/>
  <c r="M130" i="2" l="1"/>
  <c r="P130" i="2" s="1"/>
  <c r="G125" i="3" s="1"/>
  <c r="L130" i="2"/>
  <c r="F125" i="3" s="1"/>
  <c r="P149" i="2"/>
  <c r="I131" i="2" l="1"/>
  <c r="K131" i="2"/>
  <c r="O131" i="2" s="1"/>
  <c r="J131" i="2"/>
  <c r="N131" i="2" s="1"/>
  <c r="L150" i="2"/>
  <c r="M131" i="2" l="1"/>
  <c r="P131" i="2" s="1"/>
  <c r="L131" i="2"/>
  <c r="F126" i="3" l="1"/>
  <c r="G126" i="3"/>
  <c r="K132" i="2"/>
  <c r="O132" i="2" s="1"/>
  <c r="I132" i="2"/>
  <c r="J132" i="2"/>
  <c r="N132" i="2" s="1"/>
  <c r="M132" i="2" l="1"/>
  <c r="P132" i="2" s="1"/>
  <c r="L132" i="2"/>
  <c r="F127" i="3" l="1"/>
  <c r="I133" i="2"/>
  <c r="J133" i="2"/>
  <c r="N133" i="2" s="1"/>
  <c r="K133" i="2"/>
  <c r="O133" i="2" s="1"/>
  <c r="G127" i="3"/>
  <c r="M133" i="2" l="1"/>
  <c r="P133" i="2" s="1"/>
  <c r="G128" i="3" s="1"/>
  <c r="G129" i="3" s="1"/>
  <c r="G130" i="3" s="1"/>
  <c r="G131" i="3" s="1"/>
  <c r="G132" i="3" s="1"/>
  <c r="G133" i="3" s="1"/>
  <c r="G134" i="3" s="1"/>
  <c r="G135" i="3" s="1"/>
  <c r="G136" i="3" s="1"/>
  <c r="G137" i="3" s="1"/>
  <c r="G138" i="3" s="1"/>
  <c r="G139" i="3" s="1"/>
  <c r="G140" i="3" s="1"/>
  <c r="G141" i="3" s="1"/>
  <c r="G142" i="3" s="1"/>
  <c r="G143" i="3" s="1"/>
  <c r="G144" i="3" s="1"/>
  <c r="G145" i="3" s="1"/>
  <c r="G146" i="3" s="1"/>
  <c r="L133" i="2"/>
  <c r="F128" i="3" s="1"/>
  <c r="J134" i="2" l="1"/>
  <c r="I134" i="2"/>
  <c r="K134" i="2"/>
  <c r="L134" i="2" l="1"/>
  <c r="E144" i="2" l="1"/>
  <c r="G146" i="2"/>
  <c r="F129" i="3"/>
  <c r="F130" i="3" s="1"/>
  <c r="F131" i="3" s="1"/>
  <c r="F132" i="3" s="1"/>
  <c r="F133" i="3" s="1"/>
  <c r="F134" i="3" s="1"/>
  <c r="F135" i="3" s="1"/>
  <c r="F136" i="3" s="1"/>
  <c r="F137" i="3" s="1"/>
  <c r="F138" i="3" s="1"/>
  <c r="F139" i="3" s="1"/>
  <c r="F140" i="3" s="1"/>
  <c r="F141" i="3" s="1"/>
  <c r="F142" i="3" s="1"/>
  <c r="F143" i="3" s="1"/>
  <c r="F144" i="3" s="1"/>
  <c r="F145" i="3" s="1"/>
  <c r="F146" i="3" s="1"/>
  <c r="F147" i="3" s="1"/>
  <c r="F148" i="3" s="1"/>
  <c r="F149" i="3" s="1"/>
  <c r="F150" i="3" s="1"/>
  <c r="F151" i="3" s="1"/>
  <c r="F152" i="3" s="1"/>
  <c r="F153" i="3" s="1"/>
  <c r="F145" i="2"/>
  <c r="G145" i="2"/>
  <c r="G144" i="2"/>
  <c r="E146" i="2"/>
  <c r="F144" i="2"/>
  <c r="E147" i="2"/>
  <c r="E145" i="2"/>
  <c r="F146" i="2"/>
  <c r="G147" i="2"/>
  <c r="F147" i="2"/>
  <c r="H145" i="2" l="1"/>
  <c r="H146" i="2"/>
  <c r="H147" i="2"/>
  <c r="H144" i="2"/>
  <c r="E139" i="3" l="1"/>
  <c r="E140" i="3" s="1"/>
  <c r="E141" i="3" s="1"/>
  <c r="E142" i="3" s="1"/>
  <c r="E143" i="3" s="1"/>
  <c r="E144" i="3" s="1"/>
  <c r="E145" i="3" s="1"/>
  <c r="E146" i="3" s="1"/>
  <c r="E147" i="3" s="1"/>
  <c r="E148" i="3" s="1"/>
  <c r="E149" i="3" s="1"/>
  <c r="E150" i="3" s="1"/>
  <c r="E151" i="3" s="1"/>
  <c r="E152" i="3" s="1"/>
  <c r="E153" i="3" s="1"/>
  <c r="E154" i="3" s="1"/>
  <c r="E155" i="3" s="1"/>
  <c r="E156" i="3" s="1"/>
  <c r="E157" i="3" s="1"/>
  <c r="E158" i="3" s="1"/>
  <c r="E159" i="3" s="1"/>
  <c r="E160" i="3" s="1"/>
  <c r="E161" i="3" s="1"/>
  <c r="E162" i="3" s="1"/>
  <c r="E163" i="3" s="1"/>
  <c r="E164" i="3" s="1"/>
  <c r="E165" i="3" s="1"/>
  <c r="E166" i="3" s="1"/>
  <c r="E167" i="3" s="1"/>
  <c r="E168" i="3" s="1"/>
  <c r="E169" i="3" s="1"/>
  <c r="E170" i="3" s="1"/>
  <c r="E171" i="3" s="1"/>
  <c r="E172" i="3" s="1"/>
  <c r="E173" i="3" s="1"/>
  <c r="E174" i="3" s="1"/>
  <c r="E175" i="3" s="1"/>
  <c r="E176" i="3" s="1"/>
  <c r="E177" i="3" s="1"/>
  <c r="E178" i="3" s="1"/>
  <c r="E179" i="3" s="1"/>
  <c r="E180" i="3" s="1"/>
  <c r="E181" i="3" s="1"/>
  <c r="E182" i="3" s="1"/>
  <c r="E183" i="3" s="1"/>
  <c r="E184" i="3" s="1"/>
  <c r="E185" i="3" s="1"/>
  <c r="E186" i="3" s="1"/>
  <c r="E187" i="3" s="1"/>
  <c r="E188" i="3" s="1"/>
  <c r="E189" i="3" s="1"/>
  <c r="E190" i="3" s="1"/>
  <c r="E191" i="3" s="1"/>
  <c r="E192" i="3" s="1"/>
  <c r="E193" i="3" s="1"/>
  <c r="E194" i="3" s="1"/>
  <c r="E195" i="3" s="1"/>
  <c r="E196" i="3" s="1"/>
  <c r="E197" i="3" s="1"/>
  <c r="E198" i="3" s="1"/>
  <c r="E199" i="3" s="1"/>
  <c r="E200" i="3" s="1"/>
  <c r="E201" i="3" s="1"/>
  <c r="E202" i="3" s="1"/>
  <c r="E203" i="3" s="1"/>
  <c r="E204" i="3" s="1"/>
  <c r="E205" i="3" s="1"/>
  <c r="E206" i="3" s="1"/>
  <c r="E207" i="3" s="1"/>
  <c r="E208" i="3" s="1"/>
  <c r="E209" i="3" s="1"/>
  <c r="E210" i="3" s="1"/>
  <c r="E211" i="3" s="1"/>
  <c r="E212" i="3" s="1"/>
  <c r="E213" i="3" s="1"/>
  <c r="E214" i="3" s="1"/>
  <c r="E215" i="3" s="1"/>
  <c r="E216" i="3" s="1"/>
  <c r="E217" i="3" s="1"/>
  <c r="E218" i="3" s="1"/>
  <c r="E219" i="3" s="1"/>
  <c r="E220" i="3" s="1"/>
  <c r="E221" i="3" s="1"/>
  <c r="E222" i="3" s="1"/>
  <c r="E223" i="3" s="1"/>
  <c r="E224" i="3" s="1"/>
  <c r="E225" i="3" s="1"/>
  <c r="E226" i="3" s="1"/>
  <c r="E227" i="3" s="1"/>
  <c r="E228" i="3" s="1"/>
  <c r="E229" i="3" s="1"/>
  <c r="E230" i="3" s="1"/>
  <c r="E231" i="3" s="1"/>
  <c r="E232" i="3" s="1"/>
  <c r="E233" i="3" s="1"/>
  <c r="E234" i="3" s="1"/>
  <c r="E235" i="3" s="1"/>
  <c r="E236" i="3" s="1"/>
  <c r="E237" i="3" s="1"/>
  <c r="E238" i="3" s="1"/>
  <c r="E239" i="3" s="1"/>
  <c r="E240" i="3" s="1"/>
  <c r="E241" i="3" s="1"/>
  <c r="E242" i="3" s="1"/>
  <c r="E243" i="3" s="1"/>
  <c r="E244" i="3" s="1"/>
  <c r="E245" i="3" s="1"/>
  <c r="E246" i="3" s="1"/>
  <c r="E247" i="3" s="1"/>
  <c r="E248" i="3" s="1"/>
  <c r="E249" i="3" s="1"/>
  <c r="E250" i="3" s="1"/>
  <c r="E251" i="3" s="1"/>
  <c r="H5" i="2"/>
  <c r="H6" i="2" s="1"/>
  <c r="H7" i="2"/>
  <c r="H2" i="2"/>
  <c r="M152" i="2"/>
  <c r="O152" i="2"/>
  <c r="N152" i="2"/>
  <c r="O153" i="2"/>
  <c r="M153" i="2"/>
  <c r="N153" i="2"/>
  <c r="P152" i="2" l="1"/>
  <c r="G147" i="3" s="1"/>
  <c r="P153" i="2"/>
  <c r="G148" i="3" s="1"/>
  <c r="G149" i="3" s="1"/>
  <c r="G150" i="3" s="1"/>
  <c r="G151" i="3" s="1"/>
  <c r="G152" i="3" s="1"/>
  <c r="G153" i="3" s="1"/>
  <c r="H3" i="2"/>
  <c r="H4" i="2"/>
  <c r="L159" i="2" l="1"/>
  <c r="F154" i="3" s="1"/>
  <c r="P159" i="2"/>
  <c r="G154" i="3" l="1"/>
  <c r="P160" i="2" l="1"/>
  <c r="G155" i="3" s="1"/>
  <c r="L160" i="2"/>
  <c r="F155" i="3" l="1"/>
  <c r="P161" i="2"/>
  <c r="L161" i="2"/>
  <c r="G156" i="3" l="1"/>
  <c r="F156" i="3"/>
  <c r="L162" i="2" l="1"/>
  <c r="F157" i="3" s="1"/>
  <c r="P162" i="2"/>
  <c r="G157" i="3" s="1"/>
  <c r="P163" i="2" l="1"/>
  <c r="G158" i="3" s="1"/>
  <c r="L163" i="2"/>
  <c r="F158" i="3" s="1"/>
  <c r="L164" i="2" l="1"/>
  <c r="F159" i="3" s="1"/>
  <c r="P164" i="2"/>
  <c r="G159" i="3" s="1"/>
  <c r="P165" i="2" l="1"/>
  <c r="G160" i="3" s="1"/>
  <c r="L165" i="2"/>
  <c r="F160" i="3" s="1"/>
  <c r="L166" i="2" l="1"/>
  <c r="F161" i="3" s="1"/>
  <c r="P166" i="2"/>
  <c r="G161" i="3" s="1"/>
  <c r="P167" i="2" l="1"/>
  <c r="G162" i="3" s="1"/>
  <c r="L167" i="2"/>
  <c r="P168" i="2" l="1"/>
  <c r="F162" i="3"/>
  <c r="L168" i="2"/>
  <c r="G163" i="3" l="1"/>
  <c r="G164" i="3" s="1"/>
  <c r="G165" i="3" s="1"/>
  <c r="G166" i="3" s="1"/>
  <c r="G167" i="3" s="1"/>
  <c r="G168" i="3" s="1"/>
  <c r="G169" i="3" s="1"/>
  <c r="G170" i="3" s="1"/>
  <c r="G171" i="3" s="1"/>
  <c r="G172" i="3" s="1"/>
  <c r="G173" i="3" s="1"/>
  <c r="G174" i="3" s="1"/>
  <c r="G175" i="3" s="1"/>
  <c r="G176" i="3" s="1"/>
  <c r="G177" i="3" s="1"/>
  <c r="G178" i="3" s="1"/>
  <c r="G179" i="3" s="1"/>
  <c r="G180" i="3" s="1"/>
  <c r="G181" i="3" s="1"/>
  <c r="G182" i="3" s="1"/>
  <c r="G183" i="3" s="1"/>
  <c r="G184" i="3" s="1"/>
  <c r="G185" i="3" s="1"/>
  <c r="G186" i="3" s="1"/>
  <c r="G187" i="3" s="1"/>
  <c r="G188" i="3" s="1"/>
  <c r="G189" i="3" s="1"/>
  <c r="G190" i="3" s="1"/>
  <c r="G191" i="3" s="1"/>
  <c r="G192" i="3" s="1"/>
  <c r="G193" i="3" s="1"/>
  <c r="G194" i="3" s="1"/>
  <c r="G195" i="3" s="1"/>
  <c r="G196" i="3" s="1"/>
  <c r="G197" i="3" s="1"/>
  <c r="G198" i="3" s="1"/>
  <c r="G199" i="3" s="1"/>
  <c r="G200" i="3" s="1"/>
  <c r="G201" i="3" s="1"/>
  <c r="G202" i="3" s="1"/>
  <c r="G203" i="3" s="1"/>
  <c r="G204" i="3" s="1"/>
  <c r="G205" i="3" s="1"/>
  <c r="G206" i="3" s="1"/>
  <c r="G207" i="3" s="1"/>
  <c r="G208" i="3" s="1"/>
  <c r="G209" i="3" s="1"/>
  <c r="G210" i="3" s="1"/>
  <c r="G211" i="3" s="1"/>
  <c r="G212" i="3" s="1"/>
  <c r="G213" i="3" s="1"/>
  <c r="G214" i="3" s="1"/>
  <c r="G215" i="3" s="1"/>
  <c r="G216" i="3" s="1"/>
  <c r="G217" i="3" s="1"/>
  <c r="G218" i="3" s="1"/>
  <c r="G219" i="3" s="1"/>
  <c r="G220" i="3" s="1"/>
  <c r="G221" i="3" s="1"/>
  <c r="G222" i="3" s="1"/>
  <c r="G223" i="3" s="1"/>
  <c r="G224" i="3" s="1"/>
  <c r="G225" i="3" s="1"/>
  <c r="G226" i="3" s="1"/>
  <c r="G227" i="3" s="1"/>
  <c r="G228" i="3" s="1"/>
  <c r="G229" i="3" s="1"/>
  <c r="G230" i="3" s="1"/>
  <c r="G231" i="3" s="1"/>
  <c r="G232" i="3" s="1"/>
  <c r="G233" i="3" s="1"/>
  <c r="G234" i="3" s="1"/>
  <c r="G235" i="3" s="1"/>
  <c r="G236" i="3" s="1"/>
  <c r="G237" i="3" s="1"/>
  <c r="G238" i="3" s="1"/>
  <c r="G239" i="3" s="1"/>
  <c r="K182" i="2"/>
  <c r="I196" i="2"/>
  <c r="K196" i="2"/>
  <c r="J196" i="2"/>
  <c r="J182" i="2"/>
  <c r="I182" i="2"/>
  <c r="L182" i="2" s="1"/>
  <c r="F163" i="3"/>
  <c r="F164" i="3" s="1"/>
  <c r="F165" i="3" s="1"/>
  <c r="F166" i="3" s="1"/>
  <c r="F167" i="3" s="1"/>
  <c r="F168" i="3" s="1"/>
  <c r="F169" i="3" s="1"/>
  <c r="F170" i="3" s="1"/>
  <c r="F171" i="3" s="1"/>
  <c r="F172" i="3" s="1"/>
  <c r="F173" i="3" s="1"/>
  <c r="F174" i="3" s="1"/>
  <c r="F175" i="3" s="1"/>
  <c r="F176" i="3" s="1"/>
  <c r="F177" i="3" l="1"/>
  <c r="F178" i="3" s="1"/>
  <c r="F179" i="3" s="1"/>
  <c r="F180" i="3" s="1"/>
  <c r="F181" i="3" s="1"/>
  <c r="F182" i="3" s="1"/>
  <c r="F183" i="3" s="1"/>
  <c r="F184" i="3" s="1"/>
  <c r="F185" i="3" s="1"/>
  <c r="F186" i="3" s="1"/>
  <c r="F187" i="3" s="1"/>
  <c r="F188" i="3" s="1"/>
  <c r="F189" i="3" s="1"/>
  <c r="F190" i="3" s="1"/>
  <c r="L196" i="2"/>
  <c r="L2" i="2" s="1"/>
  <c r="L245" i="2"/>
  <c r="P245" i="2"/>
  <c r="L7" i="2"/>
  <c r="L5" i="2"/>
  <c r="L6" i="2" s="1"/>
  <c r="F191" i="3" l="1"/>
  <c r="F192" i="3" s="1"/>
  <c r="F193" i="3" s="1"/>
  <c r="F194" i="3" s="1"/>
  <c r="F195" i="3" s="1"/>
  <c r="F196" i="3" s="1"/>
  <c r="F197" i="3" s="1"/>
  <c r="F198" i="3" s="1"/>
  <c r="F199" i="3" s="1"/>
  <c r="F200" i="3" s="1"/>
  <c r="F201" i="3" s="1"/>
  <c r="F202" i="3" s="1"/>
  <c r="F203" i="3" s="1"/>
  <c r="F204" i="3" s="1"/>
  <c r="F205" i="3" s="1"/>
  <c r="F206" i="3" s="1"/>
  <c r="F207" i="3" s="1"/>
  <c r="F208" i="3" s="1"/>
  <c r="F209" i="3" s="1"/>
  <c r="F210" i="3" s="1"/>
  <c r="F211" i="3" s="1"/>
  <c r="F212" i="3" s="1"/>
  <c r="F213" i="3" s="1"/>
  <c r="F214" i="3" s="1"/>
  <c r="F215" i="3" s="1"/>
  <c r="F216" i="3" s="1"/>
  <c r="F217" i="3" s="1"/>
  <c r="F218" i="3" s="1"/>
  <c r="F219" i="3" s="1"/>
  <c r="F220" i="3" s="1"/>
  <c r="F221" i="3" s="1"/>
  <c r="F222" i="3" s="1"/>
  <c r="F223" i="3" s="1"/>
  <c r="F224" i="3" s="1"/>
  <c r="F225" i="3" s="1"/>
  <c r="F226" i="3" s="1"/>
  <c r="F227" i="3" s="1"/>
  <c r="F228" i="3" s="1"/>
  <c r="F229" i="3" s="1"/>
  <c r="F230" i="3" s="1"/>
  <c r="F231" i="3" s="1"/>
  <c r="F232" i="3" s="1"/>
  <c r="F233" i="3" s="1"/>
  <c r="F234" i="3" s="1"/>
  <c r="F235" i="3" s="1"/>
  <c r="F236" i="3" s="1"/>
  <c r="F237" i="3" s="1"/>
  <c r="F238" i="3" s="1"/>
  <c r="F239" i="3" s="1"/>
  <c r="F240" i="3" s="1"/>
  <c r="F241" i="3" s="1"/>
  <c r="F242" i="3" s="1"/>
  <c r="F243" i="3" s="1"/>
  <c r="F244" i="3" s="1"/>
  <c r="F245" i="3" s="1"/>
  <c r="F246" i="3" s="1"/>
  <c r="F247" i="3" s="1"/>
  <c r="F248" i="3" s="1"/>
  <c r="F249" i="3" s="1"/>
  <c r="F250" i="3" s="1"/>
  <c r="F251" i="3" s="1"/>
  <c r="G240" i="3"/>
  <c r="G241" i="3" s="1"/>
  <c r="G242" i="3" s="1"/>
  <c r="G243" i="3" s="1"/>
  <c r="G244" i="3" s="1"/>
  <c r="G245" i="3" s="1"/>
  <c r="G246" i="3" s="1"/>
  <c r="G247" i="3" s="1"/>
  <c r="G248" i="3" s="1"/>
  <c r="G249" i="3" s="1"/>
  <c r="G250" i="3" s="1"/>
  <c r="G251" i="3" s="1"/>
  <c r="P2" i="2"/>
  <c r="P4" i="2" s="1"/>
  <c r="P7" i="2"/>
  <c r="P5" i="2"/>
  <c r="P6" i="2" s="1"/>
  <c r="L3" i="2"/>
  <c r="L4" i="2"/>
  <c r="P3" i="2" l="1"/>
  <c r="J255" i="2"/>
  <c r="N255" i="2" s="1"/>
  <c r="J256" i="2"/>
  <c r="N256" i="2" s="1"/>
  <c r="I247" i="2"/>
  <c r="M247" i="2" s="1"/>
  <c r="I246" i="2"/>
  <c r="M246" i="2" s="1"/>
  <c r="J252" i="2"/>
  <c r="N252" i="2" s="1"/>
  <c r="I256" i="2"/>
  <c r="M256" i="2" s="1"/>
  <c r="K248" i="2"/>
  <c r="O248" i="2" s="1"/>
  <c r="K249" i="2"/>
  <c r="O249" i="2" s="1"/>
  <c r="I249" i="2"/>
  <c r="M249" i="2" s="1"/>
  <c r="J251" i="2"/>
  <c r="N251" i="2" s="1"/>
  <c r="I250" i="2"/>
  <c r="M250" i="2" s="1"/>
  <c r="I253" i="2"/>
  <c r="M253" i="2" s="1"/>
  <c r="K250" i="2"/>
  <c r="O250" i="2" s="1"/>
  <c r="K256" i="2"/>
  <c r="O256" i="2" s="1"/>
  <c r="K253" i="2"/>
  <c r="O253" i="2" s="1"/>
  <c r="J254" i="2"/>
  <c r="N254" i="2" s="1"/>
  <c r="I252" i="2"/>
  <c r="M252" i="2" s="1"/>
  <c r="I248" i="2"/>
  <c r="M248" i="2" s="1"/>
  <c r="J247" i="2"/>
  <c r="N247" i="2" s="1"/>
  <c r="J249" i="2"/>
  <c r="N249" i="2" s="1"/>
  <c r="J253" i="2"/>
  <c r="N253" i="2" s="1"/>
  <c r="K252" i="2"/>
  <c r="O252" i="2" s="1"/>
  <c r="K247" i="2"/>
  <c r="O247" i="2" s="1"/>
  <c r="K251" i="2"/>
  <c r="O251" i="2" s="1"/>
  <c r="I254" i="2"/>
  <c r="M254" i="2" s="1"/>
  <c r="J250" i="2"/>
  <c r="N250" i="2" s="1"/>
  <c r="J248" i="2"/>
  <c r="N248" i="2" s="1"/>
  <c r="I255" i="2"/>
  <c r="M255" i="2" s="1"/>
  <c r="K254" i="2"/>
  <c r="O254" i="2" s="1"/>
  <c r="K246" i="2"/>
  <c r="O246" i="2" s="1"/>
  <c r="K255" i="2"/>
  <c r="O255" i="2" s="1"/>
  <c r="I251" i="2"/>
  <c r="M251" i="2" s="1"/>
  <c r="J246" i="2"/>
  <c r="N246" i="2" s="1"/>
  <c r="K222" i="2"/>
  <c r="O222" i="2" s="1"/>
  <c r="J228" i="2"/>
  <c r="N228" i="2" s="1"/>
  <c r="J210" i="2"/>
  <c r="N210" i="2" s="1"/>
  <c r="J225" i="2"/>
  <c r="N225" i="2" s="1"/>
  <c r="I219" i="2"/>
  <c r="M219" i="2" s="1"/>
  <c r="J238" i="2"/>
  <c r="N238" i="2" s="1"/>
  <c r="K217" i="2"/>
  <c r="O217" i="2" s="1"/>
  <c r="I229" i="2"/>
  <c r="M229" i="2" s="1"/>
  <c r="J220" i="2"/>
  <c r="N220" i="2" s="1"/>
  <c r="J234" i="2"/>
  <c r="N234" i="2" s="1"/>
  <c r="I215" i="2"/>
  <c r="M215" i="2" s="1"/>
  <c r="J204" i="2"/>
  <c r="N204" i="2" s="1"/>
  <c r="I224" i="2"/>
  <c r="M224" i="2" s="1"/>
  <c r="I243" i="2"/>
  <c r="M243" i="2" s="1"/>
  <c r="J203" i="2"/>
  <c r="J219" i="2"/>
  <c r="N219" i="2" s="1"/>
  <c r="K229" i="2"/>
  <c r="O229" i="2" s="1"/>
  <c r="J218" i="2"/>
  <c r="N218" i="2" s="1"/>
  <c r="K240" i="2"/>
  <c r="O240" i="2" s="1"/>
  <c r="I238" i="2"/>
  <c r="M238" i="2" s="1"/>
  <c r="I207" i="2"/>
  <c r="M207" i="2" s="1"/>
  <c r="K225" i="2"/>
  <c r="O225" i="2" s="1"/>
  <c r="I227" i="2"/>
  <c r="M227" i="2" s="1"/>
  <c r="K227" i="2"/>
  <c r="O227" i="2" s="1"/>
  <c r="K208" i="2"/>
  <c r="O208" i="2" s="1"/>
  <c r="J241" i="2"/>
  <c r="N241" i="2" s="1"/>
  <c r="I241" i="2"/>
  <c r="M241" i="2" s="1"/>
  <c r="J217" i="2"/>
  <c r="N217" i="2" s="1"/>
  <c r="I205" i="2"/>
  <c r="M205" i="2" s="1"/>
  <c r="J216" i="2"/>
  <c r="N216" i="2" s="1"/>
  <c r="K204" i="2"/>
  <c r="O204" i="2" s="1"/>
  <c r="I203" i="2"/>
  <c r="K206" i="2"/>
  <c r="O206" i="2" s="1"/>
  <c r="K216" i="2"/>
  <c r="O216" i="2" s="1"/>
  <c r="J223" i="2"/>
  <c r="N223" i="2" s="1"/>
  <c r="I220" i="2"/>
  <c r="M220" i="2" s="1"/>
  <c r="I214" i="2"/>
  <c r="M214" i="2" s="1"/>
  <c r="I231" i="2"/>
  <c r="M231" i="2" s="1"/>
  <c r="K228" i="2"/>
  <c r="O228" i="2" s="1"/>
  <c r="K239" i="2"/>
  <c r="O239" i="2" s="1"/>
  <c r="J239" i="2"/>
  <c r="N239" i="2" s="1"/>
  <c r="J227" i="2"/>
  <c r="N227" i="2" s="1"/>
  <c r="K226" i="2"/>
  <c r="O226" i="2" s="1"/>
  <c r="J209" i="2"/>
  <c r="N209" i="2" s="1"/>
  <c r="J214" i="2"/>
  <c r="N214" i="2" s="1"/>
  <c r="I234" i="2"/>
  <c r="M234" i="2" s="1"/>
  <c r="J244" i="2"/>
  <c r="N244" i="2" s="1"/>
  <c r="J226" i="2"/>
  <c r="N226" i="2" s="1"/>
  <c r="K205" i="2"/>
  <c r="O205" i="2" s="1"/>
  <c r="J205" i="2"/>
  <c r="N205" i="2" s="1"/>
  <c r="J240" i="2"/>
  <c r="N240" i="2" s="1"/>
  <c r="I206" i="2"/>
  <c r="M206" i="2" s="1"/>
  <c r="I209" i="2"/>
  <c r="M209" i="2" s="1"/>
  <c r="K242" i="2"/>
  <c r="O242" i="2" s="1"/>
  <c r="J233" i="2"/>
  <c r="N233" i="2" s="1"/>
  <c r="K236" i="2"/>
  <c r="O236" i="2" s="1"/>
  <c r="K221" i="2"/>
  <c r="O221" i="2" s="1"/>
  <c r="J224" i="2"/>
  <c r="N224" i="2" s="1"/>
  <c r="K241" i="2"/>
  <c r="O241" i="2" s="1"/>
  <c r="K211" i="2"/>
  <c r="O211" i="2" s="1"/>
  <c r="K218" i="2"/>
  <c r="O218" i="2" s="1"/>
  <c r="I236" i="2"/>
  <c r="M236" i="2" s="1"/>
  <c r="K235" i="2"/>
  <c r="O235" i="2" s="1"/>
  <c r="K243" i="2"/>
  <c r="O243" i="2" s="1"/>
  <c r="I212" i="2"/>
  <c r="M212" i="2" s="1"/>
  <c r="I223" i="2"/>
  <c r="M223" i="2" s="1"/>
  <c r="I235" i="2"/>
  <c r="M235" i="2" s="1"/>
  <c r="I239" i="2"/>
  <c r="M239" i="2" s="1"/>
  <c r="K244" i="2"/>
  <c r="O244" i="2" s="1"/>
  <c r="I221" i="2"/>
  <c r="M221" i="2" s="1"/>
  <c r="J232" i="2"/>
  <c r="N232" i="2" s="1"/>
  <c r="J231" i="2"/>
  <c r="N231" i="2" s="1"/>
  <c r="I228" i="2"/>
  <c r="M228" i="2" s="1"/>
  <c r="K238" i="2"/>
  <c r="O238" i="2" s="1"/>
  <c r="K232" i="2"/>
  <c r="O232" i="2" s="1"/>
  <c r="I226" i="2"/>
  <c r="M226" i="2" s="1"/>
  <c r="K237" i="2"/>
  <c r="O237" i="2" s="1"/>
  <c r="K224" i="2"/>
  <c r="O224" i="2" s="1"/>
  <c r="J207" i="2"/>
  <c r="N207" i="2" s="1"/>
  <c r="K233" i="2"/>
  <c r="O233" i="2" s="1"/>
  <c r="I237" i="2"/>
  <c r="M237" i="2" s="1"/>
  <c r="I218" i="2"/>
  <c r="M218" i="2" s="1"/>
  <c r="I240" i="2"/>
  <c r="M240" i="2" s="1"/>
  <c r="K215" i="2"/>
  <c r="O215" i="2" s="1"/>
  <c r="I232" i="2"/>
  <c r="M232" i="2" s="1"/>
  <c r="K207" i="2"/>
  <c r="O207" i="2" s="1"/>
  <c r="K230" i="2"/>
  <c r="O230" i="2" s="1"/>
  <c r="J213" i="2"/>
  <c r="N213" i="2" s="1"/>
  <c r="I225" i="2"/>
  <c r="M225" i="2" s="1"/>
  <c r="I216" i="2"/>
  <c r="M216" i="2" s="1"/>
  <c r="J243" i="2"/>
  <c r="N243" i="2" s="1"/>
  <c r="I244" i="2"/>
  <c r="M244" i="2" s="1"/>
  <c r="J208" i="2"/>
  <c r="N208" i="2" s="1"/>
  <c r="K213" i="2"/>
  <c r="O213" i="2" s="1"/>
  <c r="I233" i="2"/>
  <c r="M233" i="2" s="1"/>
  <c r="K210" i="2"/>
  <c r="O210" i="2" s="1"/>
  <c r="J229" i="2"/>
  <c r="N229" i="2" s="1"/>
  <c r="K220" i="2"/>
  <c r="O220" i="2" s="1"/>
  <c r="I208" i="2"/>
  <c r="M208" i="2" s="1"/>
  <c r="K231" i="2"/>
  <c r="O231" i="2" s="1"/>
  <c r="I222" i="2"/>
  <c r="M222" i="2" s="1"/>
  <c r="K223" i="2"/>
  <c r="O223" i="2" s="1"/>
  <c r="I242" i="2"/>
  <c r="M242" i="2" s="1"/>
  <c r="J215" i="2"/>
  <c r="N215" i="2" s="1"/>
  <c r="J235" i="2"/>
  <c r="N235" i="2" s="1"/>
  <c r="I217" i="2"/>
  <c r="M217" i="2" s="1"/>
  <c r="J237" i="2"/>
  <c r="N237" i="2" s="1"/>
  <c r="K212" i="2"/>
  <c r="O212" i="2" s="1"/>
  <c r="J221" i="2"/>
  <c r="N221" i="2" s="1"/>
  <c r="J212" i="2"/>
  <c r="N212" i="2" s="1"/>
  <c r="K234" i="2"/>
  <c r="O234" i="2" s="1"/>
  <c r="J242" i="2"/>
  <c r="N242" i="2" s="1"/>
  <c r="I213" i="2"/>
  <c r="M213" i="2" s="1"/>
  <c r="K209" i="2"/>
  <c r="O209" i="2" s="1"/>
  <c r="J211" i="2"/>
  <c r="N211" i="2" s="1"/>
  <c r="I230" i="2"/>
  <c r="M230" i="2" s="1"/>
  <c r="J206" i="2"/>
  <c r="N206" i="2" s="1"/>
  <c r="J236" i="2"/>
  <c r="N236" i="2" s="1"/>
  <c r="I204" i="2"/>
  <c r="M204" i="2" s="1"/>
  <c r="K203" i="2"/>
  <c r="K219" i="2"/>
  <c r="O219" i="2" s="1"/>
  <c r="I210" i="2"/>
  <c r="M210" i="2" s="1"/>
  <c r="K214" i="2"/>
  <c r="O214" i="2" s="1"/>
  <c r="J222" i="2"/>
  <c r="N222" i="2" s="1"/>
  <c r="J230" i="2"/>
  <c r="N230" i="2" s="1"/>
  <c r="I211" i="2"/>
  <c r="M211" i="2" s="1"/>
</calcChain>
</file>

<file path=xl/sharedStrings.xml><?xml version="1.0" encoding="utf-8"?>
<sst xmlns="http://schemas.openxmlformats.org/spreadsheetml/2006/main" count="5942" uniqueCount="308">
  <si>
    <t>Tag</t>
  </si>
  <si>
    <t>Vorspeise</t>
  </si>
  <si>
    <t>Hauptspeise</t>
  </si>
  <si>
    <t>Beilage</t>
  </si>
  <si>
    <t>Andreas</t>
  </si>
  <si>
    <t>Johannes</t>
  </si>
  <si>
    <t>Noah</t>
  </si>
  <si>
    <t>Punkte</t>
  </si>
  <si>
    <t>Lasagne</t>
  </si>
  <si>
    <t>Bo</t>
  </si>
  <si>
    <t>Leberkas</t>
  </si>
  <si>
    <t>Röstkartoffeln</t>
  </si>
  <si>
    <t>Truthahnbraten</t>
  </si>
  <si>
    <t>Spatzlen</t>
  </si>
  <si>
    <t>Spinatspatzlen</t>
  </si>
  <si>
    <t>Fisch</t>
  </si>
  <si>
    <t>Kartoffelsalat</t>
  </si>
  <si>
    <t>Putanesca</t>
  </si>
  <si>
    <t>Schweinsschopf-braten</t>
  </si>
  <si>
    <t>Amatriciana</t>
  </si>
  <si>
    <t>Truthahn-geschnetzeltes</t>
  </si>
  <si>
    <t>Reis</t>
  </si>
  <si>
    <t>Arrabbiata</t>
  </si>
  <si>
    <t>Truthahnschnitzel mit Champignonsauce</t>
  </si>
  <si>
    <t>Nudel Ragu</t>
  </si>
  <si>
    <t>Knödel</t>
  </si>
  <si>
    <t>Pizzaioloschnitzel</t>
  </si>
  <si>
    <t>Ofenkartoffeln</t>
  </si>
  <si>
    <t>-</t>
  </si>
  <si>
    <t>Schlutzer</t>
  </si>
  <si>
    <t>Hühnerhaxlen</t>
  </si>
  <si>
    <t>Pommes</t>
  </si>
  <si>
    <t>Pizza</t>
  </si>
  <si>
    <t>Gulasch</t>
  </si>
  <si>
    <t>Plent</t>
  </si>
  <si>
    <t>Carbonara</t>
  </si>
  <si>
    <t>Hauswurst</t>
  </si>
  <si>
    <t>Kraut</t>
  </si>
  <si>
    <t>Wienerschnitzel</t>
  </si>
  <si>
    <t>Nudel mit Käsesauce</t>
  </si>
  <si>
    <t>Tortellini mit Ragu</t>
  </si>
  <si>
    <t>Truthahnschnitzel vom Grill</t>
  </si>
  <si>
    <t>Hirten</t>
  </si>
  <si>
    <t>Pürree</t>
  </si>
  <si>
    <t>Menü richtig</t>
  </si>
  <si>
    <t>Schweinskotelett</t>
  </si>
  <si>
    <t>Hauptspeise mit Beilage / Vorspeise richtig</t>
  </si>
  <si>
    <t>Nudel mit Ragu</t>
  </si>
  <si>
    <t>Gulaschsuppe</t>
  </si>
  <si>
    <t>nur Hauptspeise / Beilage richtig</t>
  </si>
  <si>
    <t>Spinatcannelloni</t>
  </si>
  <si>
    <t>Schweinsfilet</t>
  </si>
  <si>
    <t>Kroketten</t>
  </si>
  <si>
    <t>Ravioli mit Parmesan-Butter</t>
  </si>
  <si>
    <t>Sparerips</t>
  </si>
  <si>
    <t>Alles falsch</t>
  </si>
  <si>
    <t>Kürbisrisotto</t>
  </si>
  <si>
    <t>Truthahnschnitzel</t>
  </si>
  <si>
    <t>Fleischkarpfln</t>
  </si>
  <si>
    <t>Paprika-Schweinegulasch</t>
  </si>
  <si>
    <t>Kartoffelstampf</t>
  </si>
  <si>
    <t>Speck-Zwiebelkuchen</t>
  </si>
  <si>
    <t>Spinatknödel</t>
  </si>
  <si>
    <t>Schweinsbraten</t>
  </si>
  <si>
    <t>Nudel mit Pesto</t>
  </si>
  <si>
    <t>Gnocchi</t>
  </si>
  <si>
    <t>Käseknödel</t>
  </si>
  <si>
    <t>Nudel mit Tomatensoße und Mozzarella</t>
  </si>
  <si>
    <t>Gekochtes Rindfleisch</t>
  </si>
  <si>
    <t>Salzkartoffeln</t>
  </si>
  <si>
    <t>Ossobuchi</t>
  </si>
  <si>
    <t>Safranreis</t>
  </si>
  <si>
    <t>Tortellini Schinken-Rahm</t>
  </si>
  <si>
    <t>Nudel mit Thunfischsoße</t>
  </si>
  <si>
    <t>Schweinsschnitzel</t>
  </si>
  <si>
    <t>Curry-Geschnetzeltes</t>
  </si>
  <si>
    <t>Aglio olio</t>
  </si>
  <si>
    <t>Hühnerbrust</t>
  </si>
  <si>
    <t>Schlutzer Schinken-Rahm</t>
  </si>
  <si>
    <t xml:space="preserve">Nudel mit Lachs und Tomantensoße </t>
  </si>
  <si>
    <t>Schweinshaxe</t>
  </si>
  <si>
    <t>Fleischcannelloni</t>
  </si>
  <si>
    <t>Truthahngeschnetzeltes</t>
  </si>
  <si>
    <t>Salzkartoffel</t>
  </si>
  <si>
    <t>Nudel mit Meeresfrüchte</t>
  </si>
  <si>
    <t>Rindsgulasch</t>
  </si>
  <si>
    <t>Penne mamma rosa</t>
  </si>
  <si>
    <t>Pizzastrudel</t>
  </si>
  <si>
    <t>Zwiebelrostbraten</t>
  </si>
  <si>
    <t>Schweinsschnitzel mit Champignonsauce</t>
  </si>
  <si>
    <t>Kartoffelgratin</t>
  </si>
  <si>
    <t>Nudel mit Lachs und Rahmsoße</t>
  </si>
  <si>
    <t>Pfeffersteak</t>
  </si>
  <si>
    <t>Kartoffelstrudel</t>
  </si>
  <si>
    <t>Fischfilet</t>
  </si>
  <si>
    <t>Nudel mit Meeresfrüchten</t>
  </si>
  <si>
    <t>Rindsschnitzel</t>
  </si>
  <si>
    <t>Ergebnisse</t>
  </si>
  <si>
    <t>Summe</t>
  </si>
  <si>
    <t>Alles Falsch</t>
  </si>
  <si>
    <t>Alles Richtig</t>
  </si>
  <si>
    <t>Nudel mit Käsesoße</t>
  </si>
  <si>
    <t>Fleischkrapfln</t>
  </si>
  <si>
    <t>Omlett mit Schinken und Käse</t>
  </si>
  <si>
    <t>Bratkartoffeln</t>
  </si>
  <si>
    <t>Tortellini mit Schinken-Rahm</t>
  </si>
  <si>
    <t>Schweinsschopfbraten</t>
  </si>
  <si>
    <t>Kroketten und Zucchini</t>
  </si>
  <si>
    <t>Schupfnudel mit Lachs</t>
  </si>
  <si>
    <t>Gulaschsuppe + Nudel mit Käsesoße</t>
  </si>
  <si>
    <t>Hühnerhaxl</t>
  </si>
  <si>
    <t>Hackbraten</t>
  </si>
  <si>
    <t>Ravioli mit Butter + Parmesan</t>
  </si>
  <si>
    <t>Nudel Mammarosa</t>
  </si>
  <si>
    <t>Ravioli</t>
  </si>
  <si>
    <t>Griesscheiben mit Schinken/Käse und Tomantensoße</t>
  </si>
  <si>
    <t>Ravioli mit Käsesoße</t>
  </si>
  <si>
    <t>Zigeunerschnitzel</t>
  </si>
  <si>
    <t>Schweinsgulasch</t>
  </si>
  <si>
    <t>Chilli con carne</t>
  </si>
  <si>
    <t>Plentauflauf</t>
  </si>
  <si>
    <t>Vitello tonnato</t>
  </si>
  <si>
    <t>Gnocchi mit Ragu</t>
  </si>
  <si>
    <t>Schnitzel mit Champignonsauce</t>
  </si>
  <si>
    <t>Tomatenrisotto mit Mozzarella</t>
  </si>
  <si>
    <t>Currywurst</t>
  </si>
  <si>
    <t>Ravioli mit Parmesan + Butter</t>
  </si>
  <si>
    <t>Gemüselasagne</t>
  </si>
  <si>
    <t>Nudel mit Tomatensoße und Schinken</t>
  </si>
  <si>
    <t>Champignonschintzel</t>
  </si>
  <si>
    <t>Champignonschnitzel</t>
  </si>
  <si>
    <t>Scombri</t>
  </si>
  <si>
    <t>Fischstäbchen</t>
  </si>
  <si>
    <t>Lachsfilet</t>
  </si>
  <si>
    <t>Frittiertes Schollenfilet</t>
  </si>
  <si>
    <t>Tomatenrisotto</t>
  </si>
  <si>
    <t>Spinatcanneloni</t>
  </si>
  <si>
    <t>Pangasiusfilet</t>
  </si>
  <si>
    <t>Gnocchi mit Tomatensoße</t>
  </si>
  <si>
    <t>Rotbarschfilet</t>
  </si>
  <si>
    <t>Pizzaiolaschnitzel</t>
  </si>
  <si>
    <t>Nudel mit Lachs</t>
  </si>
  <si>
    <t>Spinatroulade</t>
  </si>
  <si>
    <t>Forellenfilet</t>
  </si>
  <si>
    <t>Gnocchi mit Käsesoße</t>
  </si>
  <si>
    <t>Spargelrisotto</t>
  </si>
  <si>
    <t>Lachsforelle</t>
  </si>
  <si>
    <t>Tomantenrisotto</t>
  </si>
  <si>
    <t>Schüttelbrot-Risotto mit Speckstreifen</t>
  </si>
  <si>
    <t>Nudel mit Salsiccia-Ragu</t>
  </si>
  <si>
    <t>Rindsbraten</t>
  </si>
  <si>
    <t>Cordon Bleu</t>
  </si>
  <si>
    <t>Spinatspatzlen + Nudelsalat</t>
  </si>
  <si>
    <t>Melone mit Rohschinken</t>
  </si>
  <si>
    <t>Reissalat</t>
  </si>
  <si>
    <t>Saures Rindfleisch</t>
  </si>
  <si>
    <t>Vitello tonato</t>
  </si>
  <si>
    <t>Nudelsalat</t>
  </si>
  <si>
    <t>Spinatknödel mit Gorgonzolasoße</t>
  </si>
  <si>
    <t>Hirten oder Reissalat</t>
  </si>
  <si>
    <t>Schweinsschnitzel mit Kräuterrahmsoße</t>
  </si>
  <si>
    <t>Amatriciana oder Nudelsalat</t>
  </si>
  <si>
    <t>Nudel mit Ragu oder Aglio olio</t>
  </si>
  <si>
    <t>Schweinsschopf</t>
  </si>
  <si>
    <t>Hirten oder Nudel mit Grillgemüseragu</t>
  </si>
  <si>
    <t>Griechischer Salat</t>
  </si>
  <si>
    <t>Spinatknödel mit Käsesoße</t>
  </si>
  <si>
    <t>Nudel mit Tomantensauce</t>
  </si>
  <si>
    <t>Püree</t>
  </si>
  <si>
    <t>Amatriciana oder Gerstsuppe</t>
  </si>
  <si>
    <t>Kartoffelsalat / Pommes</t>
  </si>
  <si>
    <t>x</t>
  </si>
  <si>
    <t>Tippspiel Essen Wies</t>
  </si>
  <si>
    <t>Alle Tipps betreffen das Arbeiter-Mittagsmenü folgender Einrichtung:
Hotel Schönwies
Hauptstraße 19 - 39040 Truden in Naturpark
Provinz Bozen - Italien
Tel. +39 0471 869 555
Email: info@schönwies.it
IT02992970216</t>
  </si>
  <si>
    <t>Püree + Peperonata</t>
  </si>
  <si>
    <t>Nudel Mammarosa / Gulaschsuppe</t>
  </si>
  <si>
    <t>Nudel mit ragu</t>
  </si>
  <si>
    <t>Ravioli mit Tomantensoße</t>
  </si>
  <si>
    <t>Omelett mit Schinken und Käse</t>
  </si>
  <si>
    <t>Speckknödel</t>
  </si>
  <si>
    <t>Hannes</t>
  </si>
  <si>
    <t>Datum</t>
  </si>
  <si>
    <t xml:space="preserve">Schweinsschnitzel </t>
  </si>
  <si>
    <t>Schweinshax</t>
  </si>
  <si>
    <t>Plent und Kraut</t>
  </si>
  <si>
    <t>Spinatravioli</t>
  </si>
  <si>
    <t>v</t>
  </si>
  <si>
    <t>Fleischkrapflen</t>
  </si>
  <si>
    <t>Nudel mit Tomatensoße und Mozarella / Fleischsuppe</t>
  </si>
  <si>
    <t>Punkteausbeute</t>
  </si>
  <si>
    <t>Gerstsuppe / Nudel Mammarosa</t>
  </si>
  <si>
    <t>Aglio olio / Nudel mit Ragu</t>
  </si>
  <si>
    <t>Rotbarschfilet / Schweinsschnitzel</t>
  </si>
  <si>
    <t>Aglio Olio</t>
  </si>
  <si>
    <t>Pizzalioloschnitzel</t>
  </si>
  <si>
    <t>Chilli con Carne</t>
  </si>
  <si>
    <t>Nudel mit Tomatensoße</t>
  </si>
  <si>
    <t>Schweinsfilet mit Pfeffersoße</t>
  </si>
  <si>
    <t>Griesscheiben mit Schinken/Käse und Tomatensoße</t>
  </si>
  <si>
    <t>Wedges</t>
  </si>
  <si>
    <t>Johannes Paul III</t>
  </si>
  <si>
    <t>Regelwerk des Tippspiels</t>
  </si>
  <si>
    <t>1.</t>
  </si>
  <si>
    <t>Tipps können ausschließlich bis spätestens 12:00 Uhr des jeweiligen Kalendertages abgegeben werden. Nach diesem Zeitpunkt eingehende Tipps werden nicht berücksichtigt.</t>
  </si>
  <si>
    <t>2.</t>
  </si>
  <si>
    <t>3.</t>
  </si>
  <si>
    <t>4.</t>
  </si>
  <si>
    <t>5.</t>
  </si>
  <si>
    <t>6.</t>
  </si>
  <si>
    <t>7.</t>
  </si>
  <si>
    <t>8.</t>
  </si>
  <si>
    <t>9.</t>
  </si>
  <si>
    <t>10.</t>
  </si>
  <si>
    <t>Die Punktevergabe erfolgt nach folgendem Schema:</t>
  </si>
  <si>
    <t>Für die vollständige und korrekte Angabe des gesamten Menüs werden insgesamt drei (3) Punkte vergeben.</t>
  </si>
  <si>
    <t>Firmenessen oder vergleichbare betriebliche Veranstaltungen sind ausdrücklich vom Tippspiel ausgeschlossen.</t>
  </si>
  <si>
    <t>Als Gewinner gilt derjenige Teilnehmer, der bis zum vorgenannten Stichtag die höchste Gesamtpunktzahl erzielt hat.</t>
  </si>
  <si>
    <t>Die Seik GmbH steht in keinerlei rechtlicher, wirtschaftlicher oder organisatorischer Verbindung zu diesem Tippspiel.</t>
  </si>
  <si>
    <t>Der Rechtsweg ist ausgeschlossen.</t>
  </si>
  <si>
    <t>Mit der Teilnahme am Tippspiel erkennt der Teilnehmer diese Teilnahmebedingungen als verbindlich an und erklärt sich mit deren Geltung ausdrücklich einverstanden.</t>
  </si>
  <si>
    <t>11.</t>
  </si>
  <si>
    <t>Regelwerk siehe entsprechendes Tabellenblatt</t>
  </si>
  <si>
    <t>Das Tippspiel endet mit Ablauf des letzten Arbeitstages des Jahres, spätestens am 23.12. des entsprechenden Kalenderjahres um 12:00 Uhr.</t>
  </si>
  <si>
    <t>Außerhalb der Fastenzeit kann für Fischgerichte als Hauptgericht allgemein der Begriff "Fisch" angewandt werden. Während der Fastenzeit muss das genaue Gericht angegeben werden. Von dieser Regel ausgenommen ist das Gericht "Plent mit Scombri"</t>
  </si>
  <si>
    <t>12.</t>
  </si>
  <si>
    <t>Das Salatbuffet ist vom Tippspiel ausgeschlossen</t>
  </si>
  <si>
    <t>Für zweite Vorspeisen bzw. Beilagen gilt nur das Angebot, das die Bedienung von sich aus angibt. Auf Rückfrage gegebene Alternativen werden nicht anerkannt.</t>
  </si>
  <si>
    <t>13.</t>
  </si>
  <si>
    <t>Sollte von der Bedienung ein Gericht falsch vorgestellt werden, kann die Bezeichnung des Gerichts, sofern von der Mehrheit der Teilnehmer unterstützt, richtig gestellt werden.</t>
  </si>
  <si>
    <t>Getippt werden nur fertige Gerichte, Bestandteile eines Gericht werden nicht berücksichtigt.</t>
  </si>
  <si>
    <t>Gnocchi mit Lachs</t>
  </si>
  <si>
    <t>Ravioli mit Parmesan+Butter</t>
  </si>
  <si>
    <t>Kartoffel-Käse-Kroketten</t>
  </si>
  <si>
    <t>Paniertes Schollenfilet</t>
  </si>
  <si>
    <t>Gnocchi mit Tomantensoße + Mozzarelline</t>
  </si>
  <si>
    <t>Panierter Pengasius / Wienerschnitzel</t>
  </si>
  <si>
    <t>Rotbarsch</t>
  </si>
  <si>
    <t>Spiegelei</t>
  </si>
  <si>
    <t>Scombri / Hauswurst</t>
  </si>
  <si>
    <t>Bratkaroffeln</t>
  </si>
  <si>
    <t>Nudel mit Grillgemüseragu</t>
  </si>
  <si>
    <t>Käse-Sofficini mit Tomantensoße</t>
  </si>
  <si>
    <t>14.</t>
  </si>
  <si>
    <t>Für den unwahrscheinlichen Fall, dass es "Lachsforelle" geben sollte, wird hiermit darauf hingewiesen, dass dieses Gericht, aufgrund der biologischen Grundlagen, allgemein als Forelle gehandelt wird.</t>
  </si>
  <si>
    <t>Pangasiusfilet mit Kräuterrahmsoße</t>
  </si>
  <si>
    <t>Kartoffelwedges</t>
  </si>
  <si>
    <t>1/2 Brathuhn</t>
  </si>
  <si>
    <t>Dasselbe Gericht darf innerhalb eines Zeitraums von einer Arbeitswoche höchstens zweimal getippt werden; eine Tippabgabe an aufeinanderfolgenden Tagen ist dabei unzulässig und werden nicht berücksichtigt.</t>
  </si>
  <si>
    <t>Durchschnittspunkte pro Kalenderwoche</t>
  </si>
  <si>
    <t>Sollte ein Teilnehmer nicht anwesend sein, z.B. Urlaub, können Tipps unter Einhaltung des Regelwerks auch über telematischen Wege den Mitteilnehmern mitgeteilt werden.</t>
  </si>
  <si>
    <t>NV</t>
  </si>
  <si>
    <t>Gnocchi mit Tomantensoße</t>
  </si>
  <si>
    <t>Frittiertes Pengasiusfilet</t>
  </si>
  <si>
    <t>Nudel mit Thunfisch</t>
  </si>
  <si>
    <t>Gnocchi mit Gorgonzolasoße</t>
  </si>
  <si>
    <t>15.</t>
  </si>
  <si>
    <t>Jegliche Regeländerung muss von einer 2/3-Mehrheit der Teilnehmer genehmigt werden.</t>
  </si>
  <si>
    <t>16.</t>
  </si>
  <si>
    <t>Sollte ein Teilnehmer nicht anwesend sein, z.B. Urlaub, können Tipps auch von anderen Teilnehmern kopiert werden.</t>
  </si>
  <si>
    <t>Die Korrektheit der Tippabgabe liegt in der Verantwortung eines jeden Mitspielers.</t>
  </si>
  <si>
    <t>Die Tippabgabe erfolgt ohne Einsicht der Tipps anderer Mitspieler und darf nach Einsichtnahme in die anderen Tipps nicht mehr angepasst werden. Zudem ist das bewusste Kopieren der Tipps anderer untersagt.</t>
  </si>
  <si>
    <t>Willkürliche Punktabzuüge bzw. Punktergänzungen sind nicht erlaubt.</t>
  </si>
  <si>
    <t>17.</t>
  </si>
  <si>
    <t>18.</t>
  </si>
  <si>
    <t>19.</t>
  </si>
  <si>
    <t>20.</t>
  </si>
  <si>
    <t>Schollenfilet</t>
  </si>
  <si>
    <t>Kalbsgulasch</t>
  </si>
  <si>
    <t>Frei</t>
  </si>
  <si>
    <t>Hühnnerhaxlen</t>
  </si>
  <si>
    <t>Schweinschopf</t>
  </si>
  <si>
    <t>Chmpignonschnitzel</t>
  </si>
  <si>
    <t>Nudel mit Lachssoße</t>
  </si>
  <si>
    <t>Ofenkaroffel</t>
  </si>
  <si>
    <t>Bratkartoffel</t>
  </si>
  <si>
    <t>Schweinschnitzel</t>
  </si>
  <si>
    <t>Algio Olio</t>
  </si>
  <si>
    <t>Spareribs</t>
  </si>
  <si>
    <t>Nudel mit Schinken-Rahm</t>
  </si>
  <si>
    <t>Hamburger</t>
  </si>
  <si>
    <t>Kartoffegratin</t>
  </si>
  <si>
    <t>Kräuterrahmschnitzel</t>
  </si>
  <si>
    <t>Pilzrisotto</t>
  </si>
  <si>
    <t>Zigeunerschnitzel / Osso buchi</t>
  </si>
  <si>
    <t>Spatzlen / Reis</t>
  </si>
  <si>
    <t>Röstinchen</t>
  </si>
  <si>
    <t>Speck-Zwiebel-Kuchen</t>
  </si>
  <si>
    <t>Chili con carne</t>
  </si>
  <si>
    <t>Hamburger / Fleischkrapfln</t>
  </si>
  <si>
    <t xml:space="preserve"> Ofenkartoffeln / Reis</t>
  </si>
  <si>
    <t>Lammbraten / Truthahnbraten</t>
  </si>
  <si>
    <t>Gnocchi mit Kräutersauce</t>
  </si>
  <si>
    <t>Nudel mt Ragu</t>
  </si>
  <si>
    <t>Hirschgulasch</t>
  </si>
  <si>
    <t>Spatzlen (und Blaukraut)</t>
  </si>
  <si>
    <t>Für Vorspeise, Hauptspeise und Beilage darf je nur ein Gericht getippt werden.</t>
  </si>
  <si>
    <t>9.1</t>
  </si>
  <si>
    <t>9.2</t>
  </si>
  <si>
    <t>9.3</t>
  </si>
  <si>
    <t>9.4</t>
  </si>
  <si>
    <t>9.5</t>
  </si>
  <si>
    <t>9.6</t>
  </si>
  <si>
    <t>9.7</t>
  </si>
  <si>
    <t>9.8</t>
  </si>
  <si>
    <t>Für die korrekte Angabe einer der angebotenen Vorspeisen wird ein (1) Punkt vergeben.</t>
  </si>
  <si>
    <t>Für die korrekte Angabe einer der angebotenen Hauptspeisen bzw. Beilagen werden jeweils (0,5) Punkte vergeben.</t>
  </si>
  <si>
    <t>Röstinchen  und Peperonata</t>
  </si>
  <si>
    <t>Pommes / Kartoffelsalat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</si>
</sst>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quot;, &quot;mmmm\ dd&quot;, &quot;yyyy"/>
    <numFmt numFmtId="165" formatCode="0.00\ &quot;%&quot;"/>
  </numFmts>
  <fonts count="14" x14ac:knownFonts="1">
    <font>
      <sz val="11"/>
      <color rgb="FF000000"/>
      <name val="Calibri"/>
      <family val="2"/>
      <charset val="1"/>
    </font>
    <font>
      <b/>
      <sz val="11"/>
      <color rgb="FF000000"/>
      <name val="Calibri"/>
      <family val="2"/>
      <charset val="1"/>
    </font>
    <font>
      <sz val="10"/>
      <color rgb="FF000000"/>
      <name val="Calibri"/>
      <family val="2"/>
      <charset val="1"/>
    </font>
    <font>
      <b/>
      <sz val="24"/>
      <color rgb="FF000000"/>
      <name val="Calibri"/>
      <family val="2"/>
      <charset val="1"/>
    </font>
    <font>
      <b/>
      <sz val="16"/>
      <color rgb="FF000000"/>
      <name val="Calibri"/>
      <family val="2"/>
      <charset val="1"/>
    </font>
    <font>
      <sz val="8"/>
      <color rgb="FF000000"/>
      <name val="Calibri"/>
      <family val="2"/>
      <charset val="1"/>
    </font>
    <font>
      <sz val="9"/>
      <color rgb="FF000000"/>
      <name val="Calibri"/>
      <family val="2"/>
      <charset val="1"/>
    </font>
    <font>
      <sz val="11"/>
      <name val="Calibri"/>
      <family val="2"/>
      <charset val="1"/>
    </font>
    <font>
      <sz val="11"/>
      <color theme="1"/>
      <name val="Calibri"/>
      <family val="2"/>
      <charset val="1"/>
    </font>
    <font>
      <sz val="10"/>
      <name val="Calibri"/>
      <family val="2"/>
      <charset val="1"/>
    </font>
    <font>
      <sz val="10"/>
      <color theme="1"/>
      <name val="Calibri"/>
      <family val="2"/>
      <charset val="1"/>
    </font>
    <font>
      <sz val="8"/>
      <name val="Calibri"/>
      <family val="2"/>
      <charset val="1"/>
    </font>
    <font>
      <b/>
      <sz val="20"/>
      <color rgb="FF000000"/>
      <name val="Calibri"/>
      <family val="2"/>
    </font>
    <font>
      <sz val="10"/>
      <color rgb="FFFFFFFF"/>
      <name val="Calibri"/>
      <family val="2"/>
      <charset val="1"/>
    </font>
  </fonts>
  <fills count="4">
    <fill>
      <patternFill patternType="none"/>
    </fill>
    <fill>
      <patternFill patternType="gray125"/>
    </fill>
    <fill>
      <patternFill patternType="solid">
        <fgColor rgb="FFC5E0B4"/>
        <bgColor rgb="FFE2F0D9"/>
      </patternFill>
    </fill>
    <fill>
      <patternFill patternType="solid">
        <fgColor rgb="FFFFFFFF"/>
        <bgColor indexed="64"/>
      </patternFill>
    </fill>
  </fills>
  <borders count="59">
    <border>
      <left/>
      <right/>
      <top/>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ck">
        <color auto="1"/>
      </right>
      <top style="thick">
        <color auto="1"/>
      </top>
      <bottom style="thin">
        <color auto="1"/>
      </bottom>
      <diagonal/>
    </border>
    <border>
      <left/>
      <right style="thick">
        <color auto="1"/>
      </right>
      <top style="thick">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style="thin">
        <color auto="1"/>
      </right>
      <top style="thin">
        <color auto="1"/>
      </top>
      <bottom style="thick">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n">
        <color auto="1"/>
      </right>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ck">
        <color auto="1"/>
      </left>
      <right/>
      <top style="thin">
        <color auto="1"/>
      </top>
      <bottom style="thin">
        <color auto="1"/>
      </bottom>
      <diagonal/>
    </border>
    <border>
      <left/>
      <right style="thick">
        <color auto="1"/>
      </right>
      <top/>
      <bottom style="thin">
        <color auto="1"/>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right style="thin">
        <color auto="1"/>
      </right>
      <top style="thick">
        <color auto="1"/>
      </top>
      <bottom style="thin">
        <color auto="1"/>
      </bottom>
      <diagonal/>
    </border>
    <border>
      <left style="thick">
        <color auto="1"/>
      </left>
      <right style="thin">
        <color auto="1"/>
      </right>
      <top/>
      <bottom style="thick">
        <color auto="1"/>
      </bottom>
      <diagonal/>
    </border>
    <border>
      <left style="thin">
        <color auto="1"/>
      </left>
      <right style="thick">
        <color auto="1"/>
      </right>
      <top/>
      <bottom style="thick">
        <color auto="1"/>
      </bottom>
      <diagonal/>
    </border>
    <border>
      <left/>
      <right style="thick">
        <color auto="1"/>
      </right>
      <top/>
      <bottom style="thick">
        <color auto="1"/>
      </bottom>
      <diagonal/>
    </border>
    <border>
      <left style="thick">
        <color auto="1"/>
      </left>
      <right/>
      <top style="thick">
        <color auto="1"/>
      </top>
      <bottom style="thin">
        <color auto="1"/>
      </bottom>
      <diagonal/>
    </border>
    <border>
      <left style="thick">
        <color auto="1"/>
      </left>
      <right/>
      <top style="thin">
        <color auto="1"/>
      </top>
      <bottom style="thick">
        <color auto="1"/>
      </bottom>
      <diagonal/>
    </border>
    <border>
      <left style="thin">
        <color auto="1"/>
      </left>
      <right style="thin">
        <color auto="1"/>
      </right>
      <top/>
      <bottom style="thick">
        <color auto="1"/>
      </bottom>
      <diagonal/>
    </border>
    <border>
      <left/>
      <right style="thick">
        <color auto="1"/>
      </right>
      <top style="thin">
        <color auto="1"/>
      </top>
      <bottom style="thin">
        <color auto="1"/>
      </bottom>
      <diagonal/>
    </border>
    <border>
      <left/>
      <right style="thick">
        <color auto="1"/>
      </right>
      <top style="thin">
        <color auto="1"/>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right style="thin">
        <color auto="1"/>
      </right>
      <top style="thin">
        <color auto="1"/>
      </top>
      <bottom/>
      <diagonal/>
    </border>
    <border>
      <left style="thin">
        <color auto="1"/>
      </left>
      <right style="thick">
        <color auto="1"/>
      </right>
      <top/>
      <bottom/>
      <diagonal/>
    </border>
    <border>
      <left/>
      <right style="thick">
        <color auto="1"/>
      </right>
      <top/>
      <bottom/>
      <diagonal/>
    </border>
    <border>
      <left style="thick">
        <color auto="1"/>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top/>
      <bottom style="thin">
        <color auto="1"/>
      </bottom>
      <diagonal/>
    </border>
    <border>
      <left style="thin">
        <color auto="1"/>
      </left>
      <right/>
      <top/>
      <bottom style="thick">
        <color auto="1"/>
      </bottom>
      <diagonal/>
    </border>
    <border>
      <left/>
      <right style="thin">
        <color auto="1"/>
      </right>
      <top/>
      <bottom style="thick">
        <color auto="1"/>
      </bottom>
      <diagonal/>
    </border>
    <border>
      <left style="thin">
        <color auto="1"/>
      </left>
      <right/>
      <top style="thin">
        <color auto="1"/>
      </top>
      <bottom style="thin">
        <color auto="1"/>
      </bottom>
      <diagonal/>
    </border>
    <border>
      <left style="thin">
        <color auto="1"/>
      </left>
      <right/>
      <top style="thick">
        <color auto="1"/>
      </top>
      <bottom style="thin">
        <color auto="1"/>
      </bottom>
      <diagonal/>
    </border>
    <border>
      <left style="thick">
        <color auto="1"/>
      </left>
      <right style="thin">
        <color auto="1"/>
      </right>
      <top/>
      <bottom/>
      <diagonal/>
    </border>
    <border>
      <left style="thin">
        <color auto="1"/>
      </left>
      <right/>
      <top style="thin">
        <color auto="1"/>
      </top>
      <bottom/>
      <diagonal/>
    </border>
    <border>
      <left style="thin">
        <color auto="1"/>
      </left>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1">
    <xf numFmtId="0" fontId="0" fillId="0" borderId="0"/>
  </cellStyleXfs>
  <cellXfs count="205">
    <xf numFmtId="0" fontId="0" fillId="0" borderId="0" xfId="0"/>
    <xf numFmtId="0" fontId="1" fillId="0" borderId="20" xfId="0" applyFont="1" applyBorder="1" applyAlignment="1">
      <alignment horizontal="center" vertical="center"/>
    </xf>
    <xf numFmtId="164" fontId="0" fillId="0" borderId="0" xfId="0" applyNumberFormat="1" applyAlignment="1">
      <alignment horizontal="center" vertical="center" wrapText="1"/>
    </xf>
    <xf numFmtId="0" fontId="0" fillId="0" borderId="0" xfId="0"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0" xfId="0" applyFont="1" applyBorder="1" applyAlignment="1">
      <alignment horizontal="center" vertical="center" wrapText="1"/>
    </xf>
    <xf numFmtId="0" fontId="0" fillId="0" borderId="12" xfId="0" applyBorder="1" applyAlignment="1">
      <alignment horizontal="center" vertical="center" wrapText="1"/>
    </xf>
    <xf numFmtId="0" fontId="2" fillId="0" borderId="13" xfId="0" applyFont="1" applyBorder="1" applyAlignment="1">
      <alignment horizontal="center" vertical="center" wrapText="1"/>
    </xf>
    <xf numFmtId="0" fontId="0" fillId="0" borderId="0" xfId="0" applyAlignment="1">
      <alignment horizontal="center" vertical="center" wrapText="1"/>
    </xf>
    <xf numFmtId="164" fontId="0" fillId="0" borderId="14" xfId="0" applyNumberForma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7" xfId="0" applyFont="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4" xfId="0" applyBorder="1" applyAlignment="1">
      <alignment horizontal="center" vertical="center" wrapText="1"/>
    </xf>
    <xf numFmtId="0" fontId="0" fillId="0" borderId="17" xfId="0" applyBorder="1" applyAlignment="1">
      <alignment horizontal="center" vertical="center" wrapText="1"/>
    </xf>
    <xf numFmtId="164" fontId="0" fillId="0" borderId="18" xfId="0" applyNumberFormat="1" applyBorder="1" applyAlignment="1">
      <alignment horizontal="center" vertical="center" wrapText="1"/>
    </xf>
    <xf numFmtId="0" fontId="0" fillId="0" borderId="19" xfId="0" applyBorder="1" applyAlignment="1">
      <alignment horizontal="center" vertical="center" wrapText="1"/>
    </xf>
    <xf numFmtId="0" fontId="4" fillId="2" borderId="20"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164" fontId="0" fillId="0" borderId="21" xfId="0" applyNumberFormat="1" applyBorder="1" applyAlignment="1">
      <alignment horizontal="center" vertical="center" wrapText="1"/>
    </xf>
    <xf numFmtId="0" fontId="2" fillId="0" borderId="22" xfId="0" applyFont="1" applyBorder="1" applyAlignment="1">
      <alignment horizontal="center" vertical="center" wrapText="1"/>
    </xf>
    <xf numFmtId="0" fontId="2" fillId="0" borderId="21" xfId="0" applyFont="1" applyBorder="1" applyAlignment="1">
      <alignment horizontal="center" vertical="center" wrapText="1"/>
    </xf>
    <xf numFmtId="0" fontId="0" fillId="0" borderId="23" xfId="0" applyBorder="1" applyAlignment="1">
      <alignment horizontal="center" vertical="center" wrapText="1"/>
    </xf>
    <xf numFmtId="0" fontId="2" fillId="0" borderId="24" xfId="0" applyFont="1" applyBorder="1" applyAlignment="1">
      <alignment horizontal="center" vertical="center" wrapText="1"/>
    </xf>
    <xf numFmtId="0" fontId="5" fillId="0" borderId="15" xfId="0" applyFont="1" applyBorder="1" applyAlignment="1">
      <alignment horizontal="center" vertical="center" wrapText="1"/>
    </xf>
    <xf numFmtId="164" fontId="0" fillId="0" borderId="25" xfId="0" applyNumberFormat="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26" xfId="0" applyBorder="1" applyAlignment="1">
      <alignment horizontal="center" vertical="center" wrapText="1"/>
    </xf>
    <xf numFmtId="0" fontId="2" fillId="0" borderId="9" xfId="0" applyFont="1" applyBorder="1" applyAlignment="1">
      <alignment horizontal="center" vertical="center" wrapText="1"/>
    </xf>
    <xf numFmtId="0" fontId="0" fillId="0" borderId="27" xfId="0" applyBorder="1" applyAlignment="1">
      <alignment horizontal="center" vertical="center" wrapText="1"/>
    </xf>
    <xf numFmtId="164" fontId="0" fillId="0" borderId="28" xfId="0" applyNumberFormat="1"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4" xfId="0" applyBorder="1" applyAlignment="1">
      <alignment horizontal="center" vertical="center" wrapText="1"/>
    </xf>
    <xf numFmtId="164" fontId="0" fillId="0" borderId="29" xfId="0" applyNumberFormat="1" applyBorder="1" applyAlignment="1">
      <alignment horizontal="center" vertical="center" wrapText="1"/>
    </xf>
    <xf numFmtId="0" fontId="0" fillId="0" borderId="9" xfId="0" applyBorder="1" applyAlignment="1">
      <alignment horizontal="center" vertical="center" wrapText="1"/>
    </xf>
    <xf numFmtId="164" fontId="0" fillId="0" borderId="6" xfId="0" applyNumberFormat="1" applyBorder="1" applyAlignment="1">
      <alignment horizontal="center" vertical="center" wrapText="1"/>
    </xf>
    <xf numFmtId="0" fontId="2" fillId="0" borderId="30" xfId="0" applyFont="1" applyBorder="1" applyAlignment="1">
      <alignment horizontal="center" vertical="center" wrapText="1"/>
    </xf>
    <xf numFmtId="0" fontId="0" fillId="0" borderId="5" xfId="0" applyBorder="1" applyAlignment="1">
      <alignment horizontal="center" vertical="center" wrapText="1"/>
    </xf>
    <xf numFmtId="0" fontId="2" fillId="0" borderId="7" xfId="0" applyFont="1"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6" fillId="0" borderId="15"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0" xfId="0"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9" xfId="0" applyFont="1" applyBorder="1" applyAlignment="1">
      <alignment horizontal="center" vertical="center" wrapText="1"/>
    </xf>
    <xf numFmtId="164" fontId="0" fillId="0" borderId="38" xfId="0" applyNumberFormat="1" applyBorder="1" applyAlignment="1">
      <alignment horizontal="center" vertical="center" wrapText="1"/>
    </xf>
    <xf numFmtId="0" fontId="0" fillId="0" borderId="39" xfId="0" applyBorder="1" applyAlignment="1">
      <alignment horizontal="center" vertical="center" wrapText="1"/>
    </xf>
    <xf numFmtId="0" fontId="2" fillId="0" borderId="39" xfId="0" applyFont="1" applyBorder="1" applyAlignment="1">
      <alignment horizontal="center" vertical="center" wrapText="1"/>
    </xf>
    <xf numFmtId="0" fontId="0" fillId="0" borderId="40" xfId="0" applyBorder="1" applyAlignment="1">
      <alignment horizontal="center" vertical="center" wrapText="1"/>
    </xf>
    <xf numFmtId="0" fontId="0" fillId="0" borderId="43" xfId="0" applyBorder="1" applyAlignment="1">
      <alignment horizontal="center" vertical="center" wrapText="1"/>
    </xf>
    <xf numFmtId="14" fontId="0" fillId="0" borderId="0" xfId="0" applyNumberFormat="1"/>
    <xf numFmtId="14" fontId="0" fillId="0" borderId="21" xfId="0" applyNumberFormat="1" applyBorder="1" applyAlignment="1">
      <alignment horizontal="center" vertical="center" wrapText="1"/>
    </xf>
    <xf numFmtId="14" fontId="0" fillId="0" borderId="10" xfId="0" applyNumberFormat="1" applyBorder="1" applyAlignment="1">
      <alignment horizontal="center" vertical="center" wrapText="1"/>
    </xf>
    <xf numFmtId="14" fontId="0" fillId="0" borderId="25" xfId="0" applyNumberFormat="1" applyBorder="1" applyAlignment="1">
      <alignment horizontal="center" vertical="center" wrapText="1"/>
    </xf>
    <xf numFmtId="0" fontId="7" fillId="0" borderId="41" xfId="0" applyFont="1" applyBorder="1" applyAlignment="1">
      <alignment horizontal="center" vertical="center" wrapText="1"/>
    </xf>
    <xf numFmtId="0" fontId="7" fillId="0" borderId="42"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4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165" fontId="1" fillId="0" borderId="20" xfId="0" applyNumberFormat="1" applyFont="1" applyBorder="1" applyAlignment="1">
      <alignment horizontal="center" vertical="center"/>
    </xf>
    <xf numFmtId="0" fontId="7" fillId="0" borderId="23" xfId="0" applyFont="1" applyBorder="1" applyAlignment="1">
      <alignment horizontal="center" vertical="center" wrapText="1"/>
    </xf>
    <xf numFmtId="0" fontId="7" fillId="0" borderId="5"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22"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164" fontId="0" fillId="0" borderId="53" xfId="0" applyNumberFormat="1" applyBorder="1" applyAlignment="1">
      <alignment horizontal="center" vertical="center" wrapText="1"/>
    </xf>
    <xf numFmtId="0" fontId="2" fillId="0" borderId="54"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8" xfId="0" applyFont="1" applyBorder="1" applyAlignment="1">
      <alignment horizontal="center" vertical="center" wrapText="1"/>
    </xf>
    <xf numFmtId="14" fontId="0" fillId="0" borderId="53" xfId="0" applyNumberFormat="1" applyBorder="1" applyAlignment="1">
      <alignment horizontal="center" vertical="center" wrapText="1"/>
    </xf>
    <xf numFmtId="0" fontId="9" fillId="0" borderId="14"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3" xfId="0" applyFont="1" applyBorder="1" applyAlignment="1">
      <alignment horizontal="center" vertical="center" wrapText="1"/>
    </xf>
    <xf numFmtId="164" fontId="7" fillId="0" borderId="25" xfId="0" applyNumberFormat="1" applyFont="1" applyBorder="1" applyAlignment="1">
      <alignment horizontal="center" vertical="center" wrapText="1"/>
    </xf>
    <xf numFmtId="0" fontId="9" fillId="0" borderId="30"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50" xfId="0" applyFont="1" applyBorder="1" applyAlignment="1">
      <alignment horizontal="center" vertical="center" wrapText="1"/>
    </xf>
    <xf numFmtId="0" fontId="7" fillId="0" borderId="0" xfId="0" applyFont="1" applyAlignment="1">
      <alignment horizontal="center" vertical="center" wrapText="1"/>
    </xf>
    <xf numFmtId="0" fontId="9" fillId="0" borderId="53" xfId="0" applyFont="1" applyBorder="1" applyAlignment="1">
      <alignment horizontal="center" vertical="center" wrapText="1"/>
    </xf>
    <xf numFmtId="0" fontId="9" fillId="0" borderId="56" xfId="0" applyFont="1" applyBorder="1" applyAlignment="1">
      <alignment horizontal="center" vertical="center" wrapText="1"/>
    </xf>
    <xf numFmtId="0" fontId="9" fillId="0" borderId="58" xfId="0" applyFont="1" applyBorder="1" applyAlignment="1">
      <alignment horizontal="center" vertical="center" wrapText="1"/>
    </xf>
    <xf numFmtId="0" fontId="0" fillId="0" borderId="0" xfId="0" applyAlignment="1">
      <alignment horizontal="left" vertical="center"/>
    </xf>
    <xf numFmtId="2" fontId="0" fillId="0" borderId="0" xfId="0" applyNumberFormat="1" applyAlignment="1">
      <alignment horizontal="left" vertical="center"/>
    </xf>
    <xf numFmtId="164" fontId="7" fillId="0" borderId="10" xfId="0" applyNumberFormat="1" applyFont="1" applyBorder="1" applyAlignment="1">
      <alignment horizontal="center" vertical="center" wrapText="1"/>
    </xf>
    <xf numFmtId="0" fontId="9" fillId="0" borderId="48" xfId="0" applyFont="1" applyBorder="1" applyAlignment="1">
      <alignment horizontal="center" vertical="center" wrapText="1"/>
    </xf>
    <xf numFmtId="0" fontId="2" fillId="0" borderId="23" xfId="0" applyFont="1" applyBorder="1" applyAlignment="1">
      <alignment horizontal="center" vertical="center" wrapText="1"/>
    </xf>
    <xf numFmtId="0" fontId="9" fillId="0" borderId="16" xfId="0" applyFont="1" applyBorder="1" applyAlignment="1">
      <alignment horizontal="center" vertical="center" wrapText="1"/>
    </xf>
    <xf numFmtId="0" fontId="2" fillId="0" borderId="8" xfId="0" applyFont="1" applyBorder="1" applyAlignment="1">
      <alignment horizontal="center" vertical="center" wrapText="1"/>
    </xf>
    <xf numFmtId="0" fontId="9" fillId="0" borderId="23" xfId="0" applyFont="1" applyBorder="1" applyAlignment="1">
      <alignment horizontal="center" vertical="center" wrapText="1"/>
    </xf>
    <xf numFmtId="0" fontId="10" fillId="0" borderId="16"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40" xfId="0" applyFont="1" applyBorder="1" applyAlignment="1">
      <alignment horizontal="center" vertical="center" wrapText="1"/>
    </xf>
    <xf numFmtId="0" fontId="2" fillId="0" borderId="40"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9" fillId="0" borderId="38"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18" xfId="0" applyFont="1" applyBorder="1" applyAlignment="1">
      <alignment horizontal="center" vertical="center" wrapText="1"/>
    </xf>
    <xf numFmtId="2" fontId="1" fillId="0" borderId="20" xfId="0" applyNumberFormat="1" applyFont="1" applyBorder="1" applyAlignment="1">
      <alignment horizontal="center" vertical="center"/>
    </xf>
    <xf numFmtId="0" fontId="7" fillId="0" borderId="0" xfId="0" applyFont="1" applyAlignment="1">
      <alignment horizontal="center" vertical="center"/>
    </xf>
    <xf numFmtId="0" fontId="9" fillId="0" borderId="51" xfId="0" applyFont="1" applyBorder="1" applyAlignment="1">
      <alignment horizontal="center" vertical="center" wrapText="1"/>
    </xf>
    <xf numFmtId="0" fontId="7" fillId="0" borderId="0" xfId="0" applyFont="1"/>
    <xf numFmtId="0" fontId="9" fillId="0" borderId="55" xfId="0" applyFont="1" applyBorder="1" applyAlignment="1">
      <alignment horizontal="center" vertical="center" wrapText="1"/>
    </xf>
    <xf numFmtId="164" fontId="7" fillId="0" borderId="53" xfId="0" applyNumberFormat="1" applyFont="1" applyBorder="1" applyAlignment="1">
      <alignment horizontal="center" vertical="center" wrapText="1"/>
    </xf>
    <xf numFmtId="0" fontId="9" fillId="0" borderId="54" xfId="0" applyFont="1" applyBorder="1" applyAlignment="1">
      <alignment horizontal="center" vertical="center" wrapText="1"/>
    </xf>
    <xf numFmtId="0" fontId="9" fillId="3" borderId="14" xfId="0" applyFont="1" applyFill="1" applyBorder="1" applyAlignment="1">
      <alignment horizontal="center" vertical="center" wrapText="1"/>
    </xf>
    <xf numFmtId="0" fontId="9" fillId="3" borderId="15"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indent="10"/>
    </xf>
    <xf numFmtId="0" fontId="0" fillId="0" borderId="0" xfId="0" applyAlignment="1">
      <alignment horizontal="left" vertical="center" wrapText="1" indent="10"/>
    </xf>
    <xf numFmtId="164" fontId="7" fillId="0" borderId="21" xfId="0" applyNumberFormat="1" applyFont="1" applyBorder="1" applyAlignment="1">
      <alignment horizontal="center" vertical="center" wrapText="1"/>
    </xf>
    <xf numFmtId="0" fontId="9" fillId="0" borderId="52" xfId="0" applyFont="1" applyBorder="1" applyAlignment="1">
      <alignment horizontal="center" vertical="center" wrapText="1"/>
    </xf>
    <xf numFmtId="2" fontId="0" fillId="0" borderId="0" xfId="0" quotePrefix="1" applyNumberFormat="1" applyAlignment="1">
      <alignment horizontal="right" vertical="center"/>
    </xf>
    <xf numFmtId="0" fontId="13" fillId="0" borderId="58" xfId="0" applyFont="1" applyBorder="1" applyAlignment="1">
      <alignment horizontal="center" vertical="center" wrapText="1"/>
    </xf>
    <xf numFmtId="0" fontId="0" fillId="0" borderId="0" xfId="0" applyAlignment="1">
      <alignment horizontal="left" vertical="top"/>
    </xf>
    <xf numFmtId="0" fontId="12" fillId="0" borderId="0" xfId="0" applyFont="1" applyAlignment="1">
      <alignment horizontal="center" vertical="center"/>
    </xf>
    <xf numFmtId="164" fontId="0" fillId="0" borderId="1" xfId="0" applyNumberFormat="1" applyBorder="1" applyAlignment="1">
      <alignment horizontal="center" vertical="center" wrapText="1"/>
    </xf>
    <xf numFmtId="0" fontId="0" fillId="0" borderId="2" xfId="0" applyBorder="1" applyAlignment="1">
      <alignment horizontal="center" vertical="center"/>
    </xf>
    <xf numFmtId="0" fontId="3" fillId="0" borderId="20" xfId="0" applyFont="1" applyBorder="1" applyAlignment="1">
      <alignment horizontal="center" vertical="center"/>
    </xf>
    <xf numFmtId="0" fontId="4" fillId="0" borderId="20" xfId="0" applyFont="1" applyBorder="1" applyAlignment="1">
      <alignment horizontal="center" vertical="center"/>
    </xf>
    <xf numFmtId="0" fontId="0" fillId="0" borderId="3" xfId="0" applyBorder="1" applyAlignment="1">
      <alignment horizontal="center" vertical="center"/>
    </xf>
    <xf numFmtId="0" fontId="1" fillId="0" borderId="4" xfId="0" applyFont="1" applyBorder="1" applyAlignment="1">
      <alignment horizontal="center" vertical="center"/>
    </xf>
    <xf numFmtId="0" fontId="1" fillId="0" borderId="20" xfId="0" applyFont="1" applyBorder="1" applyAlignment="1">
      <alignment horizontal="center" vertical="center"/>
    </xf>
    <xf numFmtId="0" fontId="1" fillId="0" borderId="5" xfId="0" applyFont="1" applyBorder="1" applyAlignment="1">
      <alignment horizontal="center" vertical="center"/>
    </xf>
    <xf numFmtId="0" fontId="1" fillId="0" borderId="33" xfId="0" applyFont="1" applyBorder="1" applyAlignment="1">
      <alignment horizontal="center" vertic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1" fillId="0" borderId="36" xfId="0" applyFont="1" applyBorder="1" applyAlignment="1">
      <alignment horizontal="center" vertical="center"/>
    </xf>
    <xf numFmtId="0" fontId="1" fillId="0" borderId="37" xfId="0" applyFont="1" applyBorder="1" applyAlignment="1">
      <alignment horizontal="center" vertical="center"/>
    </xf>
    <xf numFmtId="0" fontId="1" fillId="0" borderId="27" xfId="0" applyFont="1" applyBorder="1" applyAlignment="1">
      <alignment horizontal="center" vertical="center"/>
    </xf>
    <xf numFmtId="0" fontId="3" fillId="0" borderId="33"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0" xfId="0" applyFont="1" applyAlignment="1">
      <alignment horizontal="center" vertical="center" wrapText="1"/>
    </xf>
    <xf numFmtId="0" fontId="3" fillId="0" borderId="43"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27" xfId="0" applyFont="1" applyBorder="1" applyAlignment="1">
      <alignment horizontal="center" vertical="center" wrapText="1"/>
    </xf>
    <xf numFmtId="0" fontId="1" fillId="0" borderId="45" xfId="0" applyFont="1" applyBorder="1" applyAlignment="1">
      <alignment horizontal="center" vertical="center"/>
    </xf>
    <xf numFmtId="0" fontId="1" fillId="0" borderId="46" xfId="0" applyFont="1" applyBorder="1" applyAlignment="1">
      <alignment horizontal="center" vertical="center"/>
    </xf>
    <xf numFmtId="0" fontId="1" fillId="0" borderId="47" xfId="0" applyFont="1" applyBorder="1" applyAlignment="1">
      <alignment horizontal="center" vertical="center"/>
    </xf>
    <xf numFmtId="0" fontId="3" fillId="0" borderId="45" xfId="0" applyFont="1" applyBorder="1" applyAlignment="1">
      <alignment horizontal="center" vertical="center"/>
    </xf>
    <xf numFmtId="0" fontId="3" fillId="0" borderId="46" xfId="0" applyFont="1" applyBorder="1" applyAlignment="1">
      <alignment horizontal="center" vertical="center"/>
    </xf>
    <xf numFmtId="0" fontId="3" fillId="0" borderId="47" xfId="0" applyFont="1" applyBorder="1" applyAlignment="1">
      <alignment horizontal="center" vertical="center"/>
    </xf>
  </cellXfs>
  <cellStyles count="1">
    <cellStyle name="Normale" xfId="0" builtinId="0"/>
  </cellStyles>
  <dxfs count="33">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theme="9" tint="0.79998168889431442"/>
        </patternFill>
      </fill>
    </dxf>
    <dxf>
      <fill>
        <patternFill>
          <bgColor rgb="FFE2F0D9"/>
        </patternFill>
      </fill>
    </dxf>
    <dxf>
      <fill>
        <patternFill>
          <bgColor theme="9" tint="0.79998168889431442"/>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theme="9" tint="0.79998168889431442"/>
        </patternFill>
      </fill>
    </dxf>
    <dxf>
      <fill>
        <patternFill>
          <bgColor rgb="FFE2F0D9"/>
        </patternFill>
      </fill>
    </dxf>
    <dxf>
      <fill>
        <patternFill>
          <bgColor rgb="FFE2F0D9"/>
        </patternFill>
      </fill>
    </dxf>
    <dxf>
      <fill>
        <patternFill>
          <bgColor rgb="FFE2F0D9"/>
        </patternFill>
      </fill>
    </dxf>
    <dxf>
      <fill>
        <patternFill>
          <bgColor theme="0" tint="-0.24994659260841701"/>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
      <fill>
        <patternFill>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strRef>
              <c:f>'Grafische Darstellung'!$C$2</c:f>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'Grafische Darstellung'!$B$3:$B$251</c:f>
              <c:numCache>
                <c:formatCode>m/d/yyyy</c:formatCode>
                <c:ptCount val="249"/>
                <c:pt idx="0">
                  <c:v>46023</c:v>
                </c:pt>
                <c:pt idx="1">
                  <c:v>46034</c:v>
                </c:pt>
                <c:pt idx="2">
                  <c:v>46035</c:v>
                </c:pt>
                <c:pt idx="3">
                  <c:v>46036</c:v>
                </c:pt>
                <c:pt idx="4">
                  <c:v>46037</c:v>
                </c:pt>
                <c:pt idx="5">
                  <c:v>46038</c:v>
                </c:pt>
                <c:pt idx="6">
                  <c:v>46041</c:v>
                </c:pt>
                <c:pt idx="7">
                  <c:v>46042</c:v>
                </c:pt>
                <c:pt idx="8">
                  <c:v>46043</c:v>
                </c:pt>
                <c:pt idx="9">
                  <c:v>46044</c:v>
                </c:pt>
                <c:pt idx="10">
                  <c:v>46045</c:v>
                </c:pt>
                <c:pt idx="11">
                  <c:v>46048</c:v>
                </c:pt>
                <c:pt idx="12">
                  <c:v>46049</c:v>
                </c:pt>
                <c:pt idx="13">
                  <c:v>46050</c:v>
                </c:pt>
                <c:pt idx="14">
                  <c:v>46051</c:v>
                </c:pt>
                <c:pt idx="15">
                  <c:v>46052</c:v>
                </c:pt>
                <c:pt idx="16">
                  <c:v>46055</c:v>
                </c:pt>
                <c:pt idx="17">
                  <c:v>46056</c:v>
                </c:pt>
                <c:pt idx="18">
                  <c:v>46057</c:v>
                </c:pt>
                <c:pt idx="19">
                  <c:v>46058</c:v>
                </c:pt>
                <c:pt idx="20">
                  <c:v>46059</c:v>
                </c:pt>
                <c:pt idx="21">
                  <c:v>46062</c:v>
                </c:pt>
                <c:pt idx="22">
                  <c:v>46063</c:v>
                </c:pt>
                <c:pt idx="23">
                  <c:v>46064</c:v>
                </c:pt>
                <c:pt idx="24">
                  <c:v>46065</c:v>
                </c:pt>
                <c:pt idx="25">
                  <c:v>46066</c:v>
                </c:pt>
                <c:pt idx="26">
                  <c:v>46069</c:v>
                </c:pt>
                <c:pt idx="27">
                  <c:v>46070</c:v>
                </c:pt>
                <c:pt idx="28">
                  <c:v>46071</c:v>
                </c:pt>
                <c:pt idx="29">
                  <c:v>46072</c:v>
                </c:pt>
                <c:pt idx="30">
                  <c:v>46073</c:v>
                </c:pt>
                <c:pt idx="31">
                  <c:v>46076</c:v>
                </c:pt>
                <c:pt idx="32">
                  <c:v>46077</c:v>
                </c:pt>
                <c:pt idx="33">
                  <c:v>46078</c:v>
                </c:pt>
                <c:pt idx="34">
                  <c:v>46079</c:v>
                </c:pt>
                <c:pt idx="35">
                  <c:v>46080</c:v>
                </c:pt>
                <c:pt idx="36">
                  <c:v>46083</c:v>
                </c:pt>
                <c:pt idx="37">
                  <c:v>46084</c:v>
                </c:pt>
                <c:pt idx="38">
                  <c:v>46085</c:v>
                </c:pt>
                <c:pt idx="39">
                  <c:v>46086</c:v>
                </c:pt>
                <c:pt idx="40">
                  <c:v>46087</c:v>
                </c:pt>
                <c:pt idx="41">
                  <c:v>46090</c:v>
                </c:pt>
                <c:pt idx="42">
                  <c:v>46091</c:v>
                </c:pt>
                <c:pt idx="43">
                  <c:v>46092</c:v>
                </c:pt>
                <c:pt idx="44">
                  <c:v>46093</c:v>
                </c:pt>
                <c:pt idx="45">
                  <c:v>46094</c:v>
                </c:pt>
                <c:pt idx="46">
                  <c:v>46097</c:v>
                </c:pt>
                <c:pt idx="47">
                  <c:v>46098</c:v>
                </c:pt>
                <c:pt idx="48">
                  <c:v>46099</c:v>
                </c:pt>
                <c:pt idx="49">
                  <c:v>46100</c:v>
                </c:pt>
                <c:pt idx="50">
                  <c:v>46101</c:v>
                </c:pt>
                <c:pt idx="51">
                  <c:v>46104</c:v>
                </c:pt>
                <c:pt idx="52">
                  <c:v>46105</c:v>
                </c:pt>
                <c:pt idx="53">
                  <c:v>46106</c:v>
                </c:pt>
                <c:pt idx="54">
                  <c:v>46107</c:v>
                </c:pt>
                <c:pt idx="55">
                  <c:v>46108</c:v>
                </c:pt>
                <c:pt idx="56">
                  <c:v>46111</c:v>
                </c:pt>
                <c:pt idx="57">
                  <c:v>46112</c:v>
                </c:pt>
                <c:pt idx="58">
                  <c:v>46113</c:v>
                </c:pt>
                <c:pt idx="59">
                  <c:v>46114</c:v>
                </c:pt>
                <c:pt idx="60">
                  <c:v>46115</c:v>
                </c:pt>
                <c:pt idx="61">
                  <c:v>46118</c:v>
                </c:pt>
                <c:pt idx="62">
                  <c:v>46119</c:v>
                </c:pt>
                <c:pt idx="63">
                  <c:v>46120</c:v>
                </c:pt>
                <c:pt idx="64">
                  <c:v>46121</c:v>
                </c:pt>
                <c:pt idx="65">
                  <c:v>46122</c:v>
                </c:pt>
                <c:pt idx="66">
                  <c:v>46125</c:v>
                </c:pt>
                <c:pt idx="67">
                  <c:v>46126</c:v>
                </c:pt>
                <c:pt idx="68">
                  <c:v>46127</c:v>
                </c:pt>
                <c:pt idx="69">
                  <c:v>46128</c:v>
                </c:pt>
                <c:pt idx="70">
                  <c:v>46129</c:v>
                </c:pt>
                <c:pt idx="71">
                  <c:v>46132</c:v>
                </c:pt>
                <c:pt idx="72">
                  <c:v>46133</c:v>
                </c:pt>
                <c:pt idx="73">
                  <c:v>46134</c:v>
                </c:pt>
                <c:pt idx="74">
                  <c:v>46135</c:v>
                </c:pt>
                <c:pt idx="75">
                  <c:v>46136</c:v>
                </c:pt>
                <c:pt idx="76">
                  <c:v>46139</c:v>
                </c:pt>
                <c:pt idx="77">
                  <c:v>46140</c:v>
                </c:pt>
                <c:pt idx="78">
                  <c:v>46141</c:v>
                </c:pt>
                <c:pt idx="79">
                  <c:v>46142</c:v>
                </c:pt>
                <c:pt idx="80">
                  <c:v>46143</c:v>
                </c:pt>
                <c:pt idx="81">
                  <c:v>46146</c:v>
                </c:pt>
                <c:pt idx="82">
                  <c:v>46147</c:v>
                </c:pt>
                <c:pt idx="83">
                  <c:v>46148</c:v>
                </c:pt>
                <c:pt idx="84">
                  <c:v>46149</c:v>
                </c:pt>
                <c:pt idx="85">
                  <c:v>46150</c:v>
                </c:pt>
                <c:pt idx="86">
                  <c:v>46153</c:v>
                </c:pt>
                <c:pt idx="87">
                  <c:v>46154</c:v>
                </c:pt>
                <c:pt idx="88">
                  <c:v>46155</c:v>
                </c:pt>
                <c:pt idx="89">
                  <c:v>46156</c:v>
                </c:pt>
                <c:pt idx="90">
                  <c:v>46157</c:v>
                </c:pt>
                <c:pt idx="91">
                  <c:v>46160</c:v>
                </c:pt>
                <c:pt idx="92">
                  <c:v>46161</c:v>
                </c:pt>
                <c:pt idx="93">
                  <c:v>46162</c:v>
                </c:pt>
                <c:pt idx="94">
                  <c:v>46163</c:v>
                </c:pt>
                <c:pt idx="95">
                  <c:v>46164</c:v>
                </c:pt>
                <c:pt idx="96">
                  <c:v>46167</c:v>
                </c:pt>
                <c:pt idx="97">
                  <c:v>46168</c:v>
                </c:pt>
                <c:pt idx="98">
                  <c:v>46169</c:v>
                </c:pt>
                <c:pt idx="99">
                  <c:v>46170</c:v>
                </c:pt>
                <c:pt idx="100">
                  <c:v>46171</c:v>
                </c:pt>
                <c:pt idx="101">
                  <c:v>46174</c:v>
                </c:pt>
                <c:pt idx="102">
                  <c:v>46175</c:v>
                </c:pt>
                <c:pt idx="103">
                  <c:v>46176</c:v>
                </c:pt>
                <c:pt idx="104">
                  <c:v>46177</c:v>
                </c:pt>
                <c:pt idx="105">
                  <c:v>46178</c:v>
                </c:pt>
                <c:pt idx="106">
                  <c:v>46181</c:v>
                </c:pt>
                <c:pt idx="107">
                  <c:v>46182</c:v>
                </c:pt>
                <c:pt idx="108">
                  <c:v>46183</c:v>
                </c:pt>
                <c:pt idx="109">
                  <c:v>46184</c:v>
                </c:pt>
                <c:pt idx="110">
                  <c:v>46185</c:v>
                </c:pt>
                <c:pt idx="111">
                  <c:v>46188</c:v>
                </c:pt>
                <c:pt idx="112">
                  <c:v>46189</c:v>
                </c:pt>
                <c:pt idx="113">
                  <c:v>46190</c:v>
                </c:pt>
                <c:pt idx="114">
                  <c:v>46191</c:v>
                </c:pt>
                <c:pt idx="115">
                  <c:v>46192</c:v>
                </c:pt>
                <c:pt idx="116">
                  <c:v>46195</c:v>
                </c:pt>
                <c:pt idx="117">
                  <c:v>46196</c:v>
                </c:pt>
                <c:pt idx="118">
                  <c:v>46197</c:v>
                </c:pt>
                <c:pt idx="119">
                  <c:v>46198</c:v>
                </c:pt>
                <c:pt idx="120">
                  <c:v>46199</c:v>
                </c:pt>
                <c:pt idx="121">
                  <c:v>46202</c:v>
                </c:pt>
                <c:pt idx="122">
                  <c:v>46203</c:v>
                </c:pt>
                <c:pt idx="123">
                  <c:v>46204</c:v>
                </c:pt>
                <c:pt idx="124">
                  <c:v>46205</c:v>
                </c:pt>
                <c:pt idx="125">
                  <c:v>46206</c:v>
                </c:pt>
                <c:pt idx="126">
                  <c:v>46209</c:v>
                </c:pt>
                <c:pt idx="127">
                  <c:v>46210</c:v>
                </c:pt>
                <c:pt idx="128">
                  <c:v>46211</c:v>
                </c:pt>
                <c:pt idx="129">
                  <c:v>46212</c:v>
                </c:pt>
                <c:pt idx="130">
                  <c:v>46213</c:v>
                </c:pt>
                <c:pt idx="131">
                  <c:v>46216</c:v>
                </c:pt>
                <c:pt idx="132">
                  <c:v>46217</c:v>
                </c:pt>
                <c:pt idx="133">
                  <c:v>46218</c:v>
                </c:pt>
                <c:pt idx="134">
                  <c:v>46219</c:v>
                </c:pt>
                <c:pt idx="135">
                  <c:v>46220</c:v>
                </c:pt>
                <c:pt idx="136">
                  <c:v>46223</c:v>
                </c:pt>
                <c:pt idx="137">
                  <c:v>46224</c:v>
                </c:pt>
                <c:pt idx="138">
                  <c:v>46225</c:v>
                </c:pt>
                <c:pt idx="139">
                  <c:v>46226</c:v>
                </c:pt>
                <c:pt idx="140">
                  <c:v>46227</c:v>
                </c:pt>
                <c:pt idx="141">
                  <c:v>46230</c:v>
                </c:pt>
                <c:pt idx="142">
                  <c:v>46231</c:v>
                </c:pt>
                <c:pt idx="143">
                  <c:v>46232</c:v>
                </c:pt>
                <c:pt idx="144">
                  <c:v>46233</c:v>
                </c:pt>
                <c:pt idx="145">
                  <c:v>46234</c:v>
                </c:pt>
                <c:pt idx="146">
                  <c:v>46237</c:v>
                </c:pt>
                <c:pt idx="147">
                  <c:v>46238</c:v>
                </c:pt>
                <c:pt idx="148">
                  <c:v>46239</c:v>
                </c:pt>
                <c:pt idx="149">
                  <c:v>46240</c:v>
                </c:pt>
                <c:pt idx="150">
                  <c:v>46241</c:v>
                </c:pt>
                <c:pt idx="151">
                  <c:v>46244</c:v>
                </c:pt>
                <c:pt idx="152">
                  <c:v>46245</c:v>
                </c:pt>
                <c:pt idx="153">
                  <c:v>46246</c:v>
                </c:pt>
                <c:pt idx="154">
                  <c:v>46247</c:v>
                </c:pt>
                <c:pt idx="155">
                  <c:v>46248</c:v>
                </c:pt>
                <c:pt idx="156">
                  <c:v>46251</c:v>
                </c:pt>
                <c:pt idx="157">
                  <c:v>46252</c:v>
                </c:pt>
                <c:pt idx="158">
                  <c:v>46253</c:v>
                </c:pt>
                <c:pt idx="159">
                  <c:v>46254</c:v>
                </c:pt>
                <c:pt idx="160">
                  <c:v>46255</c:v>
                </c:pt>
                <c:pt idx="161">
                  <c:v>46258</c:v>
                </c:pt>
                <c:pt idx="162">
                  <c:v>46259</c:v>
                </c:pt>
                <c:pt idx="163">
                  <c:v>46260</c:v>
                </c:pt>
                <c:pt idx="164">
                  <c:v>46261</c:v>
                </c:pt>
                <c:pt idx="165">
                  <c:v>46262</c:v>
                </c:pt>
                <c:pt idx="166">
                  <c:v>46265</c:v>
                </c:pt>
                <c:pt idx="167">
                  <c:v>46266</c:v>
                </c:pt>
                <c:pt idx="168">
                  <c:v>46267</c:v>
                </c:pt>
                <c:pt idx="169">
                  <c:v>46268</c:v>
                </c:pt>
                <c:pt idx="170">
                  <c:v>46269</c:v>
                </c:pt>
                <c:pt idx="171">
                  <c:v>46272</c:v>
                </c:pt>
                <c:pt idx="172">
                  <c:v>46273</c:v>
                </c:pt>
                <c:pt idx="173">
                  <c:v>46274</c:v>
                </c:pt>
                <c:pt idx="174">
                  <c:v>46275</c:v>
                </c:pt>
                <c:pt idx="175">
                  <c:v>46276</c:v>
                </c:pt>
                <c:pt idx="176">
                  <c:v>46279</c:v>
                </c:pt>
                <c:pt idx="177">
                  <c:v>46280</c:v>
                </c:pt>
                <c:pt idx="178">
                  <c:v>46281</c:v>
                </c:pt>
                <c:pt idx="179">
                  <c:v>46282</c:v>
                </c:pt>
                <c:pt idx="180">
                  <c:v>46283</c:v>
                </c:pt>
                <c:pt idx="181">
                  <c:v>46286</c:v>
                </c:pt>
                <c:pt idx="182">
                  <c:v>46287</c:v>
                </c:pt>
                <c:pt idx="183">
                  <c:v>46288</c:v>
                </c:pt>
                <c:pt idx="184">
                  <c:v>46289</c:v>
                </c:pt>
                <c:pt idx="185">
                  <c:v>46290</c:v>
                </c:pt>
                <c:pt idx="186">
                  <c:v>46293</c:v>
                </c:pt>
                <c:pt idx="187">
                  <c:v>46294</c:v>
                </c:pt>
                <c:pt idx="188">
                  <c:v>46295</c:v>
                </c:pt>
                <c:pt idx="189">
                  <c:v>46296</c:v>
                </c:pt>
                <c:pt idx="190">
                  <c:v>46297</c:v>
                </c:pt>
                <c:pt idx="191">
                  <c:v>46300</c:v>
                </c:pt>
                <c:pt idx="192">
                  <c:v>46301</c:v>
                </c:pt>
                <c:pt idx="193">
                  <c:v>46302</c:v>
                </c:pt>
                <c:pt idx="194">
                  <c:v>46303</c:v>
                </c:pt>
                <c:pt idx="195">
                  <c:v>46304</c:v>
                </c:pt>
                <c:pt idx="196">
                  <c:v>46307</c:v>
                </c:pt>
                <c:pt idx="197">
                  <c:v>46308</c:v>
                </c:pt>
                <c:pt idx="198">
                  <c:v>46309</c:v>
                </c:pt>
                <c:pt idx="199">
                  <c:v>46310</c:v>
                </c:pt>
                <c:pt idx="200">
                  <c:v>46311</c:v>
                </c:pt>
                <c:pt idx="201">
                  <c:v>46314</c:v>
                </c:pt>
                <c:pt idx="202">
                  <c:v>46315</c:v>
                </c:pt>
                <c:pt idx="203">
                  <c:v>46316</c:v>
                </c:pt>
                <c:pt idx="204">
                  <c:v>46317</c:v>
                </c:pt>
                <c:pt idx="205">
                  <c:v>46318</c:v>
                </c:pt>
                <c:pt idx="206">
                  <c:v>46321</c:v>
                </c:pt>
                <c:pt idx="207">
                  <c:v>46322</c:v>
                </c:pt>
                <c:pt idx="208">
                  <c:v>46323</c:v>
                </c:pt>
                <c:pt idx="209">
                  <c:v>46324</c:v>
                </c:pt>
                <c:pt idx="210">
                  <c:v>46325</c:v>
                </c:pt>
                <c:pt idx="211">
                  <c:v>46328</c:v>
                </c:pt>
                <c:pt idx="212">
                  <c:v>46329</c:v>
                </c:pt>
                <c:pt idx="213">
                  <c:v>46330</c:v>
                </c:pt>
                <c:pt idx="214">
                  <c:v>46331</c:v>
                </c:pt>
                <c:pt idx="215">
                  <c:v>46332</c:v>
                </c:pt>
                <c:pt idx="216">
                  <c:v>46335</c:v>
                </c:pt>
                <c:pt idx="217">
                  <c:v>46336</c:v>
                </c:pt>
                <c:pt idx="218">
                  <c:v>46337</c:v>
                </c:pt>
                <c:pt idx="219">
                  <c:v>46338</c:v>
                </c:pt>
                <c:pt idx="220">
                  <c:v>46339</c:v>
                </c:pt>
                <c:pt idx="221">
                  <c:v>46342</c:v>
                </c:pt>
                <c:pt idx="222">
                  <c:v>46343</c:v>
                </c:pt>
                <c:pt idx="223">
                  <c:v>46344</c:v>
                </c:pt>
                <c:pt idx="224">
                  <c:v>46345</c:v>
                </c:pt>
                <c:pt idx="225">
                  <c:v>46346</c:v>
                </c:pt>
                <c:pt idx="226">
                  <c:v>46349</c:v>
                </c:pt>
                <c:pt idx="227">
                  <c:v>46350</c:v>
                </c:pt>
                <c:pt idx="228">
                  <c:v>46351</c:v>
                </c:pt>
                <c:pt idx="229">
                  <c:v>46352</c:v>
                </c:pt>
                <c:pt idx="230">
                  <c:v>46353</c:v>
                </c:pt>
                <c:pt idx="231">
                  <c:v>46356</c:v>
                </c:pt>
                <c:pt idx="232">
                  <c:v>46357</c:v>
                </c:pt>
                <c:pt idx="233">
                  <c:v>46358</c:v>
                </c:pt>
                <c:pt idx="234">
                  <c:v>46359</c:v>
                </c:pt>
                <c:pt idx="235">
                  <c:v>46360</c:v>
                </c:pt>
                <c:pt idx="236">
                  <c:v>46363</c:v>
                </c:pt>
                <c:pt idx="237">
                  <c:v>46364</c:v>
                </c:pt>
                <c:pt idx="238">
                  <c:v>46365</c:v>
                </c:pt>
                <c:pt idx="239">
                  <c:v>46366</c:v>
                </c:pt>
                <c:pt idx="240">
                  <c:v>46367</c:v>
                </c:pt>
                <c:pt idx="241">
                  <c:v>46370</c:v>
                </c:pt>
                <c:pt idx="242">
                  <c:v>46371</c:v>
                </c:pt>
                <c:pt idx="243">
                  <c:v>46372</c:v>
                </c:pt>
                <c:pt idx="244">
                  <c:v>46373</c:v>
                </c:pt>
                <c:pt idx="245">
                  <c:v>46374</c:v>
                </c:pt>
                <c:pt idx="246">
                  <c:v>46377</c:v>
                </c:pt>
                <c:pt idx="247">
                  <c:v>46378</c:v>
                </c:pt>
                <c:pt idx="248">
                  <c:v>46379</c:v>
                </c:pt>
              </c:numCache>
            </c:numRef>
          </c:xVal>
          <c:yVal>
            <c:numRef>
              <c:f>'Grafische Darstellung'!$C$3:$C$251</c:f>
            </c:numRef>
          </c:yVal>
          <c:smooth val="1"/>
          <c:extLst>
            <c:ext xmlns:c16="http://schemas.microsoft.com/office/drawing/2014/chart" uri="{C3380CC4-5D6E-409C-BE32-E72D297353CC}">
              <c16:uniqueId val="{00000000-BAFE-492F-B5F8-C88B6AEB992E}"/>
            </c:ext>
          </c:extLst>
        </c:ser>
        <c:ser>
          <c:idx val="1"/>
          <c:order val="1"/>
          <c:tx>
            <c:strRef>
              <c:f>'Grafische Darstellung'!$D$2</c:f>
              <c:strCache>
                <c:ptCount val="1"/>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'Grafische Darstellung'!$B$3:$B$251</c:f>
              <c:numCache>
                <c:formatCode>m/d/yyyy</c:formatCode>
                <c:ptCount val="249"/>
                <c:pt idx="0">
                  <c:v>46023</c:v>
                </c:pt>
                <c:pt idx="1">
                  <c:v>46034</c:v>
                </c:pt>
                <c:pt idx="2">
                  <c:v>46035</c:v>
                </c:pt>
                <c:pt idx="3">
                  <c:v>46036</c:v>
                </c:pt>
                <c:pt idx="4">
                  <c:v>46037</c:v>
                </c:pt>
                <c:pt idx="5">
                  <c:v>46038</c:v>
                </c:pt>
                <c:pt idx="6">
                  <c:v>46041</c:v>
                </c:pt>
                <c:pt idx="7">
                  <c:v>46042</c:v>
                </c:pt>
                <c:pt idx="8">
                  <c:v>46043</c:v>
                </c:pt>
                <c:pt idx="9">
                  <c:v>46044</c:v>
                </c:pt>
                <c:pt idx="10">
                  <c:v>46045</c:v>
                </c:pt>
                <c:pt idx="11">
                  <c:v>46048</c:v>
                </c:pt>
                <c:pt idx="12">
                  <c:v>46049</c:v>
                </c:pt>
                <c:pt idx="13">
                  <c:v>46050</c:v>
                </c:pt>
                <c:pt idx="14">
                  <c:v>46051</c:v>
                </c:pt>
                <c:pt idx="15">
                  <c:v>46052</c:v>
                </c:pt>
                <c:pt idx="16">
                  <c:v>46055</c:v>
                </c:pt>
                <c:pt idx="17">
                  <c:v>46056</c:v>
                </c:pt>
                <c:pt idx="18">
                  <c:v>46057</c:v>
                </c:pt>
                <c:pt idx="19">
                  <c:v>46058</c:v>
                </c:pt>
                <c:pt idx="20">
                  <c:v>46059</c:v>
                </c:pt>
                <c:pt idx="21">
                  <c:v>46062</c:v>
                </c:pt>
                <c:pt idx="22">
                  <c:v>46063</c:v>
                </c:pt>
                <c:pt idx="23">
                  <c:v>46064</c:v>
                </c:pt>
                <c:pt idx="24">
                  <c:v>46065</c:v>
                </c:pt>
                <c:pt idx="25">
                  <c:v>46066</c:v>
                </c:pt>
                <c:pt idx="26">
                  <c:v>46069</c:v>
                </c:pt>
                <c:pt idx="27">
                  <c:v>46070</c:v>
                </c:pt>
                <c:pt idx="28">
                  <c:v>46071</c:v>
                </c:pt>
                <c:pt idx="29">
                  <c:v>46072</c:v>
                </c:pt>
                <c:pt idx="30">
                  <c:v>46073</c:v>
                </c:pt>
                <c:pt idx="31">
                  <c:v>46076</c:v>
                </c:pt>
                <c:pt idx="32">
                  <c:v>46077</c:v>
                </c:pt>
                <c:pt idx="33">
                  <c:v>46078</c:v>
                </c:pt>
                <c:pt idx="34">
                  <c:v>46079</c:v>
                </c:pt>
                <c:pt idx="35">
                  <c:v>46080</c:v>
                </c:pt>
                <c:pt idx="36">
                  <c:v>46083</c:v>
                </c:pt>
                <c:pt idx="37">
                  <c:v>46084</c:v>
                </c:pt>
                <c:pt idx="38">
                  <c:v>46085</c:v>
                </c:pt>
                <c:pt idx="39">
                  <c:v>46086</c:v>
                </c:pt>
                <c:pt idx="40">
                  <c:v>46087</c:v>
                </c:pt>
                <c:pt idx="41">
                  <c:v>46090</c:v>
                </c:pt>
                <c:pt idx="42">
                  <c:v>46091</c:v>
                </c:pt>
                <c:pt idx="43">
                  <c:v>46092</c:v>
                </c:pt>
                <c:pt idx="44">
                  <c:v>46093</c:v>
                </c:pt>
                <c:pt idx="45">
                  <c:v>46094</c:v>
                </c:pt>
                <c:pt idx="46">
                  <c:v>46097</c:v>
                </c:pt>
                <c:pt idx="47">
                  <c:v>46098</c:v>
                </c:pt>
                <c:pt idx="48">
                  <c:v>46099</c:v>
                </c:pt>
                <c:pt idx="49">
                  <c:v>46100</c:v>
                </c:pt>
                <c:pt idx="50">
                  <c:v>46101</c:v>
                </c:pt>
                <c:pt idx="51">
                  <c:v>46104</c:v>
                </c:pt>
                <c:pt idx="52">
                  <c:v>46105</c:v>
                </c:pt>
                <c:pt idx="53">
                  <c:v>46106</c:v>
                </c:pt>
                <c:pt idx="54">
                  <c:v>46107</c:v>
                </c:pt>
                <c:pt idx="55">
                  <c:v>46108</c:v>
                </c:pt>
                <c:pt idx="56">
                  <c:v>46111</c:v>
                </c:pt>
                <c:pt idx="57">
                  <c:v>46112</c:v>
                </c:pt>
                <c:pt idx="58">
                  <c:v>46113</c:v>
                </c:pt>
                <c:pt idx="59">
                  <c:v>46114</c:v>
                </c:pt>
                <c:pt idx="60">
                  <c:v>46115</c:v>
                </c:pt>
                <c:pt idx="61">
                  <c:v>46118</c:v>
                </c:pt>
                <c:pt idx="62">
                  <c:v>46119</c:v>
                </c:pt>
                <c:pt idx="63">
                  <c:v>46120</c:v>
                </c:pt>
                <c:pt idx="64">
                  <c:v>46121</c:v>
                </c:pt>
                <c:pt idx="65">
                  <c:v>46122</c:v>
                </c:pt>
                <c:pt idx="66">
                  <c:v>46125</c:v>
                </c:pt>
                <c:pt idx="67">
                  <c:v>46126</c:v>
                </c:pt>
                <c:pt idx="68">
                  <c:v>46127</c:v>
                </c:pt>
                <c:pt idx="69">
                  <c:v>46128</c:v>
                </c:pt>
                <c:pt idx="70">
                  <c:v>46129</c:v>
                </c:pt>
                <c:pt idx="71">
                  <c:v>46132</c:v>
                </c:pt>
                <c:pt idx="72">
                  <c:v>46133</c:v>
                </c:pt>
                <c:pt idx="73">
                  <c:v>46134</c:v>
                </c:pt>
                <c:pt idx="74">
                  <c:v>46135</c:v>
                </c:pt>
                <c:pt idx="75">
                  <c:v>46136</c:v>
                </c:pt>
                <c:pt idx="76">
                  <c:v>46139</c:v>
                </c:pt>
                <c:pt idx="77">
                  <c:v>46140</c:v>
                </c:pt>
                <c:pt idx="78">
                  <c:v>46141</c:v>
                </c:pt>
                <c:pt idx="79">
                  <c:v>46142</c:v>
                </c:pt>
                <c:pt idx="80">
                  <c:v>46143</c:v>
                </c:pt>
                <c:pt idx="81">
                  <c:v>46146</c:v>
                </c:pt>
                <c:pt idx="82">
                  <c:v>46147</c:v>
                </c:pt>
                <c:pt idx="83">
                  <c:v>46148</c:v>
                </c:pt>
                <c:pt idx="84">
                  <c:v>46149</c:v>
                </c:pt>
                <c:pt idx="85">
                  <c:v>46150</c:v>
                </c:pt>
                <c:pt idx="86">
                  <c:v>46153</c:v>
                </c:pt>
                <c:pt idx="87">
                  <c:v>46154</c:v>
                </c:pt>
                <c:pt idx="88">
                  <c:v>46155</c:v>
                </c:pt>
                <c:pt idx="89">
                  <c:v>46156</c:v>
                </c:pt>
                <c:pt idx="90">
                  <c:v>46157</c:v>
                </c:pt>
                <c:pt idx="91">
                  <c:v>46160</c:v>
                </c:pt>
                <c:pt idx="92">
                  <c:v>46161</c:v>
                </c:pt>
                <c:pt idx="93">
                  <c:v>46162</c:v>
                </c:pt>
                <c:pt idx="94">
                  <c:v>46163</c:v>
                </c:pt>
                <c:pt idx="95">
                  <c:v>46164</c:v>
                </c:pt>
                <c:pt idx="96">
                  <c:v>46167</c:v>
                </c:pt>
                <c:pt idx="97">
                  <c:v>46168</c:v>
                </c:pt>
                <c:pt idx="98">
                  <c:v>46169</c:v>
                </c:pt>
                <c:pt idx="99">
                  <c:v>46170</c:v>
                </c:pt>
                <c:pt idx="100">
                  <c:v>46171</c:v>
                </c:pt>
                <c:pt idx="101">
                  <c:v>46174</c:v>
                </c:pt>
                <c:pt idx="102">
                  <c:v>46175</c:v>
                </c:pt>
                <c:pt idx="103">
                  <c:v>46176</c:v>
                </c:pt>
                <c:pt idx="104">
                  <c:v>46177</c:v>
                </c:pt>
                <c:pt idx="105">
                  <c:v>46178</c:v>
                </c:pt>
                <c:pt idx="106">
                  <c:v>46181</c:v>
                </c:pt>
                <c:pt idx="107">
                  <c:v>46182</c:v>
                </c:pt>
                <c:pt idx="108">
                  <c:v>46183</c:v>
                </c:pt>
                <c:pt idx="109">
                  <c:v>46184</c:v>
                </c:pt>
                <c:pt idx="110">
                  <c:v>46185</c:v>
                </c:pt>
                <c:pt idx="111">
                  <c:v>46188</c:v>
                </c:pt>
                <c:pt idx="112">
                  <c:v>46189</c:v>
                </c:pt>
                <c:pt idx="113">
                  <c:v>46190</c:v>
                </c:pt>
                <c:pt idx="114">
                  <c:v>46191</c:v>
                </c:pt>
                <c:pt idx="115">
                  <c:v>46192</c:v>
                </c:pt>
                <c:pt idx="116">
                  <c:v>46195</c:v>
                </c:pt>
                <c:pt idx="117">
                  <c:v>46196</c:v>
                </c:pt>
                <c:pt idx="118">
                  <c:v>46197</c:v>
                </c:pt>
                <c:pt idx="119">
                  <c:v>46198</c:v>
                </c:pt>
                <c:pt idx="120">
                  <c:v>46199</c:v>
                </c:pt>
                <c:pt idx="121">
                  <c:v>46202</c:v>
                </c:pt>
                <c:pt idx="122">
                  <c:v>46203</c:v>
                </c:pt>
                <c:pt idx="123">
                  <c:v>46204</c:v>
                </c:pt>
                <c:pt idx="124">
                  <c:v>46205</c:v>
                </c:pt>
                <c:pt idx="125">
                  <c:v>46206</c:v>
                </c:pt>
                <c:pt idx="126">
                  <c:v>46209</c:v>
                </c:pt>
                <c:pt idx="127">
                  <c:v>46210</c:v>
                </c:pt>
                <c:pt idx="128">
                  <c:v>46211</c:v>
                </c:pt>
                <c:pt idx="129">
                  <c:v>46212</c:v>
                </c:pt>
                <c:pt idx="130">
                  <c:v>46213</c:v>
                </c:pt>
                <c:pt idx="131">
                  <c:v>46216</c:v>
                </c:pt>
                <c:pt idx="132">
                  <c:v>46217</c:v>
                </c:pt>
                <c:pt idx="133">
                  <c:v>46218</c:v>
                </c:pt>
                <c:pt idx="134">
                  <c:v>46219</c:v>
                </c:pt>
                <c:pt idx="135">
                  <c:v>46220</c:v>
                </c:pt>
                <c:pt idx="136">
                  <c:v>46223</c:v>
                </c:pt>
                <c:pt idx="137">
                  <c:v>46224</c:v>
                </c:pt>
                <c:pt idx="138">
                  <c:v>46225</c:v>
                </c:pt>
                <c:pt idx="139">
                  <c:v>46226</c:v>
                </c:pt>
                <c:pt idx="140">
                  <c:v>46227</c:v>
                </c:pt>
                <c:pt idx="141">
                  <c:v>46230</c:v>
                </c:pt>
                <c:pt idx="142">
                  <c:v>46231</c:v>
                </c:pt>
                <c:pt idx="143">
                  <c:v>46232</c:v>
                </c:pt>
                <c:pt idx="144">
                  <c:v>46233</c:v>
                </c:pt>
                <c:pt idx="145">
                  <c:v>46234</c:v>
                </c:pt>
                <c:pt idx="146">
                  <c:v>46237</c:v>
                </c:pt>
                <c:pt idx="147">
                  <c:v>46238</c:v>
                </c:pt>
                <c:pt idx="148">
                  <c:v>46239</c:v>
                </c:pt>
                <c:pt idx="149">
                  <c:v>46240</c:v>
                </c:pt>
                <c:pt idx="150">
                  <c:v>46241</c:v>
                </c:pt>
                <c:pt idx="151">
                  <c:v>46244</c:v>
                </c:pt>
                <c:pt idx="152">
                  <c:v>46245</c:v>
                </c:pt>
                <c:pt idx="153">
                  <c:v>46246</c:v>
                </c:pt>
                <c:pt idx="154">
                  <c:v>46247</c:v>
                </c:pt>
                <c:pt idx="155">
                  <c:v>46248</c:v>
                </c:pt>
                <c:pt idx="156">
                  <c:v>46251</c:v>
                </c:pt>
                <c:pt idx="157">
                  <c:v>46252</c:v>
                </c:pt>
                <c:pt idx="158">
                  <c:v>46253</c:v>
                </c:pt>
                <c:pt idx="159">
                  <c:v>46254</c:v>
                </c:pt>
                <c:pt idx="160">
                  <c:v>46255</c:v>
                </c:pt>
                <c:pt idx="161">
                  <c:v>46258</c:v>
                </c:pt>
                <c:pt idx="162">
                  <c:v>46259</c:v>
                </c:pt>
                <c:pt idx="163">
                  <c:v>46260</c:v>
                </c:pt>
                <c:pt idx="164">
                  <c:v>46261</c:v>
                </c:pt>
                <c:pt idx="165">
                  <c:v>46262</c:v>
                </c:pt>
                <c:pt idx="166">
                  <c:v>46265</c:v>
                </c:pt>
                <c:pt idx="167">
                  <c:v>46266</c:v>
                </c:pt>
                <c:pt idx="168">
                  <c:v>46267</c:v>
                </c:pt>
                <c:pt idx="169">
                  <c:v>46268</c:v>
                </c:pt>
                <c:pt idx="170">
                  <c:v>46269</c:v>
                </c:pt>
                <c:pt idx="171">
                  <c:v>46272</c:v>
                </c:pt>
                <c:pt idx="172">
                  <c:v>46273</c:v>
                </c:pt>
                <c:pt idx="173">
                  <c:v>46274</c:v>
                </c:pt>
                <c:pt idx="174">
                  <c:v>46275</c:v>
                </c:pt>
                <c:pt idx="175">
                  <c:v>46276</c:v>
                </c:pt>
                <c:pt idx="176">
                  <c:v>46279</c:v>
                </c:pt>
                <c:pt idx="177">
                  <c:v>46280</c:v>
                </c:pt>
                <c:pt idx="178">
                  <c:v>46281</c:v>
                </c:pt>
                <c:pt idx="179">
                  <c:v>46282</c:v>
                </c:pt>
                <c:pt idx="180">
                  <c:v>46283</c:v>
                </c:pt>
                <c:pt idx="181">
                  <c:v>46286</c:v>
                </c:pt>
                <c:pt idx="182">
                  <c:v>46287</c:v>
                </c:pt>
                <c:pt idx="183">
                  <c:v>46288</c:v>
                </c:pt>
                <c:pt idx="184">
                  <c:v>46289</c:v>
                </c:pt>
                <c:pt idx="185">
                  <c:v>46290</c:v>
                </c:pt>
                <c:pt idx="186">
                  <c:v>46293</c:v>
                </c:pt>
                <c:pt idx="187">
                  <c:v>46294</c:v>
                </c:pt>
                <c:pt idx="188">
                  <c:v>46295</c:v>
                </c:pt>
                <c:pt idx="189">
                  <c:v>46296</c:v>
                </c:pt>
                <c:pt idx="190">
                  <c:v>46297</c:v>
                </c:pt>
                <c:pt idx="191">
                  <c:v>46300</c:v>
                </c:pt>
                <c:pt idx="192">
                  <c:v>46301</c:v>
                </c:pt>
                <c:pt idx="193">
                  <c:v>46302</c:v>
                </c:pt>
                <c:pt idx="194">
                  <c:v>46303</c:v>
                </c:pt>
                <c:pt idx="195">
                  <c:v>46304</c:v>
                </c:pt>
                <c:pt idx="196">
                  <c:v>46307</c:v>
                </c:pt>
                <c:pt idx="197">
                  <c:v>46308</c:v>
                </c:pt>
                <c:pt idx="198">
                  <c:v>46309</c:v>
                </c:pt>
                <c:pt idx="199">
                  <c:v>46310</c:v>
                </c:pt>
                <c:pt idx="200">
                  <c:v>46311</c:v>
                </c:pt>
                <c:pt idx="201">
                  <c:v>46314</c:v>
                </c:pt>
                <c:pt idx="202">
                  <c:v>46315</c:v>
                </c:pt>
                <c:pt idx="203">
                  <c:v>46316</c:v>
                </c:pt>
                <c:pt idx="204">
                  <c:v>46317</c:v>
                </c:pt>
                <c:pt idx="205">
                  <c:v>46318</c:v>
                </c:pt>
                <c:pt idx="206">
                  <c:v>46321</c:v>
                </c:pt>
                <c:pt idx="207">
                  <c:v>46322</c:v>
                </c:pt>
                <c:pt idx="208">
                  <c:v>46323</c:v>
                </c:pt>
                <c:pt idx="209">
                  <c:v>46324</c:v>
                </c:pt>
                <c:pt idx="210">
                  <c:v>46325</c:v>
                </c:pt>
                <c:pt idx="211">
                  <c:v>46328</c:v>
                </c:pt>
                <c:pt idx="212">
                  <c:v>46329</c:v>
                </c:pt>
                <c:pt idx="213">
                  <c:v>46330</c:v>
                </c:pt>
                <c:pt idx="214">
                  <c:v>46331</c:v>
                </c:pt>
                <c:pt idx="215">
                  <c:v>46332</c:v>
                </c:pt>
                <c:pt idx="216">
                  <c:v>46335</c:v>
                </c:pt>
                <c:pt idx="217">
                  <c:v>46336</c:v>
                </c:pt>
                <c:pt idx="218">
                  <c:v>46337</c:v>
                </c:pt>
                <c:pt idx="219">
                  <c:v>46338</c:v>
                </c:pt>
                <c:pt idx="220">
                  <c:v>46339</c:v>
                </c:pt>
                <c:pt idx="221">
                  <c:v>46342</c:v>
                </c:pt>
                <c:pt idx="222">
                  <c:v>46343</c:v>
                </c:pt>
                <c:pt idx="223">
                  <c:v>46344</c:v>
                </c:pt>
                <c:pt idx="224">
                  <c:v>46345</c:v>
                </c:pt>
                <c:pt idx="225">
                  <c:v>46346</c:v>
                </c:pt>
                <c:pt idx="226">
                  <c:v>46349</c:v>
                </c:pt>
                <c:pt idx="227">
                  <c:v>46350</c:v>
                </c:pt>
                <c:pt idx="228">
                  <c:v>46351</c:v>
                </c:pt>
                <c:pt idx="229">
                  <c:v>46352</c:v>
                </c:pt>
                <c:pt idx="230">
                  <c:v>46353</c:v>
                </c:pt>
                <c:pt idx="231">
                  <c:v>46356</c:v>
                </c:pt>
                <c:pt idx="232">
                  <c:v>46357</c:v>
                </c:pt>
                <c:pt idx="233">
                  <c:v>46358</c:v>
                </c:pt>
                <c:pt idx="234">
                  <c:v>46359</c:v>
                </c:pt>
                <c:pt idx="235">
                  <c:v>46360</c:v>
                </c:pt>
                <c:pt idx="236">
                  <c:v>46363</c:v>
                </c:pt>
                <c:pt idx="237">
                  <c:v>46364</c:v>
                </c:pt>
                <c:pt idx="238">
                  <c:v>46365</c:v>
                </c:pt>
                <c:pt idx="239">
                  <c:v>46366</c:v>
                </c:pt>
                <c:pt idx="240">
                  <c:v>46367</c:v>
                </c:pt>
                <c:pt idx="241">
                  <c:v>46370</c:v>
                </c:pt>
                <c:pt idx="242">
                  <c:v>46371</c:v>
                </c:pt>
                <c:pt idx="243">
                  <c:v>46372</c:v>
                </c:pt>
                <c:pt idx="244">
                  <c:v>46373</c:v>
                </c:pt>
                <c:pt idx="245">
                  <c:v>46374</c:v>
                </c:pt>
                <c:pt idx="246">
                  <c:v>46377</c:v>
                </c:pt>
                <c:pt idx="247">
                  <c:v>46378</c:v>
                </c:pt>
                <c:pt idx="248">
                  <c:v>46379</c:v>
                </c:pt>
              </c:numCache>
            </c:numRef>
          </c:xVal>
          <c:yVal>
            <c:numRef>
              <c:f>'Grafische Darstellung'!$D$3:$D$251</c:f>
            </c:numRef>
          </c:yVal>
          <c:smooth val="1"/>
          <c:extLst>
            <c:ext xmlns:c16="http://schemas.microsoft.com/office/drawing/2014/chart" uri="{C3380CC4-5D6E-409C-BE32-E72D297353CC}">
              <c16:uniqueId val="{00000001-BAFE-492F-B5F8-C88B6AEB992E}"/>
            </c:ext>
          </c:extLst>
        </c:ser>
        <c:ser>
          <c:idx val="2"/>
          <c:order val="2"/>
          <c:tx>
            <c:strRef>
              <c:f>'Grafische Darstellung'!$E$2</c:f>
              <c:strCache>
                <c:ptCount val="1"/>
                <c:pt idx="0">
                  <c:v>Andreas</c:v>
                </c:pt>
              </c:strCache>
            </c:strRef>
          </c:tx>
          <c:spPr>
            <a:ln w="19050" cap="rnd">
              <a:solidFill>
                <a:srgbClr val="00B0F0"/>
              </a:solidFill>
              <a:round/>
            </a:ln>
            <a:effectLst/>
          </c:spPr>
          <c:marker>
            <c:symbol val="circle"/>
            <c:size val="5"/>
            <c:spPr>
              <a:solidFill>
                <a:srgbClr val="00B0F0"/>
              </a:solidFill>
              <a:ln w="9525">
                <a:solidFill>
                  <a:srgbClr val="00B0F0"/>
                </a:solidFill>
              </a:ln>
              <a:effectLst/>
            </c:spPr>
          </c:marker>
          <c:xVal>
            <c:numRef>
              <c:f>'Grafische Darstellung'!$B$3:$B$251</c:f>
              <c:numCache>
                <c:formatCode>m/d/yyyy</c:formatCode>
                <c:ptCount val="249"/>
                <c:pt idx="0">
                  <c:v>46023</c:v>
                </c:pt>
                <c:pt idx="1">
                  <c:v>46034</c:v>
                </c:pt>
                <c:pt idx="2">
                  <c:v>46035</c:v>
                </c:pt>
                <c:pt idx="3">
                  <c:v>46036</c:v>
                </c:pt>
                <c:pt idx="4">
                  <c:v>46037</c:v>
                </c:pt>
                <c:pt idx="5">
                  <c:v>46038</c:v>
                </c:pt>
                <c:pt idx="6">
                  <c:v>46041</c:v>
                </c:pt>
                <c:pt idx="7">
                  <c:v>46042</c:v>
                </c:pt>
                <c:pt idx="8">
                  <c:v>46043</c:v>
                </c:pt>
                <c:pt idx="9">
                  <c:v>46044</c:v>
                </c:pt>
                <c:pt idx="10">
                  <c:v>46045</c:v>
                </c:pt>
                <c:pt idx="11">
                  <c:v>46048</c:v>
                </c:pt>
                <c:pt idx="12">
                  <c:v>46049</c:v>
                </c:pt>
                <c:pt idx="13">
                  <c:v>46050</c:v>
                </c:pt>
                <c:pt idx="14">
                  <c:v>46051</c:v>
                </c:pt>
                <c:pt idx="15">
                  <c:v>46052</c:v>
                </c:pt>
                <c:pt idx="16">
                  <c:v>46055</c:v>
                </c:pt>
                <c:pt idx="17">
                  <c:v>46056</c:v>
                </c:pt>
                <c:pt idx="18">
                  <c:v>46057</c:v>
                </c:pt>
                <c:pt idx="19">
                  <c:v>46058</c:v>
                </c:pt>
                <c:pt idx="20">
                  <c:v>46059</c:v>
                </c:pt>
                <c:pt idx="21">
                  <c:v>46062</c:v>
                </c:pt>
                <c:pt idx="22">
                  <c:v>46063</c:v>
                </c:pt>
                <c:pt idx="23">
                  <c:v>46064</c:v>
                </c:pt>
                <c:pt idx="24">
                  <c:v>46065</c:v>
                </c:pt>
                <c:pt idx="25">
                  <c:v>46066</c:v>
                </c:pt>
                <c:pt idx="26">
                  <c:v>46069</c:v>
                </c:pt>
                <c:pt idx="27">
                  <c:v>46070</c:v>
                </c:pt>
                <c:pt idx="28">
                  <c:v>46071</c:v>
                </c:pt>
                <c:pt idx="29">
                  <c:v>46072</c:v>
                </c:pt>
                <c:pt idx="30">
                  <c:v>46073</c:v>
                </c:pt>
                <c:pt idx="31">
                  <c:v>46076</c:v>
                </c:pt>
                <c:pt idx="32">
                  <c:v>46077</c:v>
                </c:pt>
                <c:pt idx="33">
                  <c:v>46078</c:v>
                </c:pt>
                <c:pt idx="34">
                  <c:v>46079</c:v>
                </c:pt>
                <c:pt idx="35">
                  <c:v>46080</c:v>
                </c:pt>
                <c:pt idx="36">
                  <c:v>46083</c:v>
                </c:pt>
                <c:pt idx="37">
                  <c:v>46084</c:v>
                </c:pt>
                <c:pt idx="38">
                  <c:v>46085</c:v>
                </c:pt>
                <c:pt idx="39">
                  <c:v>46086</c:v>
                </c:pt>
                <c:pt idx="40">
                  <c:v>46087</c:v>
                </c:pt>
                <c:pt idx="41">
                  <c:v>46090</c:v>
                </c:pt>
                <c:pt idx="42">
                  <c:v>46091</c:v>
                </c:pt>
                <c:pt idx="43">
                  <c:v>46092</c:v>
                </c:pt>
                <c:pt idx="44">
                  <c:v>46093</c:v>
                </c:pt>
                <c:pt idx="45">
                  <c:v>46094</c:v>
                </c:pt>
                <c:pt idx="46">
                  <c:v>46097</c:v>
                </c:pt>
                <c:pt idx="47">
                  <c:v>46098</c:v>
                </c:pt>
                <c:pt idx="48">
                  <c:v>46099</c:v>
                </c:pt>
                <c:pt idx="49">
                  <c:v>46100</c:v>
                </c:pt>
                <c:pt idx="50">
                  <c:v>46101</c:v>
                </c:pt>
                <c:pt idx="51">
                  <c:v>46104</c:v>
                </c:pt>
                <c:pt idx="52">
                  <c:v>46105</c:v>
                </c:pt>
                <c:pt idx="53">
                  <c:v>46106</c:v>
                </c:pt>
                <c:pt idx="54">
                  <c:v>46107</c:v>
                </c:pt>
                <c:pt idx="55">
                  <c:v>46108</c:v>
                </c:pt>
                <c:pt idx="56">
                  <c:v>46111</c:v>
                </c:pt>
                <c:pt idx="57">
                  <c:v>46112</c:v>
                </c:pt>
                <c:pt idx="58">
                  <c:v>46113</c:v>
                </c:pt>
                <c:pt idx="59">
                  <c:v>46114</c:v>
                </c:pt>
                <c:pt idx="60">
                  <c:v>46115</c:v>
                </c:pt>
                <c:pt idx="61">
                  <c:v>46118</c:v>
                </c:pt>
                <c:pt idx="62">
                  <c:v>46119</c:v>
                </c:pt>
                <c:pt idx="63">
                  <c:v>46120</c:v>
                </c:pt>
                <c:pt idx="64">
                  <c:v>46121</c:v>
                </c:pt>
                <c:pt idx="65">
                  <c:v>46122</c:v>
                </c:pt>
                <c:pt idx="66">
                  <c:v>46125</c:v>
                </c:pt>
                <c:pt idx="67">
                  <c:v>46126</c:v>
                </c:pt>
                <c:pt idx="68">
                  <c:v>46127</c:v>
                </c:pt>
                <c:pt idx="69">
                  <c:v>46128</c:v>
                </c:pt>
                <c:pt idx="70">
                  <c:v>46129</c:v>
                </c:pt>
                <c:pt idx="71">
                  <c:v>46132</c:v>
                </c:pt>
                <c:pt idx="72">
                  <c:v>46133</c:v>
                </c:pt>
                <c:pt idx="73">
                  <c:v>46134</c:v>
                </c:pt>
                <c:pt idx="74">
                  <c:v>46135</c:v>
                </c:pt>
                <c:pt idx="75">
                  <c:v>46136</c:v>
                </c:pt>
                <c:pt idx="76">
                  <c:v>46139</c:v>
                </c:pt>
                <c:pt idx="77">
                  <c:v>46140</c:v>
                </c:pt>
                <c:pt idx="78">
                  <c:v>46141</c:v>
                </c:pt>
                <c:pt idx="79">
                  <c:v>46142</c:v>
                </c:pt>
                <c:pt idx="80">
                  <c:v>46143</c:v>
                </c:pt>
                <c:pt idx="81">
                  <c:v>46146</c:v>
                </c:pt>
                <c:pt idx="82">
                  <c:v>46147</c:v>
                </c:pt>
                <c:pt idx="83">
                  <c:v>46148</c:v>
                </c:pt>
                <c:pt idx="84">
                  <c:v>46149</c:v>
                </c:pt>
                <c:pt idx="85">
                  <c:v>46150</c:v>
                </c:pt>
                <c:pt idx="86">
                  <c:v>46153</c:v>
                </c:pt>
                <c:pt idx="87">
                  <c:v>46154</c:v>
                </c:pt>
                <c:pt idx="88">
                  <c:v>46155</c:v>
                </c:pt>
                <c:pt idx="89">
                  <c:v>46156</c:v>
                </c:pt>
                <c:pt idx="90">
                  <c:v>46157</c:v>
                </c:pt>
                <c:pt idx="91">
                  <c:v>46160</c:v>
                </c:pt>
                <c:pt idx="92">
                  <c:v>46161</c:v>
                </c:pt>
                <c:pt idx="93">
                  <c:v>46162</c:v>
                </c:pt>
                <c:pt idx="94">
                  <c:v>46163</c:v>
                </c:pt>
                <c:pt idx="95">
                  <c:v>46164</c:v>
                </c:pt>
                <c:pt idx="96">
                  <c:v>46167</c:v>
                </c:pt>
                <c:pt idx="97">
                  <c:v>46168</c:v>
                </c:pt>
                <c:pt idx="98">
                  <c:v>46169</c:v>
                </c:pt>
                <c:pt idx="99">
                  <c:v>46170</c:v>
                </c:pt>
                <c:pt idx="100">
                  <c:v>46171</c:v>
                </c:pt>
                <c:pt idx="101">
                  <c:v>46174</c:v>
                </c:pt>
                <c:pt idx="102">
                  <c:v>46175</c:v>
                </c:pt>
                <c:pt idx="103">
                  <c:v>46176</c:v>
                </c:pt>
                <c:pt idx="104">
                  <c:v>46177</c:v>
                </c:pt>
                <c:pt idx="105">
                  <c:v>46178</c:v>
                </c:pt>
                <c:pt idx="106">
                  <c:v>46181</c:v>
                </c:pt>
                <c:pt idx="107">
                  <c:v>46182</c:v>
                </c:pt>
                <c:pt idx="108">
                  <c:v>46183</c:v>
                </c:pt>
                <c:pt idx="109">
                  <c:v>46184</c:v>
                </c:pt>
                <c:pt idx="110">
                  <c:v>46185</c:v>
                </c:pt>
                <c:pt idx="111">
                  <c:v>46188</c:v>
                </c:pt>
                <c:pt idx="112">
                  <c:v>46189</c:v>
                </c:pt>
                <c:pt idx="113">
                  <c:v>46190</c:v>
                </c:pt>
                <c:pt idx="114">
                  <c:v>46191</c:v>
                </c:pt>
                <c:pt idx="115">
                  <c:v>46192</c:v>
                </c:pt>
                <c:pt idx="116">
                  <c:v>46195</c:v>
                </c:pt>
                <c:pt idx="117">
                  <c:v>46196</c:v>
                </c:pt>
                <c:pt idx="118">
                  <c:v>46197</c:v>
                </c:pt>
                <c:pt idx="119">
                  <c:v>46198</c:v>
                </c:pt>
                <c:pt idx="120">
                  <c:v>46199</c:v>
                </c:pt>
                <c:pt idx="121">
                  <c:v>46202</c:v>
                </c:pt>
                <c:pt idx="122">
                  <c:v>46203</c:v>
                </c:pt>
                <c:pt idx="123">
                  <c:v>46204</c:v>
                </c:pt>
                <c:pt idx="124">
                  <c:v>46205</c:v>
                </c:pt>
                <c:pt idx="125">
                  <c:v>46206</c:v>
                </c:pt>
                <c:pt idx="126">
                  <c:v>46209</c:v>
                </c:pt>
                <c:pt idx="127">
                  <c:v>46210</c:v>
                </c:pt>
                <c:pt idx="128">
                  <c:v>46211</c:v>
                </c:pt>
                <c:pt idx="129">
                  <c:v>46212</c:v>
                </c:pt>
                <c:pt idx="130">
                  <c:v>46213</c:v>
                </c:pt>
                <c:pt idx="131">
                  <c:v>46216</c:v>
                </c:pt>
                <c:pt idx="132">
                  <c:v>46217</c:v>
                </c:pt>
                <c:pt idx="133">
                  <c:v>46218</c:v>
                </c:pt>
                <c:pt idx="134">
                  <c:v>46219</c:v>
                </c:pt>
                <c:pt idx="135">
                  <c:v>46220</c:v>
                </c:pt>
                <c:pt idx="136">
                  <c:v>46223</c:v>
                </c:pt>
                <c:pt idx="137">
                  <c:v>46224</c:v>
                </c:pt>
                <c:pt idx="138">
                  <c:v>46225</c:v>
                </c:pt>
                <c:pt idx="139">
                  <c:v>46226</c:v>
                </c:pt>
                <c:pt idx="140">
                  <c:v>46227</c:v>
                </c:pt>
                <c:pt idx="141">
                  <c:v>46230</c:v>
                </c:pt>
                <c:pt idx="142">
                  <c:v>46231</c:v>
                </c:pt>
                <c:pt idx="143">
                  <c:v>46232</c:v>
                </c:pt>
                <c:pt idx="144">
                  <c:v>46233</c:v>
                </c:pt>
                <c:pt idx="145">
                  <c:v>46234</c:v>
                </c:pt>
                <c:pt idx="146">
                  <c:v>46237</c:v>
                </c:pt>
                <c:pt idx="147">
                  <c:v>46238</c:v>
                </c:pt>
                <c:pt idx="148">
                  <c:v>46239</c:v>
                </c:pt>
                <c:pt idx="149">
                  <c:v>46240</c:v>
                </c:pt>
                <c:pt idx="150">
                  <c:v>46241</c:v>
                </c:pt>
                <c:pt idx="151">
                  <c:v>46244</c:v>
                </c:pt>
                <c:pt idx="152">
                  <c:v>46245</c:v>
                </c:pt>
                <c:pt idx="153">
                  <c:v>46246</c:v>
                </c:pt>
                <c:pt idx="154">
                  <c:v>46247</c:v>
                </c:pt>
                <c:pt idx="155">
                  <c:v>46248</c:v>
                </c:pt>
                <c:pt idx="156">
                  <c:v>46251</c:v>
                </c:pt>
                <c:pt idx="157">
                  <c:v>46252</c:v>
                </c:pt>
                <c:pt idx="158">
                  <c:v>46253</c:v>
                </c:pt>
                <c:pt idx="159">
                  <c:v>46254</c:v>
                </c:pt>
                <c:pt idx="160">
                  <c:v>46255</c:v>
                </c:pt>
                <c:pt idx="161">
                  <c:v>46258</c:v>
                </c:pt>
                <c:pt idx="162">
                  <c:v>46259</c:v>
                </c:pt>
                <c:pt idx="163">
                  <c:v>46260</c:v>
                </c:pt>
                <c:pt idx="164">
                  <c:v>46261</c:v>
                </c:pt>
                <c:pt idx="165">
                  <c:v>46262</c:v>
                </c:pt>
                <c:pt idx="166">
                  <c:v>46265</c:v>
                </c:pt>
                <c:pt idx="167">
                  <c:v>46266</c:v>
                </c:pt>
                <c:pt idx="168">
                  <c:v>46267</c:v>
                </c:pt>
                <c:pt idx="169">
                  <c:v>46268</c:v>
                </c:pt>
                <c:pt idx="170">
                  <c:v>46269</c:v>
                </c:pt>
                <c:pt idx="171">
                  <c:v>46272</c:v>
                </c:pt>
                <c:pt idx="172">
                  <c:v>46273</c:v>
                </c:pt>
                <c:pt idx="173">
                  <c:v>46274</c:v>
                </c:pt>
                <c:pt idx="174">
                  <c:v>46275</c:v>
                </c:pt>
                <c:pt idx="175">
                  <c:v>46276</c:v>
                </c:pt>
                <c:pt idx="176">
                  <c:v>46279</c:v>
                </c:pt>
                <c:pt idx="177">
                  <c:v>46280</c:v>
                </c:pt>
                <c:pt idx="178">
                  <c:v>46281</c:v>
                </c:pt>
                <c:pt idx="179">
                  <c:v>46282</c:v>
                </c:pt>
                <c:pt idx="180">
                  <c:v>46283</c:v>
                </c:pt>
                <c:pt idx="181">
                  <c:v>46286</c:v>
                </c:pt>
                <c:pt idx="182">
                  <c:v>46287</c:v>
                </c:pt>
                <c:pt idx="183">
                  <c:v>46288</c:v>
                </c:pt>
                <c:pt idx="184">
                  <c:v>46289</c:v>
                </c:pt>
                <c:pt idx="185">
                  <c:v>46290</c:v>
                </c:pt>
                <c:pt idx="186">
                  <c:v>46293</c:v>
                </c:pt>
                <c:pt idx="187">
                  <c:v>46294</c:v>
                </c:pt>
                <c:pt idx="188">
                  <c:v>46295</c:v>
                </c:pt>
                <c:pt idx="189">
                  <c:v>46296</c:v>
                </c:pt>
                <c:pt idx="190">
                  <c:v>46297</c:v>
                </c:pt>
                <c:pt idx="191">
                  <c:v>46300</c:v>
                </c:pt>
                <c:pt idx="192">
                  <c:v>46301</c:v>
                </c:pt>
                <c:pt idx="193">
                  <c:v>46302</c:v>
                </c:pt>
                <c:pt idx="194">
                  <c:v>46303</c:v>
                </c:pt>
                <c:pt idx="195">
                  <c:v>46304</c:v>
                </c:pt>
                <c:pt idx="196">
                  <c:v>46307</c:v>
                </c:pt>
                <c:pt idx="197">
                  <c:v>46308</c:v>
                </c:pt>
                <c:pt idx="198">
                  <c:v>46309</c:v>
                </c:pt>
                <c:pt idx="199">
                  <c:v>46310</c:v>
                </c:pt>
                <c:pt idx="200">
                  <c:v>46311</c:v>
                </c:pt>
                <c:pt idx="201">
                  <c:v>46314</c:v>
                </c:pt>
                <c:pt idx="202">
                  <c:v>46315</c:v>
                </c:pt>
                <c:pt idx="203">
                  <c:v>46316</c:v>
                </c:pt>
                <c:pt idx="204">
                  <c:v>46317</c:v>
                </c:pt>
                <c:pt idx="205">
                  <c:v>46318</c:v>
                </c:pt>
                <c:pt idx="206">
                  <c:v>46321</c:v>
                </c:pt>
                <c:pt idx="207">
                  <c:v>46322</c:v>
                </c:pt>
                <c:pt idx="208">
                  <c:v>46323</c:v>
                </c:pt>
                <c:pt idx="209">
                  <c:v>46324</c:v>
                </c:pt>
                <c:pt idx="210">
                  <c:v>46325</c:v>
                </c:pt>
                <c:pt idx="211">
                  <c:v>46328</c:v>
                </c:pt>
                <c:pt idx="212">
                  <c:v>46329</c:v>
                </c:pt>
                <c:pt idx="213">
                  <c:v>46330</c:v>
                </c:pt>
                <c:pt idx="214">
                  <c:v>46331</c:v>
                </c:pt>
                <c:pt idx="215">
                  <c:v>46332</c:v>
                </c:pt>
                <c:pt idx="216">
                  <c:v>46335</c:v>
                </c:pt>
                <c:pt idx="217">
                  <c:v>46336</c:v>
                </c:pt>
                <c:pt idx="218">
                  <c:v>46337</c:v>
                </c:pt>
                <c:pt idx="219">
                  <c:v>46338</c:v>
                </c:pt>
                <c:pt idx="220">
                  <c:v>46339</c:v>
                </c:pt>
                <c:pt idx="221">
                  <c:v>46342</c:v>
                </c:pt>
                <c:pt idx="222">
                  <c:v>46343</c:v>
                </c:pt>
                <c:pt idx="223">
                  <c:v>46344</c:v>
                </c:pt>
                <c:pt idx="224">
                  <c:v>46345</c:v>
                </c:pt>
                <c:pt idx="225">
                  <c:v>46346</c:v>
                </c:pt>
                <c:pt idx="226">
                  <c:v>46349</c:v>
                </c:pt>
                <c:pt idx="227">
                  <c:v>46350</c:v>
                </c:pt>
                <c:pt idx="228">
                  <c:v>46351</c:v>
                </c:pt>
                <c:pt idx="229">
                  <c:v>46352</c:v>
                </c:pt>
                <c:pt idx="230">
                  <c:v>46353</c:v>
                </c:pt>
                <c:pt idx="231">
                  <c:v>46356</c:v>
                </c:pt>
                <c:pt idx="232">
                  <c:v>46357</c:v>
                </c:pt>
                <c:pt idx="233">
                  <c:v>46358</c:v>
                </c:pt>
                <c:pt idx="234">
                  <c:v>46359</c:v>
                </c:pt>
                <c:pt idx="235">
                  <c:v>46360</c:v>
                </c:pt>
                <c:pt idx="236">
                  <c:v>46363</c:v>
                </c:pt>
                <c:pt idx="237">
                  <c:v>46364</c:v>
                </c:pt>
                <c:pt idx="238">
                  <c:v>46365</c:v>
                </c:pt>
                <c:pt idx="239">
                  <c:v>46366</c:v>
                </c:pt>
                <c:pt idx="240">
                  <c:v>46367</c:v>
                </c:pt>
                <c:pt idx="241">
                  <c:v>46370</c:v>
                </c:pt>
                <c:pt idx="242">
                  <c:v>46371</c:v>
                </c:pt>
                <c:pt idx="243">
                  <c:v>46372</c:v>
                </c:pt>
                <c:pt idx="244">
                  <c:v>46373</c:v>
                </c:pt>
                <c:pt idx="245">
                  <c:v>46374</c:v>
                </c:pt>
                <c:pt idx="246">
                  <c:v>46377</c:v>
                </c:pt>
                <c:pt idx="247">
                  <c:v>46378</c:v>
                </c:pt>
                <c:pt idx="248">
                  <c:v>46379</c:v>
                </c:pt>
              </c:numCache>
            </c:numRef>
          </c:xVal>
          <c:yVal>
            <c:numRef>
              <c:f>'Grafische Darstellung'!$E$3:$E$251</c:f>
              <c:numCache>
                <c:formatCode>General</c:formatCode>
                <c:ptCount val="249"/>
                <c:pt idx="0">
                  <c:v>0</c:v>
                </c:pt>
                <c:pt idx="1">
                  <c:v>0.5</c:v>
                </c:pt>
                <c:pt idx="2">
                  <c:v>0.5</c:v>
                </c:pt>
                <c:pt idx="3">
                  <c:v>1.5</c:v>
                </c:pt>
                <c:pt idx="4">
                  <c:v>1.5</c:v>
                </c:pt>
                <c:pt idx="5">
                  <c:v>3</c:v>
                </c:pt>
                <c:pt idx="6">
                  <c:v>3.5</c:v>
                </c:pt>
                <c:pt idx="7">
                  <c:v>4.5</c:v>
                </c:pt>
                <c:pt idx="8">
                  <c:v>4.5</c:v>
                </c:pt>
                <c:pt idx="9">
                  <c:v>5.5</c:v>
                </c:pt>
                <c:pt idx="10">
                  <c:v>5.5</c:v>
                </c:pt>
                <c:pt idx="11">
                  <c:v>5.5</c:v>
                </c:pt>
                <c:pt idx="12">
                  <c:v>5.5</c:v>
                </c:pt>
                <c:pt idx="13">
                  <c:v>5.5</c:v>
                </c:pt>
                <c:pt idx="14">
                  <c:v>5.5</c:v>
                </c:pt>
                <c:pt idx="15">
                  <c:v>5.5</c:v>
                </c:pt>
                <c:pt idx="16">
                  <c:v>6</c:v>
                </c:pt>
                <c:pt idx="17">
                  <c:v>6</c:v>
                </c:pt>
                <c:pt idx="18">
                  <c:v>6</c:v>
                </c:pt>
                <c:pt idx="19">
                  <c:v>6</c:v>
                </c:pt>
                <c:pt idx="20">
                  <c:v>6</c:v>
                </c:pt>
                <c:pt idx="21">
                  <c:v>6</c:v>
                </c:pt>
                <c:pt idx="22">
                  <c:v>6</c:v>
                </c:pt>
                <c:pt idx="23">
                  <c:v>6</c:v>
                </c:pt>
                <c:pt idx="24">
                  <c:v>6.5</c:v>
                </c:pt>
                <c:pt idx="25">
                  <c:v>6.5</c:v>
                </c:pt>
                <c:pt idx="26">
                  <c:v>6.5</c:v>
                </c:pt>
                <c:pt idx="27">
                  <c:v>6.5</c:v>
                </c:pt>
                <c:pt idx="28">
                  <c:v>6.5</c:v>
                </c:pt>
                <c:pt idx="29">
                  <c:v>6.5</c:v>
                </c:pt>
                <c:pt idx="30">
                  <c:v>6.5</c:v>
                </c:pt>
                <c:pt idx="31">
                  <c:v>6.5</c:v>
                </c:pt>
                <c:pt idx="32">
                  <c:v>6.5</c:v>
                </c:pt>
                <c:pt idx="33">
                  <c:v>6.5</c:v>
                </c:pt>
                <c:pt idx="34">
                  <c:v>7</c:v>
                </c:pt>
                <c:pt idx="35">
                  <c:v>7</c:v>
                </c:pt>
                <c:pt idx="36">
                  <c:v>7</c:v>
                </c:pt>
                <c:pt idx="37">
                  <c:v>7</c:v>
                </c:pt>
                <c:pt idx="38">
                  <c:v>7</c:v>
                </c:pt>
                <c:pt idx="39">
                  <c:v>8</c:v>
                </c:pt>
                <c:pt idx="40">
                  <c:v>8.5</c:v>
                </c:pt>
                <c:pt idx="41">
                  <c:v>9</c:v>
                </c:pt>
                <c:pt idx="42">
                  <c:v>10</c:v>
                </c:pt>
                <c:pt idx="43">
                  <c:v>10</c:v>
                </c:pt>
                <c:pt idx="44">
                  <c:v>10</c:v>
                </c:pt>
                <c:pt idx="45">
                  <c:v>10</c:v>
                </c:pt>
                <c:pt idx="46">
                  <c:v>10</c:v>
                </c:pt>
                <c:pt idx="47">
                  <c:v>11</c:v>
                </c:pt>
                <c:pt idx="48">
                  <c:v>11</c:v>
                </c:pt>
                <c:pt idx="49">
                  <c:v>11</c:v>
                </c:pt>
                <c:pt idx="50">
                  <c:v>11</c:v>
                </c:pt>
                <c:pt idx="51">
                  <c:v>11.5</c:v>
                </c:pt>
                <c:pt idx="52">
                  <c:v>11.5</c:v>
                </c:pt>
                <c:pt idx="53">
                  <c:v>11.5</c:v>
                </c:pt>
                <c:pt idx="54">
                  <c:v>12.5</c:v>
                </c:pt>
                <c:pt idx="55">
                  <c:v>12.5</c:v>
                </c:pt>
                <c:pt idx="56">
                  <c:v>13.5</c:v>
                </c:pt>
                <c:pt idx="57">
                  <c:v>14.5</c:v>
                </c:pt>
                <c:pt idx="58">
                  <c:v>14.5</c:v>
                </c:pt>
                <c:pt idx="59">
                  <c:v>14.5</c:v>
                </c:pt>
                <c:pt idx="60">
                  <c:v>15</c:v>
                </c:pt>
                <c:pt idx="61">
                  <c:v>15</c:v>
                </c:pt>
                <c:pt idx="62">
                  <c:v>15</c:v>
                </c:pt>
                <c:pt idx="63">
                  <c:v>15.5</c:v>
                </c:pt>
                <c:pt idx="64">
                  <c:v>15.5</c:v>
                </c:pt>
                <c:pt idx="65">
                  <c:v>15.5</c:v>
                </c:pt>
                <c:pt idx="66">
                  <c:v>16.5</c:v>
                </c:pt>
                <c:pt idx="67">
                  <c:v>16.5</c:v>
                </c:pt>
                <c:pt idx="68">
                  <c:v>17.5</c:v>
                </c:pt>
                <c:pt idx="69">
                  <c:v>17.5</c:v>
                </c:pt>
                <c:pt idx="70">
                  <c:v>18</c:v>
                </c:pt>
                <c:pt idx="71">
                  <c:v>18</c:v>
                </c:pt>
                <c:pt idx="72">
                  <c:v>18</c:v>
                </c:pt>
                <c:pt idx="73">
                  <c:v>19</c:v>
                </c:pt>
                <c:pt idx="74">
                  <c:v>19</c:v>
                </c:pt>
                <c:pt idx="75">
                  <c:v>19</c:v>
                </c:pt>
                <c:pt idx="76">
                  <c:v>19.5</c:v>
                </c:pt>
                <c:pt idx="77">
                  <c:v>19.5</c:v>
                </c:pt>
                <c:pt idx="78">
                  <c:v>20.5</c:v>
                </c:pt>
                <c:pt idx="79">
                  <c:v>20.5</c:v>
                </c:pt>
                <c:pt idx="80">
                  <c:v>20.5</c:v>
                </c:pt>
                <c:pt idx="81">
                  <c:v>21</c:v>
                </c:pt>
                <c:pt idx="82">
                  <c:v>21</c:v>
                </c:pt>
                <c:pt idx="83">
                  <c:v>21</c:v>
                </c:pt>
                <c:pt idx="84">
                  <c:v>22</c:v>
                </c:pt>
                <c:pt idx="85">
                  <c:v>22</c:v>
                </c:pt>
                <c:pt idx="86">
                  <c:v>22</c:v>
                </c:pt>
                <c:pt idx="87">
                  <c:v>22</c:v>
                </c:pt>
                <c:pt idx="88">
                  <c:v>22</c:v>
                </c:pt>
                <c:pt idx="89">
                  <c:v>22</c:v>
                </c:pt>
                <c:pt idx="90">
                  <c:v>22</c:v>
                </c:pt>
                <c:pt idx="91">
                  <c:v>22</c:v>
                </c:pt>
                <c:pt idx="92">
                  <c:v>22</c:v>
                </c:pt>
                <c:pt idx="93">
                  <c:v>22</c:v>
                </c:pt>
                <c:pt idx="94">
                  <c:v>22.5</c:v>
                </c:pt>
                <c:pt idx="95">
                  <c:v>22.5</c:v>
                </c:pt>
                <c:pt idx="96">
                  <c:v>22.5</c:v>
                </c:pt>
                <c:pt idx="97">
                  <c:v>22.5</c:v>
                </c:pt>
                <c:pt idx="98">
                  <c:v>23</c:v>
                </c:pt>
                <c:pt idx="99">
                  <c:v>23</c:v>
                </c:pt>
                <c:pt idx="100">
                  <c:v>23</c:v>
                </c:pt>
                <c:pt idx="101">
                  <c:v>23</c:v>
                </c:pt>
                <c:pt idx="102">
                  <c:v>23</c:v>
                </c:pt>
                <c:pt idx="103">
                  <c:v>23</c:v>
                </c:pt>
                <c:pt idx="104">
                  <c:v>23.5</c:v>
                </c:pt>
                <c:pt idx="105">
                  <c:v>25</c:v>
                </c:pt>
                <c:pt idx="106">
                  <c:v>26</c:v>
                </c:pt>
                <c:pt idx="107">
                  <c:v>27</c:v>
                </c:pt>
                <c:pt idx="108">
                  <c:v>27</c:v>
                </c:pt>
                <c:pt idx="109">
                  <c:v>28</c:v>
                </c:pt>
                <c:pt idx="110">
                  <c:v>28.5</c:v>
                </c:pt>
                <c:pt idx="111">
                  <c:v>28.5</c:v>
                </c:pt>
                <c:pt idx="112">
                  <c:v>28.5</c:v>
                </c:pt>
                <c:pt idx="113">
                  <c:v>29.5</c:v>
                </c:pt>
                <c:pt idx="114">
                  <c:v>30</c:v>
                </c:pt>
                <c:pt idx="115">
                  <c:v>30</c:v>
                </c:pt>
                <c:pt idx="116">
                  <c:v>30</c:v>
                </c:pt>
                <c:pt idx="117">
                  <c:v>30</c:v>
                </c:pt>
                <c:pt idx="118">
                  <c:v>30.5</c:v>
                </c:pt>
                <c:pt idx="119">
                  <c:v>30.5</c:v>
                </c:pt>
                <c:pt idx="120">
                  <c:v>31</c:v>
                </c:pt>
                <c:pt idx="121">
                  <c:v>31</c:v>
                </c:pt>
                <c:pt idx="122">
                  <c:v>31</c:v>
                </c:pt>
                <c:pt idx="123">
                  <c:v>31</c:v>
                </c:pt>
                <c:pt idx="124">
                  <c:v>31.5</c:v>
                </c:pt>
                <c:pt idx="125">
                  <c:v>32</c:v>
                </c:pt>
                <c:pt idx="126">
                  <c:v>32</c:v>
                </c:pt>
                <c:pt idx="127">
                  <c:v>32.5</c:v>
                </c:pt>
                <c:pt idx="128">
                  <c:v>32.5</c:v>
                </c:pt>
                <c:pt idx="129">
                  <c:v>32.5</c:v>
                </c:pt>
                <c:pt idx="130">
                  <c:v>32.5</c:v>
                </c:pt>
                <c:pt idx="131">
                  <c:v>32.5</c:v>
                </c:pt>
                <c:pt idx="132">
                  <c:v>32.5</c:v>
                </c:pt>
                <c:pt idx="133">
                  <c:v>32.5</c:v>
                </c:pt>
                <c:pt idx="134">
                  <c:v>33</c:v>
                </c:pt>
                <c:pt idx="135">
                  <c:v>33</c:v>
                </c:pt>
                <c:pt idx="136">
                  <c:v>33.5</c:v>
                </c:pt>
                <c:pt idx="137">
                  <c:v>33.5</c:v>
                </c:pt>
                <c:pt idx="138">
                  <c:v>33.5</c:v>
                </c:pt>
                <c:pt idx="139">
                  <c:v>34.5</c:v>
                </c:pt>
                <c:pt idx="140">
                  <c:v>34.5</c:v>
                </c:pt>
                <c:pt idx="141">
                  <c:v>34.5</c:v>
                </c:pt>
                <c:pt idx="142">
                  <c:v>34.5</c:v>
                </c:pt>
                <c:pt idx="143">
                  <c:v>34.5</c:v>
                </c:pt>
                <c:pt idx="144">
                  <c:v>35.5</c:v>
                </c:pt>
                <c:pt idx="145">
                  <c:v>35.5</c:v>
                </c:pt>
                <c:pt idx="146">
                  <c:v>36</c:v>
                </c:pt>
                <c:pt idx="147">
                  <c:v>36</c:v>
                </c:pt>
                <c:pt idx="148">
                  <c:v>36</c:v>
                </c:pt>
                <c:pt idx="149">
                  <c:v>36</c:v>
                </c:pt>
                <c:pt idx="150">
                  <c:v>36</c:v>
                </c:pt>
                <c:pt idx="151">
                  <c:v>36</c:v>
                </c:pt>
                <c:pt idx="152">
                  <c:v>36</c:v>
                </c:pt>
                <c:pt idx="153">
                  <c:v>36</c:v>
                </c:pt>
                <c:pt idx="154">
                  <c:v>36</c:v>
                </c:pt>
                <c:pt idx="155">
                  <c:v>36</c:v>
                </c:pt>
                <c:pt idx="156">
                  <c:v>36</c:v>
                </c:pt>
                <c:pt idx="157">
                  <c:v>36</c:v>
                </c:pt>
                <c:pt idx="158">
                  <c:v>36</c:v>
                </c:pt>
                <c:pt idx="159">
                  <c:v>36</c:v>
                </c:pt>
                <c:pt idx="160">
                  <c:v>36</c:v>
                </c:pt>
                <c:pt idx="161">
                  <c:v>36.5</c:v>
                </c:pt>
                <c:pt idx="162">
                  <c:v>36.5</c:v>
                </c:pt>
                <c:pt idx="163">
                  <c:v>36.5</c:v>
                </c:pt>
                <c:pt idx="164">
                  <c:v>36.5</c:v>
                </c:pt>
                <c:pt idx="165">
                  <c:v>37.5</c:v>
                </c:pt>
                <c:pt idx="166">
                  <c:v>38</c:v>
                </c:pt>
                <c:pt idx="167">
                  <c:v>38</c:v>
                </c:pt>
                <c:pt idx="168">
                  <c:v>38.5</c:v>
                </c:pt>
                <c:pt idx="169">
                  <c:v>38.5</c:v>
                </c:pt>
                <c:pt idx="170">
                  <c:v>38.5</c:v>
                </c:pt>
                <c:pt idx="171">
                  <c:v>38.5</c:v>
                </c:pt>
                <c:pt idx="172">
                  <c:v>39</c:v>
                </c:pt>
                <c:pt idx="173">
                  <c:v>40</c:v>
                </c:pt>
                <c:pt idx="174">
                  <c:v>40</c:v>
                </c:pt>
                <c:pt idx="175">
                  <c:v>40</c:v>
                </c:pt>
                <c:pt idx="176">
                  <c:v>40</c:v>
                </c:pt>
                <c:pt idx="177">
                  <c:v>40</c:v>
                </c:pt>
                <c:pt idx="178">
                  <c:v>40</c:v>
                </c:pt>
                <c:pt idx="179">
                  <c:v>40</c:v>
                </c:pt>
                <c:pt idx="180">
                  <c:v>40</c:v>
                </c:pt>
                <c:pt idx="181">
                  <c:v>40</c:v>
                </c:pt>
                <c:pt idx="182">
                  <c:v>40</c:v>
                </c:pt>
                <c:pt idx="183">
                  <c:v>40.5</c:v>
                </c:pt>
                <c:pt idx="184">
                  <c:v>40.5</c:v>
                </c:pt>
                <c:pt idx="185">
                  <c:v>40.5</c:v>
                </c:pt>
                <c:pt idx="186">
                  <c:v>40.5</c:v>
                </c:pt>
                <c:pt idx="187">
                  <c:v>40.5</c:v>
                </c:pt>
                <c:pt idx="188">
                  <c:v>40.5</c:v>
                </c:pt>
                <c:pt idx="189">
                  <c:v>42</c:v>
                </c:pt>
                <c:pt idx="190">
                  <c:v>42</c:v>
                </c:pt>
                <c:pt idx="191">
                  <c:v>43</c:v>
                </c:pt>
                <c:pt idx="192">
                  <c:v>44</c:v>
                </c:pt>
                <c:pt idx="193">
                  <c:v>44.5</c:v>
                </c:pt>
                <c:pt idx="194">
                  <c:v>44.5</c:v>
                </c:pt>
                <c:pt idx="195">
                  <c:v>44.5</c:v>
                </c:pt>
                <c:pt idx="196">
                  <c:v>44.5</c:v>
                </c:pt>
                <c:pt idx="197">
                  <c:v>44.5</c:v>
                </c:pt>
                <c:pt idx="198">
                  <c:v>44.5</c:v>
                </c:pt>
                <c:pt idx="199">
                  <c:v>44.5</c:v>
                </c:pt>
                <c:pt idx="200">
                  <c:v>44.5</c:v>
                </c:pt>
                <c:pt idx="201">
                  <c:v>44.5</c:v>
                </c:pt>
                <c:pt idx="202">
                  <c:v>44.5</c:v>
                </c:pt>
                <c:pt idx="203">
                  <c:v>44.5</c:v>
                </c:pt>
                <c:pt idx="204">
                  <c:v>44.5</c:v>
                </c:pt>
                <c:pt idx="205">
                  <c:v>44.5</c:v>
                </c:pt>
                <c:pt idx="206">
                  <c:v>44.5</c:v>
                </c:pt>
                <c:pt idx="207">
                  <c:v>44.5</c:v>
                </c:pt>
                <c:pt idx="208">
                  <c:v>44.5</c:v>
                </c:pt>
                <c:pt idx="209">
                  <c:v>44.5</c:v>
                </c:pt>
                <c:pt idx="210">
                  <c:v>44.5</c:v>
                </c:pt>
                <c:pt idx="211">
                  <c:v>44.5</c:v>
                </c:pt>
                <c:pt idx="212">
                  <c:v>44.5</c:v>
                </c:pt>
                <c:pt idx="213">
                  <c:v>44.5</c:v>
                </c:pt>
                <c:pt idx="214">
                  <c:v>44.5</c:v>
                </c:pt>
                <c:pt idx="215">
                  <c:v>44.5</c:v>
                </c:pt>
                <c:pt idx="216">
                  <c:v>44.5</c:v>
                </c:pt>
                <c:pt idx="217">
                  <c:v>44.5</c:v>
                </c:pt>
                <c:pt idx="218">
                  <c:v>44.5</c:v>
                </c:pt>
                <c:pt idx="219">
                  <c:v>44.5</c:v>
                </c:pt>
                <c:pt idx="220">
                  <c:v>44.5</c:v>
                </c:pt>
                <c:pt idx="221">
                  <c:v>44.5</c:v>
                </c:pt>
                <c:pt idx="222">
                  <c:v>44.5</c:v>
                </c:pt>
                <c:pt idx="223">
                  <c:v>44.5</c:v>
                </c:pt>
                <c:pt idx="224">
                  <c:v>44.5</c:v>
                </c:pt>
                <c:pt idx="225">
                  <c:v>44.5</c:v>
                </c:pt>
                <c:pt idx="226">
                  <c:v>44.5</c:v>
                </c:pt>
                <c:pt idx="227">
                  <c:v>44.5</c:v>
                </c:pt>
                <c:pt idx="228">
                  <c:v>44.5</c:v>
                </c:pt>
                <c:pt idx="229">
                  <c:v>44.5</c:v>
                </c:pt>
                <c:pt idx="230">
                  <c:v>44.5</c:v>
                </c:pt>
                <c:pt idx="231">
                  <c:v>44.5</c:v>
                </c:pt>
                <c:pt idx="232">
                  <c:v>44.5</c:v>
                </c:pt>
                <c:pt idx="233">
                  <c:v>44.5</c:v>
                </c:pt>
                <c:pt idx="234">
                  <c:v>44.5</c:v>
                </c:pt>
                <c:pt idx="235">
                  <c:v>44.5</c:v>
                </c:pt>
                <c:pt idx="236">
                  <c:v>44.5</c:v>
                </c:pt>
                <c:pt idx="237">
                  <c:v>44.5</c:v>
                </c:pt>
                <c:pt idx="238">
                  <c:v>44.5</c:v>
                </c:pt>
                <c:pt idx="239">
                  <c:v>44.5</c:v>
                </c:pt>
                <c:pt idx="240">
                  <c:v>44.5</c:v>
                </c:pt>
                <c:pt idx="241">
                  <c:v>44.5</c:v>
                </c:pt>
                <c:pt idx="242">
                  <c:v>44.5</c:v>
                </c:pt>
                <c:pt idx="243">
                  <c:v>44.5</c:v>
                </c:pt>
                <c:pt idx="244">
                  <c:v>44.5</c:v>
                </c:pt>
                <c:pt idx="245">
                  <c:v>44.5</c:v>
                </c:pt>
                <c:pt idx="246">
                  <c:v>44.5</c:v>
                </c:pt>
                <c:pt idx="247">
                  <c:v>44.5</c:v>
                </c:pt>
                <c:pt idx="248">
                  <c:v>44.5</c:v>
                </c:pt>
              </c:numCache>
            </c:numRef>
          </c:yVal>
          <c:smooth val="1"/>
          <c:extLst>
            <c:ext xmlns:c16="http://schemas.microsoft.com/office/drawing/2014/chart" uri="{C3380CC4-5D6E-409C-BE32-E72D297353CC}">
              <c16:uniqueId val="{00000002-BAFE-492F-B5F8-C88B6AEB992E}"/>
            </c:ext>
          </c:extLst>
        </c:ser>
        <c:ser>
          <c:idx val="5"/>
          <c:order val="3"/>
          <c:tx>
            <c:strRef>
              <c:f>'Grafische Darstellung'!$F$2</c:f>
              <c:strCache>
                <c:ptCount val="1"/>
                <c:pt idx="0">
                  <c:v>Hannes</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'Grafische Darstellung'!$B$3:$B$251</c:f>
              <c:numCache>
                <c:formatCode>m/d/yyyy</c:formatCode>
                <c:ptCount val="249"/>
                <c:pt idx="0">
                  <c:v>46023</c:v>
                </c:pt>
                <c:pt idx="1">
                  <c:v>46034</c:v>
                </c:pt>
                <c:pt idx="2">
                  <c:v>46035</c:v>
                </c:pt>
                <c:pt idx="3">
                  <c:v>46036</c:v>
                </c:pt>
                <c:pt idx="4">
                  <c:v>46037</c:v>
                </c:pt>
                <c:pt idx="5">
                  <c:v>46038</c:v>
                </c:pt>
                <c:pt idx="6">
                  <c:v>46041</c:v>
                </c:pt>
                <c:pt idx="7">
                  <c:v>46042</c:v>
                </c:pt>
                <c:pt idx="8">
                  <c:v>46043</c:v>
                </c:pt>
                <c:pt idx="9">
                  <c:v>46044</c:v>
                </c:pt>
                <c:pt idx="10">
                  <c:v>46045</c:v>
                </c:pt>
                <c:pt idx="11">
                  <c:v>46048</c:v>
                </c:pt>
                <c:pt idx="12">
                  <c:v>46049</c:v>
                </c:pt>
                <c:pt idx="13">
                  <c:v>46050</c:v>
                </c:pt>
                <c:pt idx="14">
                  <c:v>46051</c:v>
                </c:pt>
                <c:pt idx="15">
                  <c:v>46052</c:v>
                </c:pt>
                <c:pt idx="16">
                  <c:v>46055</c:v>
                </c:pt>
                <c:pt idx="17">
                  <c:v>46056</c:v>
                </c:pt>
                <c:pt idx="18">
                  <c:v>46057</c:v>
                </c:pt>
                <c:pt idx="19">
                  <c:v>46058</c:v>
                </c:pt>
                <c:pt idx="20">
                  <c:v>46059</c:v>
                </c:pt>
                <c:pt idx="21">
                  <c:v>46062</c:v>
                </c:pt>
                <c:pt idx="22">
                  <c:v>46063</c:v>
                </c:pt>
                <c:pt idx="23">
                  <c:v>46064</c:v>
                </c:pt>
                <c:pt idx="24">
                  <c:v>46065</c:v>
                </c:pt>
                <c:pt idx="25">
                  <c:v>46066</c:v>
                </c:pt>
                <c:pt idx="26">
                  <c:v>46069</c:v>
                </c:pt>
                <c:pt idx="27">
                  <c:v>46070</c:v>
                </c:pt>
                <c:pt idx="28">
                  <c:v>46071</c:v>
                </c:pt>
                <c:pt idx="29">
                  <c:v>46072</c:v>
                </c:pt>
                <c:pt idx="30">
                  <c:v>46073</c:v>
                </c:pt>
                <c:pt idx="31">
                  <c:v>46076</c:v>
                </c:pt>
                <c:pt idx="32">
                  <c:v>46077</c:v>
                </c:pt>
                <c:pt idx="33">
                  <c:v>46078</c:v>
                </c:pt>
                <c:pt idx="34">
                  <c:v>46079</c:v>
                </c:pt>
                <c:pt idx="35">
                  <c:v>46080</c:v>
                </c:pt>
                <c:pt idx="36">
                  <c:v>46083</c:v>
                </c:pt>
                <c:pt idx="37">
                  <c:v>46084</c:v>
                </c:pt>
                <c:pt idx="38">
                  <c:v>46085</c:v>
                </c:pt>
                <c:pt idx="39">
                  <c:v>46086</c:v>
                </c:pt>
                <c:pt idx="40">
                  <c:v>46087</c:v>
                </c:pt>
                <c:pt idx="41">
                  <c:v>46090</c:v>
                </c:pt>
                <c:pt idx="42">
                  <c:v>46091</c:v>
                </c:pt>
                <c:pt idx="43">
                  <c:v>46092</c:v>
                </c:pt>
                <c:pt idx="44">
                  <c:v>46093</c:v>
                </c:pt>
                <c:pt idx="45">
                  <c:v>46094</c:v>
                </c:pt>
                <c:pt idx="46">
                  <c:v>46097</c:v>
                </c:pt>
                <c:pt idx="47">
                  <c:v>46098</c:v>
                </c:pt>
                <c:pt idx="48">
                  <c:v>46099</c:v>
                </c:pt>
                <c:pt idx="49">
                  <c:v>46100</c:v>
                </c:pt>
                <c:pt idx="50">
                  <c:v>46101</c:v>
                </c:pt>
                <c:pt idx="51">
                  <c:v>46104</c:v>
                </c:pt>
                <c:pt idx="52">
                  <c:v>46105</c:v>
                </c:pt>
                <c:pt idx="53">
                  <c:v>46106</c:v>
                </c:pt>
                <c:pt idx="54">
                  <c:v>46107</c:v>
                </c:pt>
                <c:pt idx="55">
                  <c:v>46108</c:v>
                </c:pt>
                <c:pt idx="56">
                  <c:v>46111</c:v>
                </c:pt>
                <c:pt idx="57">
                  <c:v>46112</c:v>
                </c:pt>
                <c:pt idx="58">
                  <c:v>46113</c:v>
                </c:pt>
                <c:pt idx="59">
                  <c:v>46114</c:v>
                </c:pt>
                <c:pt idx="60">
                  <c:v>46115</c:v>
                </c:pt>
                <c:pt idx="61">
                  <c:v>46118</c:v>
                </c:pt>
                <c:pt idx="62">
                  <c:v>46119</c:v>
                </c:pt>
                <c:pt idx="63">
                  <c:v>46120</c:v>
                </c:pt>
                <c:pt idx="64">
                  <c:v>46121</c:v>
                </c:pt>
                <c:pt idx="65">
                  <c:v>46122</c:v>
                </c:pt>
                <c:pt idx="66">
                  <c:v>46125</c:v>
                </c:pt>
                <c:pt idx="67">
                  <c:v>46126</c:v>
                </c:pt>
                <c:pt idx="68">
                  <c:v>46127</c:v>
                </c:pt>
                <c:pt idx="69">
                  <c:v>46128</c:v>
                </c:pt>
                <c:pt idx="70">
                  <c:v>46129</c:v>
                </c:pt>
                <c:pt idx="71">
                  <c:v>46132</c:v>
                </c:pt>
                <c:pt idx="72">
                  <c:v>46133</c:v>
                </c:pt>
                <c:pt idx="73">
                  <c:v>46134</c:v>
                </c:pt>
                <c:pt idx="74">
                  <c:v>46135</c:v>
                </c:pt>
                <c:pt idx="75">
                  <c:v>46136</c:v>
                </c:pt>
                <c:pt idx="76">
                  <c:v>46139</c:v>
                </c:pt>
                <c:pt idx="77">
                  <c:v>46140</c:v>
                </c:pt>
                <c:pt idx="78">
                  <c:v>46141</c:v>
                </c:pt>
                <c:pt idx="79">
                  <c:v>46142</c:v>
                </c:pt>
                <c:pt idx="80">
                  <c:v>46143</c:v>
                </c:pt>
                <c:pt idx="81">
                  <c:v>46146</c:v>
                </c:pt>
                <c:pt idx="82">
                  <c:v>46147</c:v>
                </c:pt>
                <c:pt idx="83">
                  <c:v>46148</c:v>
                </c:pt>
                <c:pt idx="84">
                  <c:v>46149</c:v>
                </c:pt>
                <c:pt idx="85">
                  <c:v>46150</c:v>
                </c:pt>
                <c:pt idx="86">
                  <c:v>46153</c:v>
                </c:pt>
                <c:pt idx="87">
                  <c:v>46154</c:v>
                </c:pt>
                <c:pt idx="88">
                  <c:v>46155</c:v>
                </c:pt>
                <c:pt idx="89">
                  <c:v>46156</c:v>
                </c:pt>
                <c:pt idx="90">
                  <c:v>46157</c:v>
                </c:pt>
                <c:pt idx="91">
                  <c:v>46160</c:v>
                </c:pt>
                <c:pt idx="92">
                  <c:v>46161</c:v>
                </c:pt>
                <c:pt idx="93">
                  <c:v>46162</c:v>
                </c:pt>
                <c:pt idx="94">
                  <c:v>46163</c:v>
                </c:pt>
                <c:pt idx="95">
                  <c:v>46164</c:v>
                </c:pt>
                <c:pt idx="96">
                  <c:v>46167</c:v>
                </c:pt>
                <c:pt idx="97">
                  <c:v>46168</c:v>
                </c:pt>
                <c:pt idx="98">
                  <c:v>46169</c:v>
                </c:pt>
                <c:pt idx="99">
                  <c:v>46170</c:v>
                </c:pt>
                <c:pt idx="100">
                  <c:v>46171</c:v>
                </c:pt>
                <c:pt idx="101">
                  <c:v>46174</c:v>
                </c:pt>
                <c:pt idx="102">
                  <c:v>46175</c:v>
                </c:pt>
                <c:pt idx="103">
                  <c:v>46176</c:v>
                </c:pt>
                <c:pt idx="104">
                  <c:v>46177</c:v>
                </c:pt>
                <c:pt idx="105">
                  <c:v>46178</c:v>
                </c:pt>
                <c:pt idx="106">
                  <c:v>46181</c:v>
                </c:pt>
                <c:pt idx="107">
                  <c:v>46182</c:v>
                </c:pt>
                <c:pt idx="108">
                  <c:v>46183</c:v>
                </c:pt>
                <c:pt idx="109">
                  <c:v>46184</c:v>
                </c:pt>
                <c:pt idx="110">
                  <c:v>46185</c:v>
                </c:pt>
                <c:pt idx="111">
                  <c:v>46188</c:v>
                </c:pt>
                <c:pt idx="112">
                  <c:v>46189</c:v>
                </c:pt>
                <c:pt idx="113">
                  <c:v>46190</c:v>
                </c:pt>
                <c:pt idx="114">
                  <c:v>46191</c:v>
                </c:pt>
                <c:pt idx="115">
                  <c:v>46192</c:v>
                </c:pt>
                <c:pt idx="116">
                  <c:v>46195</c:v>
                </c:pt>
                <c:pt idx="117">
                  <c:v>46196</c:v>
                </c:pt>
                <c:pt idx="118">
                  <c:v>46197</c:v>
                </c:pt>
                <c:pt idx="119">
                  <c:v>46198</c:v>
                </c:pt>
                <c:pt idx="120">
                  <c:v>46199</c:v>
                </c:pt>
                <c:pt idx="121">
                  <c:v>46202</c:v>
                </c:pt>
                <c:pt idx="122">
                  <c:v>46203</c:v>
                </c:pt>
                <c:pt idx="123">
                  <c:v>46204</c:v>
                </c:pt>
                <c:pt idx="124">
                  <c:v>46205</c:v>
                </c:pt>
                <c:pt idx="125">
                  <c:v>46206</c:v>
                </c:pt>
                <c:pt idx="126">
                  <c:v>46209</c:v>
                </c:pt>
                <c:pt idx="127">
                  <c:v>46210</c:v>
                </c:pt>
                <c:pt idx="128">
                  <c:v>46211</c:v>
                </c:pt>
                <c:pt idx="129">
                  <c:v>46212</c:v>
                </c:pt>
                <c:pt idx="130">
                  <c:v>46213</c:v>
                </c:pt>
                <c:pt idx="131">
                  <c:v>46216</c:v>
                </c:pt>
                <c:pt idx="132">
                  <c:v>46217</c:v>
                </c:pt>
                <c:pt idx="133">
                  <c:v>46218</c:v>
                </c:pt>
                <c:pt idx="134">
                  <c:v>46219</c:v>
                </c:pt>
                <c:pt idx="135">
                  <c:v>46220</c:v>
                </c:pt>
                <c:pt idx="136">
                  <c:v>46223</c:v>
                </c:pt>
                <c:pt idx="137">
                  <c:v>46224</c:v>
                </c:pt>
                <c:pt idx="138">
                  <c:v>46225</c:v>
                </c:pt>
                <c:pt idx="139">
                  <c:v>46226</c:v>
                </c:pt>
                <c:pt idx="140">
                  <c:v>46227</c:v>
                </c:pt>
                <c:pt idx="141">
                  <c:v>46230</c:v>
                </c:pt>
                <c:pt idx="142">
                  <c:v>46231</c:v>
                </c:pt>
                <c:pt idx="143">
                  <c:v>46232</c:v>
                </c:pt>
                <c:pt idx="144">
                  <c:v>46233</c:v>
                </c:pt>
                <c:pt idx="145">
                  <c:v>46234</c:v>
                </c:pt>
                <c:pt idx="146">
                  <c:v>46237</c:v>
                </c:pt>
                <c:pt idx="147">
                  <c:v>46238</c:v>
                </c:pt>
                <c:pt idx="148">
                  <c:v>46239</c:v>
                </c:pt>
                <c:pt idx="149">
                  <c:v>46240</c:v>
                </c:pt>
                <c:pt idx="150">
                  <c:v>46241</c:v>
                </c:pt>
                <c:pt idx="151">
                  <c:v>46244</c:v>
                </c:pt>
                <c:pt idx="152">
                  <c:v>46245</c:v>
                </c:pt>
                <c:pt idx="153">
                  <c:v>46246</c:v>
                </c:pt>
                <c:pt idx="154">
                  <c:v>46247</c:v>
                </c:pt>
                <c:pt idx="155">
                  <c:v>46248</c:v>
                </c:pt>
                <c:pt idx="156">
                  <c:v>46251</c:v>
                </c:pt>
                <c:pt idx="157">
                  <c:v>46252</c:v>
                </c:pt>
                <c:pt idx="158">
                  <c:v>46253</c:v>
                </c:pt>
                <c:pt idx="159">
                  <c:v>46254</c:v>
                </c:pt>
                <c:pt idx="160">
                  <c:v>46255</c:v>
                </c:pt>
                <c:pt idx="161">
                  <c:v>46258</c:v>
                </c:pt>
                <c:pt idx="162">
                  <c:v>46259</c:v>
                </c:pt>
                <c:pt idx="163">
                  <c:v>46260</c:v>
                </c:pt>
                <c:pt idx="164">
                  <c:v>46261</c:v>
                </c:pt>
                <c:pt idx="165">
                  <c:v>46262</c:v>
                </c:pt>
                <c:pt idx="166">
                  <c:v>46265</c:v>
                </c:pt>
                <c:pt idx="167">
                  <c:v>46266</c:v>
                </c:pt>
                <c:pt idx="168">
                  <c:v>46267</c:v>
                </c:pt>
                <c:pt idx="169">
                  <c:v>46268</c:v>
                </c:pt>
                <c:pt idx="170">
                  <c:v>46269</c:v>
                </c:pt>
                <c:pt idx="171">
                  <c:v>46272</c:v>
                </c:pt>
                <c:pt idx="172">
                  <c:v>46273</c:v>
                </c:pt>
                <c:pt idx="173">
                  <c:v>46274</c:v>
                </c:pt>
                <c:pt idx="174">
                  <c:v>46275</c:v>
                </c:pt>
                <c:pt idx="175">
                  <c:v>46276</c:v>
                </c:pt>
                <c:pt idx="176">
                  <c:v>46279</c:v>
                </c:pt>
                <c:pt idx="177">
                  <c:v>46280</c:v>
                </c:pt>
                <c:pt idx="178">
                  <c:v>46281</c:v>
                </c:pt>
                <c:pt idx="179">
                  <c:v>46282</c:v>
                </c:pt>
                <c:pt idx="180">
                  <c:v>46283</c:v>
                </c:pt>
                <c:pt idx="181">
                  <c:v>46286</c:v>
                </c:pt>
                <c:pt idx="182">
                  <c:v>46287</c:v>
                </c:pt>
                <c:pt idx="183">
                  <c:v>46288</c:v>
                </c:pt>
                <c:pt idx="184">
                  <c:v>46289</c:v>
                </c:pt>
                <c:pt idx="185">
                  <c:v>46290</c:v>
                </c:pt>
                <c:pt idx="186">
                  <c:v>46293</c:v>
                </c:pt>
                <c:pt idx="187">
                  <c:v>46294</c:v>
                </c:pt>
                <c:pt idx="188">
                  <c:v>46295</c:v>
                </c:pt>
                <c:pt idx="189">
                  <c:v>46296</c:v>
                </c:pt>
                <c:pt idx="190">
                  <c:v>46297</c:v>
                </c:pt>
                <c:pt idx="191">
                  <c:v>46300</c:v>
                </c:pt>
                <c:pt idx="192">
                  <c:v>46301</c:v>
                </c:pt>
                <c:pt idx="193">
                  <c:v>46302</c:v>
                </c:pt>
                <c:pt idx="194">
                  <c:v>46303</c:v>
                </c:pt>
                <c:pt idx="195">
                  <c:v>46304</c:v>
                </c:pt>
                <c:pt idx="196">
                  <c:v>46307</c:v>
                </c:pt>
                <c:pt idx="197">
                  <c:v>46308</c:v>
                </c:pt>
                <c:pt idx="198">
                  <c:v>46309</c:v>
                </c:pt>
                <c:pt idx="199">
                  <c:v>46310</c:v>
                </c:pt>
                <c:pt idx="200">
                  <c:v>46311</c:v>
                </c:pt>
                <c:pt idx="201">
                  <c:v>46314</c:v>
                </c:pt>
                <c:pt idx="202">
                  <c:v>46315</c:v>
                </c:pt>
                <c:pt idx="203">
                  <c:v>46316</c:v>
                </c:pt>
                <c:pt idx="204">
                  <c:v>46317</c:v>
                </c:pt>
                <c:pt idx="205">
                  <c:v>46318</c:v>
                </c:pt>
                <c:pt idx="206">
                  <c:v>46321</c:v>
                </c:pt>
                <c:pt idx="207">
                  <c:v>46322</c:v>
                </c:pt>
                <c:pt idx="208">
                  <c:v>46323</c:v>
                </c:pt>
                <c:pt idx="209">
                  <c:v>46324</c:v>
                </c:pt>
                <c:pt idx="210">
                  <c:v>46325</c:v>
                </c:pt>
                <c:pt idx="211">
                  <c:v>46328</c:v>
                </c:pt>
                <c:pt idx="212">
                  <c:v>46329</c:v>
                </c:pt>
                <c:pt idx="213">
                  <c:v>46330</c:v>
                </c:pt>
                <c:pt idx="214">
                  <c:v>46331</c:v>
                </c:pt>
                <c:pt idx="215">
                  <c:v>46332</c:v>
                </c:pt>
                <c:pt idx="216">
                  <c:v>46335</c:v>
                </c:pt>
                <c:pt idx="217">
                  <c:v>46336</c:v>
                </c:pt>
                <c:pt idx="218">
                  <c:v>46337</c:v>
                </c:pt>
                <c:pt idx="219">
                  <c:v>46338</c:v>
                </c:pt>
                <c:pt idx="220">
                  <c:v>46339</c:v>
                </c:pt>
                <c:pt idx="221">
                  <c:v>46342</c:v>
                </c:pt>
                <c:pt idx="222">
                  <c:v>46343</c:v>
                </c:pt>
                <c:pt idx="223">
                  <c:v>46344</c:v>
                </c:pt>
                <c:pt idx="224">
                  <c:v>46345</c:v>
                </c:pt>
                <c:pt idx="225">
                  <c:v>46346</c:v>
                </c:pt>
                <c:pt idx="226">
                  <c:v>46349</c:v>
                </c:pt>
                <c:pt idx="227">
                  <c:v>46350</c:v>
                </c:pt>
                <c:pt idx="228">
                  <c:v>46351</c:v>
                </c:pt>
                <c:pt idx="229">
                  <c:v>46352</c:v>
                </c:pt>
                <c:pt idx="230">
                  <c:v>46353</c:v>
                </c:pt>
                <c:pt idx="231">
                  <c:v>46356</c:v>
                </c:pt>
                <c:pt idx="232">
                  <c:v>46357</c:v>
                </c:pt>
                <c:pt idx="233">
                  <c:v>46358</c:v>
                </c:pt>
                <c:pt idx="234">
                  <c:v>46359</c:v>
                </c:pt>
                <c:pt idx="235">
                  <c:v>46360</c:v>
                </c:pt>
                <c:pt idx="236">
                  <c:v>46363</c:v>
                </c:pt>
                <c:pt idx="237">
                  <c:v>46364</c:v>
                </c:pt>
                <c:pt idx="238">
                  <c:v>46365</c:v>
                </c:pt>
                <c:pt idx="239">
                  <c:v>46366</c:v>
                </c:pt>
                <c:pt idx="240">
                  <c:v>46367</c:v>
                </c:pt>
                <c:pt idx="241">
                  <c:v>46370</c:v>
                </c:pt>
                <c:pt idx="242">
                  <c:v>46371</c:v>
                </c:pt>
                <c:pt idx="243">
                  <c:v>46372</c:v>
                </c:pt>
                <c:pt idx="244">
                  <c:v>46373</c:v>
                </c:pt>
                <c:pt idx="245">
                  <c:v>46374</c:v>
                </c:pt>
                <c:pt idx="246">
                  <c:v>46377</c:v>
                </c:pt>
                <c:pt idx="247">
                  <c:v>46378</c:v>
                </c:pt>
                <c:pt idx="248">
                  <c:v>46379</c:v>
                </c:pt>
              </c:numCache>
            </c:numRef>
          </c:xVal>
          <c:yVal>
            <c:numRef>
              <c:f>'Grafische Darstellung'!$F$3:$F$251</c:f>
              <c:numCache>
                <c:formatCode>General</c:formatCode>
                <c:ptCount val="249"/>
                <c:pt idx="0">
                  <c:v>0</c:v>
                </c:pt>
                <c:pt idx="1">
                  <c:v>0.5</c:v>
                </c:pt>
                <c:pt idx="2">
                  <c:v>0.5</c:v>
                </c:pt>
                <c:pt idx="3">
                  <c:v>0.5</c:v>
                </c:pt>
                <c:pt idx="4">
                  <c:v>0.5</c:v>
                </c:pt>
                <c:pt idx="5">
                  <c:v>0.5</c:v>
                </c:pt>
                <c:pt idx="6">
                  <c:v>1.5</c:v>
                </c:pt>
                <c:pt idx="7">
                  <c:v>2.5</c:v>
                </c:pt>
                <c:pt idx="8">
                  <c:v>2.5</c:v>
                </c:pt>
                <c:pt idx="9">
                  <c:v>3.5</c:v>
                </c:pt>
                <c:pt idx="10">
                  <c:v>3.5</c:v>
                </c:pt>
                <c:pt idx="11">
                  <c:v>3.5</c:v>
                </c:pt>
                <c:pt idx="12">
                  <c:v>3.5</c:v>
                </c:pt>
                <c:pt idx="13">
                  <c:v>3.5</c:v>
                </c:pt>
                <c:pt idx="14">
                  <c:v>3.5</c:v>
                </c:pt>
                <c:pt idx="15">
                  <c:v>4</c:v>
                </c:pt>
                <c:pt idx="16">
                  <c:v>4.5</c:v>
                </c:pt>
                <c:pt idx="17">
                  <c:v>4.5</c:v>
                </c:pt>
                <c:pt idx="18">
                  <c:v>4.5</c:v>
                </c:pt>
                <c:pt idx="19">
                  <c:v>4.5</c:v>
                </c:pt>
                <c:pt idx="20">
                  <c:v>4.5</c:v>
                </c:pt>
                <c:pt idx="21">
                  <c:v>4.5</c:v>
                </c:pt>
                <c:pt idx="22">
                  <c:v>4.5</c:v>
                </c:pt>
                <c:pt idx="23">
                  <c:v>4.5</c:v>
                </c:pt>
                <c:pt idx="24">
                  <c:v>4.5</c:v>
                </c:pt>
                <c:pt idx="25">
                  <c:v>5</c:v>
                </c:pt>
                <c:pt idx="26">
                  <c:v>5</c:v>
                </c:pt>
                <c:pt idx="27">
                  <c:v>5</c:v>
                </c:pt>
                <c:pt idx="28">
                  <c:v>5</c:v>
                </c:pt>
                <c:pt idx="29">
                  <c:v>6</c:v>
                </c:pt>
                <c:pt idx="30">
                  <c:v>6</c:v>
                </c:pt>
                <c:pt idx="31">
                  <c:v>7</c:v>
                </c:pt>
                <c:pt idx="32">
                  <c:v>7</c:v>
                </c:pt>
                <c:pt idx="33">
                  <c:v>7</c:v>
                </c:pt>
                <c:pt idx="34">
                  <c:v>7</c:v>
                </c:pt>
                <c:pt idx="35">
                  <c:v>7</c:v>
                </c:pt>
                <c:pt idx="36">
                  <c:v>7</c:v>
                </c:pt>
                <c:pt idx="37">
                  <c:v>7</c:v>
                </c:pt>
                <c:pt idx="38">
                  <c:v>7</c:v>
                </c:pt>
                <c:pt idx="39">
                  <c:v>7</c:v>
                </c:pt>
                <c:pt idx="40">
                  <c:v>7</c:v>
                </c:pt>
                <c:pt idx="41">
                  <c:v>7.5</c:v>
                </c:pt>
                <c:pt idx="42">
                  <c:v>8</c:v>
                </c:pt>
                <c:pt idx="43">
                  <c:v>8</c:v>
                </c:pt>
                <c:pt idx="44">
                  <c:v>8</c:v>
                </c:pt>
                <c:pt idx="45">
                  <c:v>8</c:v>
                </c:pt>
                <c:pt idx="46">
                  <c:v>11</c:v>
                </c:pt>
                <c:pt idx="47">
                  <c:v>12</c:v>
                </c:pt>
                <c:pt idx="48">
                  <c:v>12</c:v>
                </c:pt>
                <c:pt idx="49">
                  <c:v>12</c:v>
                </c:pt>
                <c:pt idx="50">
                  <c:v>12</c:v>
                </c:pt>
                <c:pt idx="51">
                  <c:v>13.5</c:v>
                </c:pt>
                <c:pt idx="52">
                  <c:v>14</c:v>
                </c:pt>
                <c:pt idx="53">
                  <c:v>14</c:v>
                </c:pt>
                <c:pt idx="54">
                  <c:v>14.5</c:v>
                </c:pt>
                <c:pt idx="55">
                  <c:v>14.5</c:v>
                </c:pt>
                <c:pt idx="56">
                  <c:v>15.5</c:v>
                </c:pt>
                <c:pt idx="57">
                  <c:v>15.5</c:v>
                </c:pt>
                <c:pt idx="58">
                  <c:v>15.5</c:v>
                </c:pt>
                <c:pt idx="59">
                  <c:v>15.5</c:v>
                </c:pt>
                <c:pt idx="60">
                  <c:v>15.5</c:v>
                </c:pt>
                <c:pt idx="61">
                  <c:v>15.5</c:v>
                </c:pt>
                <c:pt idx="62">
                  <c:v>15.5</c:v>
                </c:pt>
                <c:pt idx="63">
                  <c:v>15.5</c:v>
                </c:pt>
                <c:pt idx="64">
                  <c:v>15.5</c:v>
                </c:pt>
                <c:pt idx="65">
                  <c:v>16.5</c:v>
                </c:pt>
                <c:pt idx="66">
                  <c:v>17.5</c:v>
                </c:pt>
                <c:pt idx="67">
                  <c:v>17.5</c:v>
                </c:pt>
                <c:pt idx="68">
                  <c:v>18</c:v>
                </c:pt>
                <c:pt idx="69">
                  <c:v>18</c:v>
                </c:pt>
                <c:pt idx="70">
                  <c:v>18</c:v>
                </c:pt>
                <c:pt idx="71">
                  <c:v>18</c:v>
                </c:pt>
                <c:pt idx="72">
                  <c:v>18.5</c:v>
                </c:pt>
                <c:pt idx="73">
                  <c:v>19</c:v>
                </c:pt>
                <c:pt idx="74">
                  <c:v>19</c:v>
                </c:pt>
                <c:pt idx="75">
                  <c:v>19</c:v>
                </c:pt>
                <c:pt idx="76">
                  <c:v>19.5</c:v>
                </c:pt>
                <c:pt idx="77">
                  <c:v>19.5</c:v>
                </c:pt>
                <c:pt idx="78">
                  <c:v>19.5</c:v>
                </c:pt>
                <c:pt idx="79">
                  <c:v>19.5</c:v>
                </c:pt>
                <c:pt idx="80">
                  <c:v>19.5</c:v>
                </c:pt>
                <c:pt idx="81">
                  <c:v>20</c:v>
                </c:pt>
                <c:pt idx="82">
                  <c:v>20.5</c:v>
                </c:pt>
                <c:pt idx="83">
                  <c:v>21.5</c:v>
                </c:pt>
                <c:pt idx="84">
                  <c:v>22.5</c:v>
                </c:pt>
                <c:pt idx="85">
                  <c:v>22.5</c:v>
                </c:pt>
                <c:pt idx="86">
                  <c:v>23.5</c:v>
                </c:pt>
                <c:pt idx="87">
                  <c:v>23.5</c:v>
                </c:pt>
                <c:pt idx="88">
                  <c:v>23.5</c:v>
                </c:pt>
                <c:pt idx="89">
                  <c:v>23.5</c:v>
                </c:pt>
                <c:pt idx="90">
                  <c:v>23.5</c:v>
                </c:pt>
                <c:pt idx="91">
                  <c:v>23.5</c:v>
                </c:pt>
                <c:pt idx="92">
                  <c:v>23.5</c:v>
                </c:pt>
                <c:pt idx="93">
                  <c:v>23.5</c:v>
                </c:pt>
                <c:pt idx="94">
                  <c:v>24</c:v>
                </c:pt>
                <c:pt idx="95">
                  <c:v>24</c:v>
                </c:pt>
                <c:pt idx="96">
                  <c:v>24</c:v>
                </c:pt>
                <c:pt idx="97">
                  <c:v>24</c:v>
                </c:pt>
                <c:pt idx="98">
                  <c:v>24</c:v>
                </c:pt>
                <c:pt idx="99">
                  <c:v>24.5</c:v>
                </c:pt>
                <c:pt idx="100">
                  <c:v>24.5</c:v>
                </c:pt>
                <c:pt idx="101">
                  <c:v>24.5</c:v>
                </c:pt>
                <c:pt idx="102">
                  <c:v>24.5</c:v>
                </c:pt>
                <c:pt idx="103">
                  <c:v>24.5</c:v>
                </c:pt>
                <c:pt idx="104">
                  <c:v>24.5</c:v>
                </c:pt>
                <c:pt idx="105">
                  <c:v>25</c:v>
                </c:pt>
                <c:pt idx="106">
                  <c:v>25.5</c:v>
                </c:pt>
                <c:pt idx="107">
                  <c:v>25.5</c:v>
                </c:pt>
                <c:pt idx="108">
                  <c:v>25.5</c:v>
                </c:pt>
                <c:pt idx="109">
                  <c:v>25.5</c:v>
                </c:pt>
                <c:pt idx="110">
                  <c:v>25.5</c:v>
                </c:pt>
                <c:pt idx="111">
                  <c:v>26</c:v>
                </c:pt>
                <c:pt idx="112">
                  <c:v>27</c:v>
                </c:pt>
                <c:pt idx="113">
                  <c:v>27</c:v>
                </c:pt>
                <c:pt idx="114">
                  <c:v>27.5</c:v>
                </c:pt>
                <c:pt idx="115">
                  <c:v>27.5</c:v>
                </c:pt>
                <c:pt idx="116">
                  <c:v>27.5</c:v>
                </c:pt>
                <c:pt idx="117">
                  <c:v>27.5</c:v>
                </c:pt>
                <c:pt idx="118">
                  <c:v>28</c:v>
                </c:pt>
                <c:pt idx="119">
                  <c:v>28</c:v>
                </c:pt>
                <c:pt idx="120">
                  <c:v>28.5</c:v>
                </c:pt>
                <c:pt idx="121">
                  <c:v>28.5</c:v>
                </c:pt>
                <c:pt idx="122">
                  <c:v>28.5</c:v>
                </c:pt>
                <c:pt idx="123">
                  <c:v>28.5</c:v>
                </c:pt>
                <c:pt idx="124">
                  <c:v>29</c:v>
                </c:pt>
                <c:pt idx="125">
                  <c:v>29.5</c:v>
                </c:pt>
                <c:pt idx="126">
                  <c:v>29.5</c:v>
                </c:pt>
                <c:pt idx="127">
                  <c:v>30</c:v>
                </c:pt>
                <c:pt idx="128">
                  <c:v>30</c:v>
                </c:pt>
                <c:pt idx="129">
                  <c:v>30.5</c:v>
                </c:pt>
                <c:pt idx="130">
                  <c:v>31</c:v>
                </c:pt>
                <c:pt idx="131">
                  <c:v>31</c:v>
                </c:pt>
                <c:pt idx="132">
                  <c:v>31</c:v>
                </c:pt>
                <c:pt idx="133">
                  <c:v>32</c:v>
                </c:pt>
                <c:pt idx="134">
                  <c:v>32.5</c:v>
                </c:pt>
                <c:pt idx="135">
                  <c:v>32.5</c:v>
                </c:pt>
                <c:pt idx="136">
                  <c:v>33</c:v>
                </c:pt>
                <c:pt idx="137">
                  <c:v>33</c:v>
                </c:pt>
                <c:pt idx="138">
                  <c:v>33</c:v>
                </c:pt>
                <c:pt idx="139">
                  <c:v>34</c:v>
                </c:pt>
                <c:pt idx="140">
                  <c:v>34</c:v>
                </c:pt>
                <c:pt idx="141">
                  <c:v>34</c:v>
                </c:pt>
                <c:pt idx="142">
                  <c:v>34</c:v>
                </c:pt>
                <c:pt idx="143">
                  <c:v>34</c:v>
                </c:pt>
                <c:pt idx="144">
                  <c:v>35</c:v>
                </c:pt>
                <c:pt idx="145">
                  <c:v>35</c:v>
                </c:pt>
                <c:pt idx="146">
                  <c:v>35.5</c:v>
                </c:pt>
                <c:pt idx="147">
                  <c:v>35.5</c:v>
                </c:pt>
                <c:pt idx="148">
                  <c:v>36</c:v>
                </c:pt>
                <c:pt idx="149">
                  <c:v>36</c:v>
                </c:pt>
                <c:pt idx="150">
                  <c:v>36</c:v>
                </c:pt>
                <c:pt idx="151">
                  <c:v>36</c:v>
                </c:pt>
                <c:pt idx="152">
                  <c:v>36</c:v>
                </c:pt>
                <c:pt idx="153">
                  <c:v>36</c:v>
                </c:pt>
                <c:pt idx="154">
                  <c:v>36</c:v>
                </c:pt>
                <c:pt idx="155">
                  <c:v>36</c:v>
                </c:pt>
                <c:pt idx="156">
                  <c:v>36</c:v>
                </c:pt>
                <c:pt idx="157">
                  <c:v>36</c:v>
                </c:pt>
                <c:pt idx="158">
                  <c:v>36</c:v>
                </c:pt>
                <c:pt idx="159">
                  <c:v>36</c:v>
                </c:pt>
                <c:pt idx="160">
                  <c:v>36</c:v>
                </c:pt>
                <c:pt idx="161">
                  <c:v>36.5</c:v>
                </c:pt>
                <c:pt idx="162">
                  <c:v>36.5</c:v>
                </c:pt>
                <c:pt idx="163">
                  <c:v>36.5</c:v>
                </c:pt>
                <c:pt idx="164">
                  <c:v>36.5</c:v>
                </c:pt>
                <c:pt idx="165">
                  <c:v>37</c:v>
                </c:pt>
                <c:pt idx="166">
                  <c:v>38</c:v>
                </c:pt>
                <c:pt idx="167">
                  <c:v>38</c:v>
                </c:pt>
                <c:pt idx="168">
                  <c:v>38</c:v>
                </c:pt>
                <c:pt idx="169">
                  <c:v>38</c:v>
                </c:pt>
                <c:pt idx="170">
                  <c:v>38</c:v>
                </c:pt>
                <c:pt idx="171">
                  <c:v>38</c:v>
                </c:pt>
                <c:pt idx="172">
                  <c:v>39</c:v>
                </c:pt>
                <c:pt idx="173">
                  <c:v>40</c:v>
                </c:pt>
                <c:pt idx="174">
                  <c:v>40</c:v>
                </c:pt>
                <c:pt idx="175">
                  <c:v>41</c:v>
                </c:pt>
                <c:pt idx="176">
                  <c:v>41</c:v>
                </c:pt>
                <c:pt idx="177">
                  <c:v>41</c:v>
                </c:pt>
                <c:pt idx="178">
                  <c:v>41</c:v>
                </c:pt>
                <c:pt idx="179">
                  <c:v>41</c:v>
                </c:pt>
                <c:pt idx="180">
                  <c:v>41</c:v>
                </c:pt>
                <c:pt idx="181">
                  <c:v>41</c:v>
                </c:pt>
                <c:pt idx="182">
                  <c:v>41</c:v>
                </c:pt>
                <c:pt idx="183">
                  <c:v>41</c:v>
                </c:pt>
                <c:pt idx="184">
                  <c:v>41</c:v>
                </c:pt>
                <c:pt idx="185">
                  <c:v>41</c:v>
                </c:pt>
                <c:pt idx="186">
                  <c:v>42</c:v>
                </c:pt>
                <c:pt idx="187">
                  <c:v>42.5</c:v>
                </c:pt>
                <c:pt idx="188">
                  <c:v>42.5</c:v>
                </c:pt>
                <c:pt idx="189">
                  <c:v>44</c:v>
                </c:pt>
                <c:pt idx="190">
                  <c:v>44</c:v>
                </c:pt>
                <c:pt idx="191">
                  <c:v>44.5</c:v>
                </c:pt>
                <c:pt idx="192">
                  <c:v>45.5</c:v>
                </c:pt>
                <c:pt idx="193">
                  <c:v>45.5</c:v>
                </c:pt>
                <c:pt idx="194">
                  <c:v>45.5</c:v>
                </c:pt>
                <c:pt idx="195">
                  <c:v>45.5</c:v>
                </c:pt>
                <c:pt idx="196">
                  <c:v>45.5</c:v>
                </c:pt>
                <c:pt idx="197">
                  <c:v>45.5</c:v>
                </c:pt>
                <c:pt idx="198">
                  <c:v>45.5</c:v>
                </c:pt>
                <c:pt idx="199">
                  <c:v>45.5</c:v>
                </c:pt>
                <c:pt idx="200">
                  <c:v>45.5</c:v>
                </c:pt>
                <c:pt idx="201">
                  <c:v>45.5</c:v>
                </c:pt>
                <c:pt idx="202">
                  <c:v>45.5</c:v>
                </c:pt>
                <c:pt idx="203">
                  <c:v>45.5</c:v>
                </c:pt>
                <c:pt idx="204">
                  <c:v>45.5</c:v>
                </c:pt>
                <c:pt idx="205">
                  <c:v>45.5</c:v>
                </c:pt>
                <c:pt idx="206">
                  <c:v>45.5</c:v>
                </c:pt>
                <c:pt idx="207">
                  <c:v>45.5</c:v>
                </c:pt>
                <c:pt idx="208">
                  <c:v>45.5</c:v>
                </c:pt>
                <c:pt idx="209">
                  <c:v>45.5</c:v>
                </c:pt>
                <c:pt idx="210">
                  <c:v>45.5</c:v>
                </c:pt>
                <c:pt idx="211">
                  <c:v>45.5</c:v>
                </c:pt>
                <c:pt idx="212">
                  <c:v>45.5</c:v>
                </c:pt>
                <c:pt idx="213">
                  <c:v>45.5</c:v>
                </c:pt>
                <c:pt idx="214">
                  <c:v>45.5</c:v>
                </c:pt>
                <c:pt idx="215">
                  <c:v>45.5</c:v>
                </c:pt>
                <c:pt idx="216">
                  <c:v>45.5</c:v>
                </c:pt>
                <c:pt idx="217">
                  <c:v>45.5</c:v>
                </c:pt>
                <c:pt idx="218">
                  <c:v>45.5</c:v>
                </c:pt>
                <c:pt idx="219">
                  <c:v>45.5</c:v>
                </c:pt>
                <c:pt idx="220">
                  <c:v>45.5</c:v>
                </c:pt>
                <c:pt idx="221">
                  <c:v>45.5</c:v>
                </c:pt>
                <c:pt idx="222">
                  <c:v>45.5</c:v>
                </c:pt>
                <c:pt idx="223">
                  <c:v>45.5</c:v>
                </c:pt>
                <c:pt idx="224">
                  <c:v>45.5</c:v>
                </c:pt>
                <c:pt idx="225">
                  <c:v>45.5</c:v>
                </c:pt>
                <c:pt idx="226">
                  <c:v>45.5</c:v>
                </c:pt>
                <c:pt idx="227">
                  <c:v>45.5</c:v>
                </c:pt>
                <c:pt idx="228">
                  <c:v>45.5</c:v>
                </c:pt>
                <c:pt idx="229">
                  <c:v>45.5</c:v>
                </c:pt>
                <c:pt idx="230">
                  <c:v>45.5</c:v>
                </c:pt>
                <c:pt idx="231">
                  <c:v>45.5</c:v>
                </c:pt>
                <c:pt idx="232">
                  <c:v>45.5</c:v>
                </c:pt>
                <c:pt idx="233">
                  <c:v>45.5</c:v>
                </c:pt>
                <c:pt idx="234">
                  <c:v>45.5</c:v>
                </c:pt>
                <c:pt idx="235">
                  <c:v>45.5</c:v>
                </c:pt>
                <c:pt idx="236">
                  <c:v>45.5</c:v>
                </c:pt>
                <c:pt idx="237">
                  <c:v>45.5</c:v>
                </c:pt>
                <c:pt idx="238">
                  <c:v>45.5</c:v>
                </c:pt>
                <c:pt idx="239">
                  <c:v>45.5</c:v>
                </c:pt>
                <c:pt idx="240">
                  <c:v>45.5</c:v>
                </c:pt>
                <c:pt idx="241">
                  <c:v>45.5</c:v>
                </c:pt>
                <c:pt idx="242">
                  <c:v>45.5</c:v>
                </c:pt>
                <c:pt idx="243">
                  <c:v>45.5</c:v>
                </c:pt>
                <c:pt idx="244">
                  <c:v>45.5</c:v>
                </c:pt>
                <c:pt idx="245">
                  <c:v>45.5</c:v>
                </c:pt>
                <c:pt idx="246">
                  <c:v>45.5</c:v>
                </c:pt>
                <c:pt idx="247">
                  <c:v>45.5</c:v>
                </c:pt>
                <c:pt idx="248">
                  <c:v>45.5</c:v>
                </c:pt>
              </c:numCache>
            </c:numRef>
          </c:yVal>
          <c:smooth val="1"/>
          <c:extLst>
            <c:ext xmlns:c16="http://schemas.microsoft.com/office/drawing/2014/chart" uri="{C3380CC4-5D6E-409C-BE32-E72D297353CC}">
              <c16:uniqueId val="{00000005-BAFE-492F-B5F8-C88B6AEB992E}"/>
            </c:ext>
          </c:extLst>
        </c:ser>
        <c:ser>
          <c:idx val="8"/>
          <c:order val="4"/>
          <c:tx>
            <c:strRef>
              <c:f>'Grafische Darstellung'!$G$2</c:f>
              <c:strCache>
                <c:ptCount val="1"/>
                <c:pt idx="0">
                  <c:v>Noah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'Grafische Darstellung'!$B$3:$B$251</c:f>
              <c:numCache>
                <c:formatCode>m/d/yyyy</c:formatCode>
                <c:ptCount val="249"/>
                <c:pt idx="0">
                  <c:v>46023</c:v>
                </c:pt>
                <c:pt idx="1">
                  <c:v>46034</c:v>
                </c:pt>
                <c:pt idx="2">
                  <c:v>46035</c:v>
                </c:pt>
                <c:pt idx="3">
                  <c:v>46036</c:v>
                </c:pt>
                <c:pt idx="4">
                  <c:v>46037</c:v>
                </c:pt>
                <c:pt idx="5">
                  <c:v>46038</c:v>
                </c:pt>
                <c:pt idx="6">
                  <c:v>46041</c:v>
                </c:pt>
                <c:pt idx="7">
                  <c:v>46042</c:v>
                </c:pt>
                <c:pt idx="8">
                  <c:v>46043</c:v>
                </c:pt>
                <c:pt idx="9">
                  <c:v>46044</c:v>
                </c:pt>
                <c:pt idx="10">
                  <c:v>46045</c:v>
                </c:pt>
                <c:pt idx="11">
                  <c:v>46048</c:v>
                </c:pt>
                <c:pt idx="12">
                  <c:v>46049</c:v>
                </c:pt>
                <c:pt idx="13">
                  <c:v>46050</c:v>
                </c:pt>
                <c:pt idx="14">
                  <c:v>46051</c:v>
                </c:pt>
                <c:pt idx="15">
                  <c:v>46052</c:v>
                </c:pt>
                <c:pt idx="16">
                  <c:v>46055</c:v>
                </c:pt>
                <c:pt idx="17">
                  <c:v>46056</c:v>
                </c:pt>
                <c:pt idx="18">
                  <c:v>46057</c:v>
                </c:pt>
                <c:pt idx="19">
                  <c:v>46058</c:v>
                </c:pt>
                <c:pt idx="20">
                  <c:v>46059</c:v>
                </c:pt>
                <c:pt idx="21">
                  <c:v>46062</c:v>
                </c:pt>
                <c:pt idx="22">
                  <c:v>46063</c:v>
                </c:pt>
                <c:pt idx="23">
                  <c:v>46064</c:v>
                </c:pt>
                <c:pt idx="24">
                  <c:v>46065</c:v>
                </c:pt>
                <c:pt idx="25">
                  <c:v>46066</c:v>
                </c:pt>
                <c:pt idx="26">
                  <c:v>46069</c:v>
                </c:pt>
                <c:pt idx="27">
                  <c:v>46070</c:v>
                </c:pt>
                <c:pt idx="28">
                  <c:v>46071</c:v>
                </c:pt>
                <c:pt idx="29">
                  <c:v>46072</c:v>
                </c:pt>
                <c:pt idx="30">
                  <c:v>46073</c:v>
                </c:pt>
                <c:pt idx="31">
                  <c:v>46076</c:v>
                </c:pt>
                <c:pt idx="32">
                  <c:v>46077</c:v>
                </c:pt>
                <c:pt idx="33">
                  <c:v>46078</c:v>
                </c:pt>
                <c:pt idx="34">
                  <c:v>46079</c:v>
                </c:pt>
                <c:pt idx="35">
                  <c:v>46080</c:v>
                </c:pt>
                <c:pt idx="36">
                  <c:v>46083</c:v>
                </c:pt>
                <c:pt idx="37">
                  <c:v>46084</c:v>
                </c:pt>
                <c:pt idx="38">
                  <c:v>46085</c:v>
                </c:pt>
                <c:pt idx="39">
                  <c:v>46086</c:v>
                </c:pt>
                <c:pt idx="40">
                  <c:v>46087</c:v>
                </c:pt>
                <c:pt idx="41">
                  <c:v>46090</c:v>
                </c:pt>
                <c:pt idx="42">
                  <c:v>46091</c:v>
                </c:pt>
                <c:pt idx="43">
                  <c:v>46092</c:v>
                </c:pt>
                <c:pt idx="44">
                  <c:v>46093</c:v>
                </c:pt>
                <c:pt idx="45">
                  <c:v>46094</c:v>
                </c:pt>
                <c:pt idx="46">
                  <c:v>46097</c:v>
                </c:pt>
                <c:pt idx="47">
                  <c:v>46098</c:v>
                </c:pt>
                <c:pt idx="48">
                  <c:v>46099</c:v>
                </c:pt>
                <c:pt idx="49">
                  <c:v>46100</c:v>
                </c:pt>
                <c:pt idx="50">
                  <c:v>46101</c:v>
                </c:pt>
                <c:pt idx="51">
                  <c:v>46104</c:v>
                </c:pt>
                <c:pt idx="52">
                  <c:v>46105</c:v>
                </c:pt>
                <c:pt idx="53">
                  <c:v>46106</c:v>
                </c:pt>
                <c:pt idx="54">
                  <c:v>46107</c:v>
                </c:pt>
                <c:pt idx="55">
                  <c:v>46108</c:v>
                </c:pt>
                <c:pt idx="56">
                  <c:v>46111</c:v>
                </c:pt>
                <c:pt idx="57">
                  <c:v>46112</c:v>
                </c:pt>
                <c:pt idx="58">
                  <c:v>46113</c:v>
                </c:pt>
                <c:pt idx="59">
                  <c:v>46114</c:v>
                </c:pt>
                <c:pt idx="60">
                  <c:v>46115</c:v>
                </c:pt>
                <c:pt idx="61">
                  <c:v>46118</c:v>
                </c:pt>
                <c:pt idx="62">
                  <c:v>46119</c:v>
                </c:pt>
                <c:pt idx="63">
                  <c:v>46120</c:v>
                </c:pt>
                <c:pt idx="64">
                  <c:v>46121</c:v>
                </c:pt>
                <c:pt idx="65">
                  <c:v>46122</c:v>
                </c:pt>
                <c:pt idx="66">
                  <c:v>46125</c:v>
                </c:pt>
                <c:pt idx="67">
                  <c:v>46126</c:v>
                </c:pt>
                <c:pt idx="68">
                  <c:v>46127</c:v>
                </c:pt>
                <c:pt idx="69">
                  <c:v>46128</c:v>
                </c:pt>
                <c:pt idx="70">
                  <c:v>46129</c:v>
                </c:pt>
                <c:pt idx="71">
                  <c:v>46132</c:v>
                </c:pt>
                <c:pt idx="72">
                  <c:v>46133</c:v>
                </c:pt>
                <c:pt idx="73">
                  <c:v>46134</c:v>
                </c:pt>
                <c:pt idx="74">
                  <c:v>46135</c:v>
                </c:pt>
                <c:pt idx="75">
                  <c:v>46136</c:v>
                </c:pt>
                <c:pt idx="76">
                  <c:v>46139</c:v>
                </c:pt>
                <c:pt idx="77">
                  <c:v>46140</c:v>
                </c:pt>
                <c:pt idx="78">
                  <c:v>46141</c:v>
                </c:pt>
                <c:pt idx="79">
                  <c:v>46142</c:v>
                </c:pt>
                <c:pt idx="80">
                  <c:v>46143</c:v>
                </c:pt>
                <c:pt idx="81">
                  <c:v>46146</c:v>
                </c:pt>
                <c:pt idx="82">
                  <c:v>46147</c:v>
                </c:pt>
                <c:pt idx="83">
                  <c:v>46148</c:v>
                </c:pt>
                <c:pt idx="84">
                  <c:v>46149</c:v>
                </c:pt>
                <c:pt idx="85">
                  <c:v>46150</c:v>
                </c:pt>
                <c:pt idx="86">
                  <c:v>46153</c:v>
                </c:pt>
                <c:pt idx="87">
                  <c:v>46154</c:v>
                </c:pt>
                <c:pt idx="88">
                  <c:v>46155</c:v>
                </c:pt>
                <c:pt idx="89">
                  <c:v>46156</c:v>
                </c:pt>
                <c:pt idx="90">
                  <c:v>46157</c:v>
                </c:pt>
                <c:pt idx="91">
                  <c:v>46160</c:v>
                </c:pt>
                <c:pt idx="92">
                  <c:v>46161</c:v>
                </c:pt>
                <c:pt idx="93">
                  <c:v>46162</c:v>
                </c:pt>
                <c:pt idx="94">
                  <c:v>46163</c:v>
                </c:pt>
                <c:pt idx="95">
                  <c:v>46164</c:v>
                </c:pt>
                <c:pt idx="96">
                  <c:v>46167</c:v>
                </c:pt>
                <c:pt idx="97">
                  <c:v>46168</c:v>
                </c:pt>
                <c:pt idx="98">
                  <c:v>46169</c:v>
                </c:pt>
                <c:pt idx="99">
                  <c:v>46170</c:v>
                </c:pt>
                <c:pt idx="100">
                  <c:v>46171</c:v>
                </c:pt>
                <c:pt idx="101">
                  <c:v>46174</c:v>
                </c:pt>
                <c:pt idx="102">
                  <c:v>46175</c:v>
                </c:pt>
                <c:pt idx="103">
                  <c:v>46176</c:v>
                </c:pt>
                <c:pt idx="104">
                  <c:v>46177</c:v>
                </c:pt>
                <c:pt idx="105">
                  <c:v>46178</c:v>
                </c:pt>
                <c:pt idx="106">
                  <c:v>46181</c:v>
                </c:pt>
                <c:pt idx="107">
                  <c:v>46182</c:v>
                </c:pt>
                <c:pt idx="108">
                  <c:v>46183</c:v>
                </c:pt>
                <c:pt idx="109">
                  <c:v>46184</c:v>
                </c:pt>
                <c:pt idx="110">
                  <c:v>46185</c:v>
                </c:pt>
                <c:pt idx="111">
                  <c:v>46188</c:v>
                </c:pt>
                <c:pt idx="112">
                  <c:v>46189</c:v>
                </c:pt>
                <c:pt idx="113">
                  <c:v>46190</c:v>
                </c:pt>
                <c:pt idx="114">
                  <c:v>46191</c:v>
                </c:pt>
                <c:pt idx="115">
                  <c:v>46192</c:v>
                </c:pt>
                <c:pt idx="116">
                  <c:v>46195</c:v>
                </c:pt>
                <c:pt idx="117">
                  <c:v>46196</c:v>
                </c:pt>
                <c:pt idx="118">
                  <c:v>46197</c:v>
                </c:pt>
                <c:pt idx="119">
                  <c:v>46198</c:v>
                </c:pt>
                <c:pt idx="120">
                  <c:v>46199</c:v>
                </c:pt>
                <c:pt idx="121">
                  <c:v>46202</c:v>
                </c:pt>
                <c:pt idx="122">
                  <c:v>46203</c:v>
                </c:pt>
                <c:pt idx="123">
                  <c:v>46204</c:v>
                </c:pt>
                <c:pt idx="124">
                  <c:v>46205</c:v>
                </c:pt>
                <c:pt idx="125">
                  <c:v>46206</c:v>
                </c:pt>
                <c:pt idx="126">
                  <c:v>46209</c:v>
                </c:pt>
                <c:pt idx="127">
                  <c:v>46210</c:v>
                </c:pt>
                <c:pt idx="128">
                  <c:v>46211</c:v>
                </c:pt>
                <c:pt idx="129">
                  <c:v>46212</c:v>
                </c:pt>
                <c:pt idx="130">
                  <c:v>46213</c:v>
                </c:pt>
                <c:pt idx="131">
                  <c:v>46216</c:v>
                </c:pt>
                <c:pt idx="132">
                  <c:v>46217</c:v>
                </c:pt>
                <c:pt idx="133">
                  <c:v>46218</c:v>
                </c:pt>
                <c:pt idx="134">
                  <c:v>46219</c:v>
                </c:pt>
                <c:pt idx="135">
                  <c:v>46220</c:v>
                </c:pt>
                <c:pt idx="136">
                  <c:v>46223</c:v>
                </c:pt>
                <c:pt idx="137">
                  <c:v>46224</c:v>
                </c:pt>
                <c:pt idx="138">
                  <c:v>46225</c:v>
                </c:pt>
                <c:pt idx="139">
                  <c:v>46226</c:v>
                </c:pt>
                <c:pt idx="140">
                  <c:v>46227</c:v>
                </c:pt>
                <c:pt idx="141">
                  <c:v>46230</c:v>
                </c:pt>
                <c:pt idx="142">
                  <c:v>46231</c:v>
                </c:pt>
                <c:pt idx="143">
                  <c:v>46232</c:v>
                </c:pt>
                <c:pt idx="144">
                  <c:v>46233</c:v>
                </c:pt>
                <c:pt idx="145">
                  <c:v>46234</c:v>
                </c:pt>
                <c:pt idx="146">
                  <c:v>46237</c:v>
                </c:pt>
                <c:pt idx="147">
                  <c:v>46238</c:v>
                </c:pt>
                <c:pt idx="148">
                  <c:v>46239</c:v>
                </c:pt>
                <c:pt idx="149">
                  <c:v>46240</c:v>
                </c:pt>
                <c:pt idx="150">
                  <c:v>46241</c:v>
                </c:pt>
                <c:pt idx="151">
                  <c:v>46244</c:v>
                </c:pt>
                <c:pt idx="152">
                  <c:v>46245</c:v>
                </c:pt>
                <c:pt idx="153">
                  <c:v>46246</c:v>
                </c:pt>
                <c:pt idx="154">
                  <c:v>46247</c:v>
                </c:pt>
                <c:pt idx="155">
                  <c:v>46248</c:v>
                </c:pt>
                <c:pt idx="156">
                  <c:v>46251</c:v>
                </c:pt>
                <c:pt idx="157">
                  <c:v>46252</c:v>
                </c:pt>
                <c:pt idx="158">
                  <c:v>46253</c:v>
                </c:pt>
                <c:pt idx="159">
                  <c:v>46254</c:v>
                </c:pt>
                <c:pt idx="160">
                  <c:v>46255</c:v>
                </c:pt>
                <c:pt idx="161">
                  <c:v>46258</c:v>
                </c:pt>
                <c:pt idx="162">
                  <c:v>46259</c:v>
                </c:pt>
                <c:pt idx="163">
                  <c:v>46260</c:v>
                </c:pt>
                <c:pt idx="164">
                  <c:v>46261</c:v>
                </c:pt>
                <c:pt idx="165">
                  <c:v>46262</c:v>
                </c:pt>
                <c:pt idx="166">
                  <c:v>46265</c:v>
                </c:pt>
                <c:pt idx="167">
                  <c:v>46266</c:v>
                </c:pt>
                <c:pt idx="168">
                  <c:v>46267</c:v>
                </c:pt>
                <c:pt idx="169">
                  <c:v>46268</c:v>
                </c:pt>
                <c:pt idx="170">
                  <c:v>46269</c:v>
                </c:pt>
                <c:pt idx="171">
                  <c:v>46272</c:v>
                </c:pt>
                <c:pt idx="172">
                  <c:v>46273</c:v>
                </c:pt>
                <c:pt idx="173">
                  <c:v>46274</c:v>
                </c:pt>
                <c:pt idx="174">
                  <c:v>46275</c:v>
                </c:pt>
                <c:pt idx="175">
                  <c:v>46276</c:v>
                </c:pt>
                <c:pt idx="176">
                  <c:v>46279</c:v>
                </c:pt>
                <c:pt idx="177">
                  <c:v>46280</c:v>
                </c:pt>
                <c:pt idx="178">
                  <c:v>46281</c:v>
                </c:pt>
                <c:pt idx="179">
                  <c:v>46282</c:v>
                </c:pt>
                <c:pt idx="180">
                  <c:v>46283</c:v>
                </c:pt>
                <c:pt idx="181">
                  <c:v>46286</c:v>
                </c:pt>
                <c:pt idx="182">
                  <c:v>46287</c:v>
                </c:pt>
                <c:pt idx="183">
                  <c:v>46288</c:v>
                </c:pt>
                <c:pt idx="184">
                  <c:v>46289</c:v>
                </c:pt>
                <c:pt idx="185">
                  <c:v>46290</c:v>
                </c:pt>
                <c:pt idx="186">
                  <c:v>46293</c:v>
                </c:pt>
                <c:pt idx="187">
                  <c:v>46294</c:v>
                </c:pt>
                <c:pt idx="188">
                  <c:v>46295</c:v>
                </c:pt>
                <c:pt idx="189">
                  <c:v>46296</c:v>
                </c:pt>
                <c:pt idx="190">
                  <c:v>46297</c:v>
                </c:pt>
                <c:pt idx="191">
                  <c:v>46300</c:v>
                </c:pt>
                <c:pt idx="192">
                  <c:v>46301</c:v>
                </c:pt>
                <c:pt idx="193">
                  <c:v>46302</c:v>
                </c:pt>
                <c:pt idx="194">
                  <c:v>46303</c:v>
                </c:pt>
                <c:pt idx="195">
                  <c:v>46304</c:v>
                </c:pt>
                <c:pt idx="196">
                  <c:v>46307</c:v>
                </c:pt>
                <c:pt idx="197">
                  <c:v>46308</c:v>
                </c:pt>
                <c:pt idx="198">
                  <c:v>46309</c:v>
                </c:pt>
                <c:pt idx="199">
                  <c:v>46310</c:v>
                </c:pt>
                <c:pt idx="200">
                  <c:v>46311</c:v>
                </c:pt>
                <c:pt idx="201">
                  <c:v>46314</c:v>
                </c:pt>
                <c:pt idx="202">
                  <c:v>46315</c:v>
                </c:pt>
                <c:pt idx="203">
                  <c:v>46316</c:v>
                </c:pt>
                <c:pt idx="204">
                  <c:v>46317</c:v>
                </c:pt>
                <c:pt idx="205">
                  <c:v>46318</c:v>
                </c:pt>
                <c:pt idx="206">
                  <c:v>46321</c:v>
                </c:pt>
                <c:pt idx="207">
                  <c:v>46322</c:v>
                </c:pt>
                <c:pt idx="208">
                  <c:v>46323</c:v>
                </c:pt>
                <c:pt idx="209">
                  <c:v>46324</c:v>
                </c:pt>
                <c:pt idx="210">
                  <c:v>46325</c:v>
                </c:pt>
                <c:pt idx="211">
                  <c:v>46328</c:v>
                </c:pt>
                <c:pt idx="212">
                  <c:v>46329</c:v>
                </c:pt>
                <c:pt idx="213">
                  <c:v>46330</c:v>
                </c:pt>
                <c:pt idx="214">
                  <c:v>46331</c:v>
                </c:pt>
                <c:pt idx="215">
                  <c:v>46332</c:v>
                </c:pt>
                <c:pt idx="216">
                  <c:v>46335</c:v>
                </c:pt>
                <c:pt idx="217">
                  <c:v>46336</c:v>
                </c:pt>
                <c:pt idx="218">
                  <c:v>46337</c:v>
                </c:pt>
                <c:pt idx="219">
                  <c:v>46338</c:v>
                </c:pt>
                <c:pt idx="220">
                  <c:v>46339</c:v>
                </c:pt>
                <c:pt idx="221">
                  <c:v>46342</c:v>
                </c:pt>
                <c:pt idx="222">
                  <c:v>46343</c:v>
                </c:pt>
                <c:pt idx="223">
                  <c:v>46344</c:v>
                </c:pt>
                <c:pt idx="224">
                  <c:v>46345</c:v>
                </c:pt>
                <c:pt idx="225">
                  <c:v>46346</c:v>
                </c:pt>
                <c:pt idx="226">
                  <c:v>46349</c:v>
                </c:pt>
                <c:pt idx="227">
                  <c:v>46350</c:v>
                </c:pt>
                <c:pt idx="228">
                  <c:v>46351</c:v>
                </c:pt>
                <c:pt idx="229">
                  <c:v>46352</c:v>
                </c:pt>
                <c:pt idx="230">
                  <c:v>46353</c:v>
                </c:pt>
                <c:pt idx="231">
                  <c:v>46356</c:v>
                </c:pt>
                <c:pt idx="232">
                  <c:v>46357</c:v>
                </c:pt>
                <c:pt idx="233">
                  <c:v>46358</c:v>
                </c:pt>
                <c:pt idx="234">
                  <c:v>46359</c:v>
                </c:pt>
                <c:pt idx="235">
                  <c:v>46360</c:v>
                </c:pt>
                <c:pt idx="236">
                  <c:v>46363</c:v>
                </c:pt>
                <c:pt idx="237">
                  <c:v>46364</c:v>
                </c:pt>
                <c:pt idx="238">
                  <c:v>46365</c:v>
                </c:pt>
                <c:pt idx="239">
                  <c:v>46366</c:v>
                </c:pt>
                <c:pt idx="240">
                  <c:v>46367</c:v>
                </c:pt>
                <c:pt idx="241">
                  <c:v>46370</c:v>
                </c:pt>
                <c:pt idx="242">
                  <c:v>46371</c:v>
                </c:pt>
                <c:pt idx="243">
                  <c:v>46372</c:v>
                </c:pt>
                <c:pt idx="244">
                  <c:v>46373</c:v>
                </c:pt>
                <c:pt idx="245">
                  <c:v>46374</c:v>
                </c:pt>
                <c:pt idx="246">
                  <c:v>46377</c:v>
                </c:pt>
                <c:pt idx="247">
                  <c:v>46378</c:v>
                </c:pt>
                <c:pt idx="248">
                  <c:v>46379</c:v>
                </c:pt>
              </c:numCache>
            </c:numRef>
          </c:xVal>
          <c:yVal>
            <c:numRef>
              <c:f>'Grafische Darstellung'!$G$3:$G$251</c:f>
              <c:numCache>
                <c:formatCode>General</c:formatCode>
                <c:ptCount val="249"/>
                <c:pt idx="0">
                  <c:v>0</c:v>
                </c:pt>
                <c:pt idx="1">
                  <c:v>0</c:v>
                </c:pt>
                <c:pt idx="2">
                  <c:v>0</c:v>
                </c:pt>
                <c:pt idx="3">
                  <c:v>0</c:v>
                </c:pt>
                <c:pt idx="4">
                  <c:v>0.5</c:v>
                </c:pt>
                <c:pt idx="5">
                  <c:v>0.5</c:v>
                </c:pt>
                <c:pt idx="6">
                  <c:v>1.5</c:v>
                </c:pt>
                <c:pt idx="7">
                  <c:v>1.5</c:v>
                </c:pt>
                <c:pt idx="8">
                  <c:v>2</c:v>
                </c:pt>
                <c:pt idx="9">
                  <c:v>2</c:v>
                </c:pt>
                <c:pt idx="10">
                  <c:v>2</c:v>
                </c:pt>
                <c:pt idx="11">
                  <c:v>3.5</c:v>
                </c:pt>
                <c:pt idx="12">
                  <c:v>3.5</c:v>
                </c:pt>
                <c:pt idx="13">
                  <c:v>3.5</c:v>
                </c:pt>
                <c:pt idx="14">
                  <c:v>3.5</c:v>
                </c:pt>
                <c:pt idx="15">
                  <c:v>4</c:v>
                </c:pt>
                <c:pt idx="16">
                  <c:v>4.5</c:v>
                </c:pt>
                <c:pt idx="17">
                  <c:v>5.5</c:v>
                </c:pt>
                <c:pt idx="18">
                  <c:v>6</c:v>
                </c:pt>
                <c:pt idx="19">
                  <c:v>6</c:v>
                </c:pt>
                <c:pt idx="20">
                  <c:v>6</c:v>
                </c:pt>
                <c:pt idx="21">
                  <c:v>6</c:v>
                </c:pt>
                <c:pt idx="22">
                  <c:v>6</c:v>
                </c:pt>
                <c:pt idx="23">
                  <c:v>6</c:v>
                </c:pt>
                <c:pt idx="24">
                  <c:v>6</c:v>
                </c:pt>
                <c:pt idx="25">
                  <c:v>6</c:v>
                </c:pt>
                <c:pt idx="26">
                  <c:v>7</c:v>
                </c:pt>
                <c:pt idx="27">
                  <c:v>7</c:v>
                </c:pt>
                <c:pt idx="28">
                  <c:v>7</c:v>
                </c:pt>
                <c:pt idx="29">
                  <c:v>8</c:v>
                </c:pt>
                <c:pt idx="30">
                  <c:v>8</c:v>
                </c:pt>
                <c:pt idx="31">
                  <c:v>8.5</c:v>
                </c:pt>
                <c:pt idx="32">
                  <c:v>8.5</c:v>
                </c:pt>
                <c:pt idx="33">
                  <c:v>8.5</c:v>
                </c:pt>
                <c:pt idx="34">
                  <c:v>8.5</c:v>
                </c:pt>
                <c:pt idx="35">
                  <c:v>9.5</c:v>
                </c:pt>
                <c:pt idx="36">
                  <c:v>9.5</c:v>
                </c:pt>
                <c:pt idx="37">
                  <c:v>9.5</c:v>
                </c:pt>
                <c:pt idx="38">
                  <c:v>10</c:v>
                </c:pt>
                <c:pt idx="39">
                  <c:v>10.5</c:v>
                </c:pt>
                <c:pt idx="40">
                  <c:v>11</c:v>
                </c:pt>
                <c:pt idx="41">
                  <c:v>11.5</c:v>
                </c:pt>
                <c:pt idx="42">
                  <c:v>11.5</c:v>
                </c:pt>
                <c:pt idx="43">
                  <c:v>11.5</c:v>
                </c:pt>
                <c:pt idx="44">
                  <c:v>11.5</c:v>
                </c:pt>
                <c:pt idx="45">
                  <c:v>11.5</c:v>
                </c:pt>
                <c:pt idx="46">
                  <c:v>14.5</c:v>
                </c:pt>
                <c:pt idx="47">
                  <c:v>14.5</c:v>
                </c:pt>
                <c:pt idx="48">
                  <c:v>14.5</c:v>
                </c:pt>
                <c:pt idx="49">
                  <c:v>14.5</c:v>
                </c:pt>
                <c:pt idx="50">
                  <c:v>14.5</c:v>
                </c:pt>
                <c:pt idx="51">
                  <c:v>15</c:v>
                </c:pt>
                <c:pt idx="52">
                  <c:v>15</c:v>
                </c:pt>
                <c:pt idx="53">
                  <c:v>15</c:v>
                </c:pt>
                <c:pt idx="54">
                  <c:v>15</c:v>
                </c:pt>
                <c:pt idx="55">
                  <c:v>15.5</c:v>
                </c:pt>
                <c:pt idx="56">
                  <c:v>15.5</c:v>
                </c:pt>
                <c:pt idx="57">
                  <c:v>15.5</c:v>
                </c:pt>
                <c:pt idx="58">
                  <c:v>17</c:v>
                </c:pt>
                <c:pt idx="59">
                  <c:v>17</c:v>
                </c:pt>
                <c:pt idx="60">
                  <c:v>17</c:v>
                </c:pt>
                <c:pt idx="61">
                  <c:v>17</c:v>
                </c:pt>
                <c:pt idx="62">
                  <c:v>17</c:v>
                </c:pt>
                <c:pt idx="63">
                  <c:v>17</c:v>
                </c:pt>
                <c:pt idx="64">
                  <c:v>17</c:v>
                </c:pt>
                <c:pt idx="65">
                  <c:v>17</c:v>
                </c:pt>
                <c:pt idx="66">
                  <c:v>18</c:v>
                </c:pt>
                <c:pt idx="67">
                  <c:v>18</c:v>
                </c:pt>
                <c:pt idx="68">
                  <c:v>18</c:v>
                </c:pt>
                <c:pt idx="69">
                  <c:v>18</c:v>
                </c:pt>
                <c:pt idx="70">
                  <c:v>18</c:v>
                </c:pt>
                <c:pt idx="71">
                  <c:v>18</c:v>
                </c:pt>
                <c:pt idx="72">
                  <c:v>18</c:v>
                </c:pt>
                <c:pt idx="73">
                  <c:v>19</c:v>
                </c:pt>
                <c:pt idx="74">
                  <c:v>19</c:v>
                </c:pt>
                <c:pt idx="75">
                  <c:v>19</c:v>
                </c:pt>
                <c:pt idx="76">
                  <c:v>19.5</c:v>
                </c:pt>
                <c:pt idx="77">
                  <c:v>19.5</c:v>
                </c:pt>
                <c:pt idx="78">
                  <c:v>19.5</c:v>
                </c:pt>
                <c:pt idx="79">
                  <c:v>19.5</c:v>
                </c:pt>
                <c:pt idx="80">
                  <c:v>19.5</c:v>
                </c:pt>
                <c:pt idx="81">
                  <c:v>20</c:v>
                </c:pt>
                <c:pt idx="82">
                  <c:v>20</c:v>
                </c:pt>
                <c:pt idx="83">
                  <c:v>20.5</c:v>
                </c:pt>
                <c:pt idx="84">
                  <c:v>20.5</c:v>
                </c:pt>
                <c:pt idx="85">
                  <c:v>20.5</c:v>
                </c:pt>
                <c:pt idx="86">
                  <c:v>21.5</c:v>
                </c:pt>
                <c:pt idx="87">
                  <c:v>22</c:v>
                </c:pt>
                <c:pt idx="88">
                  <c:v>22</c:v>
                </c:pt>
                <c:pt idx="89">
                  <c:v>22</c:v>
                </c:pt>
                <c:pt idx="90">
                  <c:v>22</c:v>
                </c:pt>
                <c:pt idx="91">
                  <c:v>22</c:v>
                </c:pt>
                <c:pt idx="92">
                  <c:v>22</c:v>
                </c:pt>
                <c:pt idx="93">
                  <c:v>22</c:v>
                </c:pt>
                <c:pt idx="94">
                  <c:v>22</c:v>
                </c:pt>
                <c:pt idx="95">
                  <c:v>22</c:v>
                </c:pt>
                <c:pt idx="96">
                  <c:v>22</c:v>
                </c:pt>
                <c:pt idx="97">
                  <c:v>22</c:v>
                </c:pt>
                <c:pt idx="98">
                  <c:v>22</c:v>
                </c:pt>
                <c:pt idx="99">
                  <c:v>22.5</c:v>
                </c:pt>
                <c:pt idx="100">
                  <c:v>22.5</c:v>
                </c:pt>
                <c:pt idx="101">
                  <c:v>22.5</c:v>
                </c:pt>
                <c:pt idx="102">
                  <c:v>22.5</c:v>
                </c:pt>
                <c:pt idx="103">
                  <c:v>22.5</c:v>
                </c:pt>
                <c:pt idx="104">
                  <c:v>22.5</c:v>
                </c:pt>
                <c:pt idx="105">
                  <c:v>23</c:v>
                </c:pt>
                <c:pt idx="106">
                  <c:v>24</c:v>
                </c:pt>
                <c:pt idx="107">
                  <c:v>24</c:v>
                </c:pt>
                <c:pt idx="108">
                  <c:v>24</c:v>
                </c:pt>
                <c:pt idx="109">
                  <c:v>24</c:v>
                </c:pt>
                <c:pt idx="110">
                  <c:v>24</c:v>
                </c:pt>
                <c:pt idx="111">
                  <c:v>24.5</c:v>
                </c:pt>
                <c:pt idx="112">
                  <c:v>24.5</c:v>
                </c:pt>
                <c:pt idx="113">
                  <c:v>24.5</c:v>
                </c:pt>
                <c:pt idx="114">
                  <c:v>24.5</c:v>
                </c:pt>
                <c:pt idx="115">
                  <c:v>24.5</c:v>
                </c:pt>
                <c:pt idx="116">
                  <c:v>24.5</c:v>
                </c:pt>
                <c:pt idx="117">
                  <c:v>24.5</c:v>
                </c:pt>
                <c:pt idx="118">
                  <c:v>25</c:v>
                </c:pt>
                <c:pt idx="119">
                  <c:v>25</c:v>
                </c:pt>
                <c:pt idx="120">
                  <c:v>25.5</c:v>
                </c:pt>
                <c:pt idx="121">
                  <c:v>25.5</c:v>
                </c:pt>
                <c:pt idx="122">
                  <c:v>25.5</c:v>
                </c:pt>
                <c:pt idx="123">
                  <c:v>25.5</c:v>
                </c:pt>
                <c:pt idx="124">
                  <c:v>26</c:v>
                </c:pt>
                <c:pt idx="125">
                  <c:v>26.5</c:v>
                </c:pt>
                <c:pt idx="126">
                  <c:v>27.5</c:v>
                </c:pt>
                <c:pt idx="127">
                  <c:v>27.5</c:v>
                </c:pt>
                <c:pt idx="128">
                  <c:v>27.5</c:v>
                </c:pt>
                <c:pt idx="129">
                  <c:v>27.5</c:v>
                </c:pt>
                <c:pt idx="130">
                  <c:v>27.5</c:v>
                </c:pt>
                <c:pt idx="131">
                  <c:v>27.5</c:v>
                </c:pt>
                <c:pt idx="132">
                  <c:v>27.5</c:v>
                </c:pt>
                <c:pt idx="133">
                  <c:v>27.5</c:v>
                </c:pt>
                <c:pt idx="134">
                  <c:v>27.5</c:v>
                </c:pt>
                <c:pt idx="135">
                  <c:v>27.5</c:v>
                </c:pt>
                <c:pt idx="136">
                  <c:v>28</c:v>
                </c:pt>
                <c:pt idx="137">
                  <c:v>28</c:v>
                </c:pt>
                <c:pt idx="138">
                  <c:v>28.5</c:v>
                </c:pt>
                <c:pt idx="139">
                  <c:v>29</c:v>
                </c:pt>
                <c:pt idx="140">
                  <c:v>29</c:v>
                </c:pt>
                <c:pt idx="141">
                  <c:v>29</c:v>
                </c:pt>
                <c:pt idx="142">
                  <c:v>30.5</c:v>
                </c:pt>
                <c:pt idx="143">
                  <c:v>30.5</c:v>
                </c:pt>
                <c:pt idx="144">
                  <c:v>31.5</c:v>
                </c:pt>
                <c:pt idx="145">
                  <c:v>31.5</c:v>
                </c:pt>
                <c:pt idx="146">
                  <c:v>32</c:v>
                </c:pt>
                <c:pt idx="147">
                  <c:v>32</c:v>
                </c:pt>
                <c:pt idx="148">
                  <c:v>32.5</c:v>
                </c:pt>
                <c:pt idx="149">
                  <c:v>32.5</c:v>
                </c:pt>
                <c:pt idx="150">
                  <c:v>33.5</c:v>
                </c:pt>
                <c:pt idx="151">
                  <c:v>33.5</c:v>
                </c:pt>
                <c:pt idx="152">
                  <c:v>33.5</c:v>
                </c:pt>
                <c:pt idx="153">
                  <c:v>33.5</c:v>
                </c:pt>
                <c:pt idx="154">
                  <c:v>33.5</c:v>
                </c:pt>
                <c:pt idx="155">
                  <c:v>33.5</c:v>
                </c:pt>
                <c:pt idx="156">
                  <c:v>33.5</c:v>
                </c:pt>
                <c:pt idx="157">
                  <c:v>33.5</c:v>
                </c:pt>
                <c:pt idx="158">
                  <c:v>33.5</c:v>
                </c:pt>
                <c:pt idx="159">
                  <c:v>33.5</c:v>
                </c:pt>
                <c:pt idx="160">
                  <c:v>33.5</c:v>
                </c:pt>
                <c:pt idx="161">
                  <c:v>34</c:v>
                </c:pt>
                <c:pt idx="162">
                  <c:v>34.5</c:v>
                </c:pt>
                <c:pt idx="163">
                  <c:v>34.5</c:v>
                </c:pt>
                <c:pt idx="164">
                  <c:v>36</c:v>
                </c:pt>
                <c:pt idx="165">
                  <c:v>37.5</c:v>
                </c:pt>
                <c:pt idx="166">
                  <c:v>38.5</c:v>
                </c:pt>
                <c:pt idx="167">
                  <c:v>38.5</c:v>
                </c:pt>
                <c:pt idx="168">
                  <c:v>38.5</c:v>
                </c:pt>
                <c:pt idx="169">
                  <c:v>38.5</c:v>
                </c:pt>
                <c:pt idx="170">
                  <c:v>38.5</c:v>
                </c:pt>
                <c:pt idx="171">
                  <c:v>38.5</c:v>
                </c:pt>
                <c:pt idx="172">
                  <c:v>38.5</c:v>
                </c:pt>
                <c:pt idx="173">
                  <c:v>38.5</c:v>
                </c:pt>
                <c:pt idx="174">
                  <c:v>38.5</c:v>
                </c:pt>
                <c:pt idx="175">
                  <c:v>38.5</c:v>
                </c:pt>
                <c:pt idx="176">
                  <c:v>38.5</c:v>
                </c:pt>
                <c:pt idx="177">
                  <c:v>38.5</c:v>
                </c:pt>
                <c:pt idx="178">
                  <c:v>38.5</c:v>
                </c:pt>
                <c:pt idx="179">
                  <c:v>38.5</c:v>
                </c:pt>
                <c:pt idx="180">
                  <c:v>38.5</c:v>
                </c:pt>
                <c:pt idx="181">
                  <c:v>39.5</c:v>
                </c:pt>
                <c:pt idx="182">
                  <c:v>39.5</c:v>
                </c:pt>
                <c:pt idx="183">
                  <c:v>39.5</c:v>
                </c:pt>
                <c:pt idx="184">
                  <c:v>39.5</c:v>
                </c:pt>
                <c:pt idx="185">
                  <c:v>39.5</c:v>
                </c:pt>
                <c:pt idx="186">
                  <c:v>39.5</c:v>
                </c:pt>
                <c:pt idx="187">
                  <c:v>39.5</c:v>
                </c:pt>
                <c:pt idx="188">
                  <c:v>39.5</c:v>
                </c:pt>
                <c:pt idx="189">
                  <c:v>39.5</c:v>
                </c:pt>
                <c:pt idx="190">
                  <c:v>39.5</c:v>
                </c:pt>
                <c:pt idx="191">
                  <c:v>40.5</c:v>
                </c:pt>
                <c:pt idx="192">
                  <c:v>40.5</c:v>
                </c:pt>
                <c:pt idx="193">
                  <c:v>41.5</c:v>
                </c:pt>
                <c:pt idx="194">
                  <c:v>41.5</c:v>
                </c:pt>
                <c:pt idx="195">
                  <c:v>41.5</c:v>
                </c:pt>
                <c:pt idx="196">
                  <c:v>41.5</c:v>
                </c:pt>
                <c:pt idx="197">
                  <c:v>41.5</c:v>
                </c:pt>
                <c:pt idx="198">
                  <c:v>41.5</c:v>
                </c:pt>
                <c:pt idx="199">
                  <c:v>41.5</c:v>
                </c:pt>
                <c:pt idx="200">
                  <c:v>41.5</c:v>
                </c:pt>
                <c:pt idx="201">
                  <c:v>41.5</c:v>
                </c:pt>
                <c:pt idx="202">
                  <c:v>41.5</c:v>
                </c:pt>
                <c:pt idx="203">
                  <c:v>41.5</c:v>
                </c:pt>
                <c:pt idx="204">
                  <c:v>41.5</c:v>
                </c:pt>
                <c:pt idx="205">
                  <c:v>41.5</c:v>
                </c:pt>
                <c:pt idx="206">
                  <c:v>41.5</c:v>
                </c:pt>
                <c:pt idx="207">
                  <c:v>41.5</c:v>
                </c:pt>
                <c:pt idx="208">
                  <c:v>41.5</c:v>
                </c:pt>
                <c:pt idx="209">
                  <c:v>41.5</c:v>
                </c:pt>
                <c:pt idx="210">
                  <c:v>41.5</c:v>
                </c:pt>
                <c:pt idx="211">
                  <c:v>41.5</c:v>
                </c:pt>
                <c:pt idx="212">
                  <c:v>41.5</c:v>
                </c:pt>
                <c:pt idx="213">
                  <c:v>41.5</c:v>
                </c:pt>
                <c:pt idx="214">
                  <c:v>41.5</c:v>
                </c:pt>
                <c:pt idx="215">
                  <c:v>41.5</c:v>
                </c:pt>
                <c:pt idx="216">
                  <c:v>41.5</c:v>
                </c:pt>
                <c:pt idx="217">
                  <c:v>41.5</c:v>
                </c:pt>
                <c:pt idx="218">
                  <c:v>41.5</c:v>
                </c:pt>
                <c:pt idx="219">
                  <c:v>41.5</c:v>
                </c:pt>
                <c:pt idx="220">
                  <c:v>41.5</c:v>
                </c:pt>
                <c:pt idx="221">
                  <c:v>41.5</c:v>
                </c:pt>
                <c:pt idx="222">
                  <c:v>41.5</c:v>
                </c:pt>
                <c:pt idx="223">
                  <c:v>41.5</c:v>
                </c:pt>
                <c:pt idx="224">
                  <c:v>41.5</c:v>
                </c:pt>
                <c:pt idx="225">
                  <c:v>41.5</c:v>
                </c:pt>
                <c:pt idx="226">
                  <c:v>41.5</c:v>
                </c:pt>
                <c:pt idx="227">
                  <c:v>41.5</c:v>
                </c:pt>
                <c:pt idx="228">
                  <c:v>41.5</c:v>
                </c:pt>
                <c:pt idx="229">
                  <c:v>41.5</c:v>
                </c:pt>
                <c:pt idx="230">
                  <c:v>41.5</c:v>
                </c:pt>
                <c:pt idx="231">
                  <c:v>41.5</c:v>
                </c:pt>
                <c:pt idx="232">
                  <c:v>41.5</c:v>
                </c:pt>
                <c:pt idx="233">
                  <c:v>41.5</c:v>
                </c:pt>
                <c:pt idx="234">
                  <c:v>41.5</c:v>
                </c:pt>
                <c:pt idx="235">
                  <c:v>41.5</c:v>
                </c:pt>
                <c:pt idx="236">
                  <c:v>41.5</c:v>
                </c:pt>
                <c:pt idx="237">
                  <c:v>41.5</c:v>
                </c:pt>
                <c:pt idx="238">
                  <c:v>41.5</c:v>
                </c:pt>
                <c:pt idx="239">
                  <c:v>41.5</c:v>
                </c:pt>
                <c:pt idx="240">
                  <c:v>41.5</c:v>
                </c:pt>
                <c:pt idx="241">
                  <c:v>41.5</c:v>
                </c:pt>
                <c:pt idx="242">
                  <c:v>41.5</c:v>
                </c:pt>
                <c:pt idx="243">
                  <c:v>41.5</c:v>
                </c:pt>
                <c:pt idx="244">
                  <c:v>41.5</c:v>
                </c:pt>
                <c:pt idx="245">
                  <c:v>41.5</c:v>
                </c:pt>
                <c:pt idx="246">
                  <c:v>41.5</c:v>
                </c:pt>
                <c:pt idx="247">
                  <c:v>41.5</c:v>
                </c:pt>
                <c:pt idx="248">
                  <c:v>41.5</c:v>
                </c:pt>
              </c:numCache>
            </c:numRef>
          </c:yVal>
          <c:smooth val="1"/>
          <c:extLst>
            <c:ext xmlns:c16="http://schemas.microsoft.com/office/drawing/2014/chart" uri="{C3380CC4-5D6E-409C-BE32-E72D297353CC}">
              <c16:uniqueId val="{00000008-BAFE-492F-B5F8-C88B6AEB992E}"/>
            </c:ext>
          </c:extLst>
        </c:ser>
        <c:ser>
          <c:idx val="3"/>
          <c:order val="5"/>
          <c:tx>
            <c:strRef>
              <c:f>'Grafische Darstellung'!$H$2</c:f>
              <c:strCache>
                <c:ptCount val="1"/>
                <c:pt idx="0">
                  <c:v>Johannes Paul III</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'Grafische Darstellung'!$B$3:$B$251</c:f>
              <c:numCache>
                <c:formatCode>m/d/yyyy</c:formatCode>
                <c:ptCount val="249"/>
                <c:pt idx="0">
                  <c:v>46023</c:v>
                </c:pt>
                <c:pt idx="1">
                  <c:v>46034</c:v>
                </c:pt>
                <c:pt idx="2">
                  <c:v>46035</c:v>
                </c:pt>
                <c:pt idx="3">
                  <c:v>46036</c:v>
                </c:pt>
                <c:pt idx="4">
                  <c:v>46037</c:v>
                </c:pt>
                <c:pt idx="5">
                  <c:v>46038</c:v>
                </c:pt>
                <c:pt idx="6">
                  <c:v>46041</c:v>
                </c:pt>
                <c:pt idx="7">
                  <c:v>46042</c:v>
                </c:pt>
                <c:pt idx="8">
                  <c:v>46043</c:v>
                </c:pt>
                <c:pt idx="9">
                  <c:v>46044</c:v>
                </c:pt>
                <c:pt idx="10">
                  <c:v>46045</c:v>
                </c:pt>
                <c:pt idx="11">
                  <c:v>46048</c:v>
                </c:pt>
                <c:pt idx="12">
                  <c:v>46049</c:v>
                </c:pt>
                <c:pt idx="13">
                  <c:v>46050</c:v>
                </c:pt>
                <c:pt idx="14">
                  <c:v>46051</c:v>
                </c:pt>
                <c:pt idx="15">
                  <c:v>46052</c:v>
                </c:pt>
                <c:pt idx="16">
                  <c:v>46055</c:v>
                </c:pt>
                <c:pt idx="17">
                  <c:v>46056</c:v>
                </c:pt>
                <c:pt idx="18">
                  <c:v>46057</c:v>
                </c:pt>
                <c:pt idx="19">
                  <c:v>46058</c:v>
                </c:pt>
                <c:pt idx="20">
                  <c:v>46059</c:v>
                </c:pt>
                <c:pt idx="21">
                  <c:v>46062</c:v>
                </c:pt>
                <c:pt idx="22">
                  <c:v>46063</c:v>
                </c:pt>
                <c:pt idx="23">
                  <c:v>46064</c:v>
                </c:pt>
                <c:pt idx="24">
                  <c:v>46065</c:v>
                </c:pt>
                <c:pt idx="25">
                  <c:v>46066</c:v>
                </c:pt>
                <c:pt idx="26">
                  <c:v>46069</c:v>
                </c:pt>
                <c:pt idx="27">
                  <c:v>46070</c:v>
                </c:pt>
                <c:pt idx="28">
                  <c:v>46071</c:v>
                </c:pt>
                <c:pt idx="29">
                  <c:v>46072</c:v>
                </c:pt>
                <c:pt idx="30">
                  <c:v>46073</c:v>
                </c:pt>
                <c:pt idx="31">
                  <c:v>46076</c:v>
                </c:pt>
                <c:pt idx="32">
                  <c:v>46077</c:v>
                </c:pt>
                <c:pt idx="33">
                  <c:v>46078</c:v>
                </c:pt>
                <c:pt idx="34">
                  <c:v>46079</c:v>
                </c:pt>
                <c:pt idx="35">
                  <c:v>46080</c:v>
                </c:pt>
                <c:pt idx="36">
                  <c:v>46083</c:v>
                </c:pt>
                <c:pt idx="37">
                  <c:v>46084</c:v>
                </c:pt>
                <c:pt idx="38">
                  <c:v>46085</c:v>
                </c:pt>
                <c:pt idx="39">
                  <c:v>46086</c:v>
                </c:pt>
                <c:pt idx="40">
                  <c:v>46087</c:v>
                </c:pt>
                <c:pt idx="41">
                  <c:v>46090</c:v>
                </c:pt>
                <c:pt idx="42">
                  <c:v>46091</c:v>
                </c:pt>
                <c:pt idx="43">
                  <c:v>46092</c:v>
                </c:pt>
                <c:pt idx="44">
                  <c:v>46093</c:v>
                </c:pt>
                <c:pt idx="45">
                  <c:v>46094</c:v>
                </c:pt>
                <c:pt idx="46">
                  <c:v>46097</c:v>
                </c:pt>
                <c:pt idx="47">
                  <c:v>46098</c:v>
                </c:pt>
                <c:pt idx="48">
                  <c:v>46099</c:v>
                </c:pt>
                <c:pt idx="49">
                  <c:v>46100</c:v>
                </c:pt>
                <c:pt idx="50">
                  <c:v>46101</c:v>
                </c:pt>
                <c:pt idx="51">
                  <c:v>46104</c:v>
                </c:pt>
                <c:pt idx="52">
                  <c:v>46105</c:v>
                </c:pt>
                <c:pt idx="53">
                  <c:v>46106</c:v>
                </c:pt>
                <c:pt idx="54">
                  <c:v>46107</c:v>
                </c:pt>
                <c:pt idx="55">
                  <c:v>46108</c:v>
                </c:pt>
                <c:pt idx="56">
                  <c:v>46111</c:v>
                </c:pt>
                <c:pt idx="57">
                  <c:v>46112</c:v>
                </c:pt>
                <c:pt idx="58">
                  <c:v>46113</c:v>
                </c:pt>
                <c:pt idx="59">
                  <c:v>46114</c:v>
                </c:pt>
                <c:pt idx="60">
                  <c:v>46115</c:v>
                </c:pt>
                <c:pt idx="61">
                  <c:v>46118</c:v>
                </c:pt>
                <c:pt idx="62">
                  <c:v>46119</c:v>
                </c:pt>
                <c:pt idx="63">
                  <c:v>46120</c:v>
                </c:pt>
                <c:pt idx="64">
                  <c:v>46121</c:v>
                </c:pt>
                <c:pt idx="65">
                  <c:v>46122</c:v>
                </c:pt>
                <c:pt idx="66">
                  <c:v>46125</c:v>
                </c:pt>
                <c:pt idx="67">
                  <c:v>46126</c:v>
                </c:pt>
                <c:pt idx="68">
                  <c:v>46127</c:v>
                </c:pt>
                <c:pt idx="69">
                  <c:v>46128</c:v>
                </c:pt>
                <c:pt idx="70">
                  <c:v>46129</c:v>
                </c:pt>
                <c:pt idx="71">
                  <c:v>46132</c:v>
                </c:pt>
                <c:pt idx="72">
                  <c:v>46133</c:v>
                </c:pt>
                <c:pt idx="73">
                  <c:v>46134</c:v>
                </c:pt>
                <c:pt idx="74">
                  <c:v>46135</c:v>
                </c:pt>
                <c:pt idx="75">
                  <c:v>46136</c:v>
                </c:pt>
                <c:pt idx="76">
                  <c:v>46139</c:v>
                </c:pt>
                <c:pt idx="77">
                  <c:v>46140</c:v>
                </c:pt>
                <c:pt idx="78">
                  <c:v>46141</c:v>
                </c:pt>
                <c:pt idx="79">
                  <c:v>46142</c:v>
                </c:pt>
                <c:pt idx="80">
                  <c:v>46143</c:v>
                </c:pt>
                <c:pt idx="81">
                  <c:v>46146</c:v>
                </c:pt>
                <c:pt idx="82">
                  <c:v>46147</c:v>
                </c:pt>
                <c:pt idx="83">
                  <c:v>46148</c:v>
                </c:pt>
                <c:pt idx="84">
                  <c:v>46149</c:v>
                </c:pt>
                <c:pt idx="85">
                  <c:v>46150</c:v>
                </c:pt>
                <c:pt idx="86">
                  <c:v>46153</c:v>
                </c:pt>
                <c:pt idx="87">
                  <c:v>46154</c:v>
                </c:pt>
                <c:pt idx="88">
                  <c:v>46155</c:v>
                </c:pt>
                <c:pt idx="89">
                  <c:v>46156</c:v>
                </c:pt>
                <c:pt idx="90">
                  <c:v>46157</c:v>
                </c:pt>
                <c:pt idx="91">
                  <c:v>46160</c:v>
                </c:pt>
                <c:pt idx="92">
                  <c:v>46161</c:v>
                </c:pt>
                <c:pt idx="93">
                  <c:v>46162</c:v>
                </c:pt>
                <c:pt idx="94">
                  <c:v>46163</c:v>
                </c:pt>
                <c:pt idx="95">
                  <c:v>46164</c:v>
                </c:pt>
                <c:pt idx="96">
                  <c:v>46167</c:v>
                </c:pt>
                <c:pt idx="97">
                  <c:v>46168</c:v>
                </c:pt>
                <c:pt idx="98">
                  <c:v>46169</c:v>
                </c:pt>
                <c:pt idx="99">
                  <c:v>46170</c:v>
                </c:pt>
                <c:pt idx="100">
                  <c:v>46171</c:v>
                </c:pt>
                <c:pt idx="101">
                  <c:v>46174</c:v>
                </c:pt>
                <c:pt idx="102">
                  <c:v>46175</c:v>
                </c:pt>
                <c:pt idx="103">
                  <c:v>46176</c:v>
                </c:pt>
                <c:pt idx="104">
                  <c:v>46177</c:v>
                </c:pt>
                <c:pt idx="105">
                  <c:v>46178</c:v>
                </c:pt>
                <c:pt idx="106">
                  <c:v>46181</c:v>
                </c:pt>
                <c:pt idx="107">
                  <c:v>46182</c:v>
                </c:pt>
                <c:pt idx="108">
                  <c:v>46183</c:v>
                </c:pt>
                <c:pt idx="109">
                  <c:v>46184</c:v>
                </c:pt>
                <c:pt idx="110">
                  <c:v>46185</c:v>
                </c:pt>
                <c:pt idx="111">
                  <c:v>46188</c:v>
                </c:pt>
                <c:pt idx="112">
                  <c:v>46189</c:v>
                </c:pt>
                <c:pt idx="113">
                  <c:v>46190</c:v>
                </c:pt>
                <c:pt idx="114">
                  <c:v>46191</c:v>
                </c:pt>
                <c:pt idx="115">
                  <c:v>46192</c:v>
                </c:pt>
                <c:pt idx="116">
                  <c:v>46195</c:v>
                </c:pt>
                <c:pt idx="117">
                  <c:v>46196</c:v>
                </c:pt>
                <c:pt idx="118">
                  <c:v>46197</c:v>
                </c:pt>
                <c:pt idx="119">
                  <c:v>46198</c:v>
                </c:pt>
                <c:pt idx="120">
                  <c:v>46199</c:v>
                </c:pt>
                <c:pt idx="121">
                  <c:v>46202</c:v>
                </c:pt>
                <c:pt idx="122">
                  <c:v>46203</c:v>
                </c:pt>
                <c:pt idx="123">
                  <c:v>46204</c:v>
                </c:pt>
                <c:pt idx="124">
                  <c:v>46205</c:v>
                </c:pt>
                <c:pt idx="125">
                  <c:v>46206</c:v>
                </c:pt>
                <c:pt idx="126">
                  <c:v>46209</c:v>
                </c:pt>
                <c:pt idx="127">
                  <c:v>46210</c:v>
                </c:pt>
                <c:pt idx="128">
                  <c:v>46211</c:v>
                </c:pt>
                <c:pt idx="129">
                  <c:v>46212</c:v>
                </c:pt>
                <c:pt idx="130">
                  <c:v>46213</c:v>
                </c:pt>
                <c:pt idx="131">
                  <c:v>46216</c:v>
                </c:pt>
                <c:pt idx="132">
                  <c:v>46217</c:v>
                </c:pt>
                <c:pt idx="133">
                  <c:v>46218</c:v>
                </c:pt>
                <c:pt idx="134">
                  <c:v>46219</c:v>
                </c:pt>
                <c:pt idx="135">
                  <c:v>46220</c:v>
                </c:pt>
                <c:pt idx="136">
                  <c:v>46223</c:v>
                </c:pt>
                <c:pt idx="137">
                  <c:v>46224</c:v>
                </c:pt>
                <c:pt idx="138">
                  <c:v>46225</c:v>
                </c:pt>
                <c:pt idx="139">
                  <c:v>46226</c:v>
                </c:pt>
                <c:pt idx="140">
                  <c:v>46227</c:v>
                </c:pt>
                <c:pt idx="141">
                  <c:v>46230</c:v>
                </c:pt>
                <c:pt idx="142">
                  <c:v>46231</c:v>
                </c:pt>
                <c:pt idx="143">
                  <c:v>46232</c:v>
                </c:pt>
                <c:pt idx="144">
                  <c:v>46233</c:v>
                </c:pt>
                <c:pt idx="145">
                  <c:v>46234</c:v>
                </c:pt>
                <c:pt idx="146">
                  <c:v>46237</c:v>
                </c:pt>
                <c:pt idx="147">
                  <c:v>46238</c:v>
                </c:pt>
                <c:pt idx="148">
                  <c:v>46239</c:v>
                </c:pt>
                <c:pt idx="149">
                  <c:v>46240</c:v>
                </c:pt>
                <c:pt idx="150">
                  <c:v>46241</c:v>
                </c:pt>
                <c:pt idx="151">
                  <c:v>46244</c:v>
                </c:pt>
                <c:pt idx="152">
                  <c:v>46245</c:v>
                </c:pt>
                <c:pt idx="153">
                  <c:v>46246</c:v>
                </c:pt>
                <c:pt idx="154">
                  <c:v>46247</c:v>
                </c:pt>
                <c:pt idx="155">
                  <c:v>46248</c:v>
                </c:pt>
                <c:pt idx="156">
                  <c:v>46251</c:v>
                </c:pt>
                <c:pt idx="157">
                  <c:v>46252</c:v>
                </c:pt>
                <c:pt idx="158">
                  <c:v>46253</c:v>
                </c:pt>
                <c:pt idx="159">
                  <c:v>46254</c:v>
                </c:pt>
                <c:pt idx="160">
                  <c:v>46255</c:v>
                </c:pt>
                <c:pt idx="161">
                  <c:v>46258</c:v>
                </c:pt>
                <c:pt idx="162">
                  <c:v>46259</c:v>
                </c:pt>
                <c:pt idx="163">
                  <c:v>46260</c:v>
                </c:pt>
                <c:pt idx="164">
                  <c:v>46261</c:v>
                </c:pt>
                <c:pt idx="165">
                  <c:v>46262</c:v>
                </c:pt>
                <c:pt idx="166">
                  <c:v>46265</c:v>
                </c:pt>
                <c:pt idx="167">
                  <c:v>46266</c:v>
                </c:pt>
                <c:pt idx="168">
                  <c:v>46267</c:v>
                </c:pt>
                <c:pt idx="169">
                  <c:v>46268</c:v>
                </c:pt>
                <c:pt idx="170">
                  <c:v>46269</c:v>
                </c:pt>
                <c:pt idx="171">
                  <c:v>46272</c:v>
                </c:pt>
                <c:pt idx="172">
                  <c:v>46273</c:v>
                </c:pt>
                <c:pt idx="173">
                  <c:v>46274</c:v>
                </c:pt>
                <c:pt idx="174">
                  <c:v>46275</c:v>
                </c:pt>
                <c:pt idx="175">
                  <c:v>46276</c:v>
                </c:pt>
                <c:pt idx="176">
                  <c:v>46279</c:v>
                </c:pt>
                <c:pt idx="177">
                  <c:v>46280</c:v>
                </c:pt>
                <c:pt idx="178">
                  <c:v>46281</c:v>
                </c:pt>
                <c:pt idx="179">
                  <c:v>46282</c:v>
                </c:pt>
                <c:pt idx="180">
                  <c:v>46283</c:v>
                </c:pt>
                <c:pt idx="181">
                  <c:v>46286</c:v>
                </c:pt>
                <c:pt idx="182">
                  <c:v>46287</c:v>
                </c:pt>
                <c:pt idx="183">
                  <c:v>46288</c:v>
                </c:pt>
                <c:pt idx="184">
                  <c:v>46289</c:v>
                </c:pt>
                <c:pt idx="185">
                  <c:v>46290</c:v>
                </c:pt>
                <c:pt idx="186">
                  <c:v>46293</c:v>
                </c:pt>
                <c:pt idx="187">
                  <c:v>46294</c:v>
                </c:pt>
                <c:pt idx="188">
                  <c:v>46295</c:v>
                </c:pt>
                <c:pt idx="189">
                  <c:v>46296</c:v>
                </c:pt>
                <c:pt idx="190">
                  <c:v>46297</c:v>
                </c:pt>
                <c:pt idx="191">
                  <c:v>46300</c:v>
                </c:pt>
                <c:pt idx="192">
                  <c:v>46301</c:v>
                </c:pt>
                <c:pt idx="193">
                  <c:v>46302</c:v>
                </c:pt>
                <c:pt idx="194">
                  <c:v>46303</c:v>
                </c:pt>
                <c:pt idx="195">
                  <c:v>46304</c:v>
                </c:pt>
                <c:pt idx="196">
                  <c:v>46307</c:v>
                </c:pt>
                <c:pt idx="197">
                  <c:v>46308</c:v>
                </c:pt>
                <c:pt idx="198">
                  <c:v>46309</c:v>
                </c:pt>
                <c:pt idx="199">
                  <c:v>46310</c:v>
                </c:pt>
                <c:pt idx="200">
                  <c:v>46311</c:v>
                </c:pt>
                <c:pt idx="201">
                  <c:v>46314</c:v>
                </c:pt>
                <c:pt idx="202">
                  <c:v>46315</c:v>
                </c:pt>
                <c:pt idx="203">
                  <c:v>46316</c:v>
                </c:pt>
                <c:pt idx="204">
                  <c:v>46317</c:v>
                </c:pt>
                <c:pt idx="205">
                  <c:v>46318</c:v>
                </c:pt>
                <c:pt idx="206">
                  <c:v>46321</c:v>
                </c:pt>
                <c:pt idx="207">
                  <c:v>46322</c:v>
                </c:pt>
                <c:pt idx="208">
                  <c:v>46323</c:v>
                </c:pt>
                <c:pt idx="209">
                  <c:v>46324</c:v>
                </c:pt>
                <c:pt idx="210">
                  <c:v>46325</c:v>
                </c:pt>
                <c:pt idx="211">
                  <c:v>46328</c:v>
                </c:pt>
                <c:pt idx="212">
                  <c:v>46329</c:v>
                </c:pt>
                <c:pt idx="213">
                  <c:v>46330</c:v>
                </c:pt>
                <c:pt idx="214">
                  <c:v>46331</c:v>
                </c:pt>
                <c:pt idx="215">
                  <c:v>46332</c:v>
                </c:pt>
                <c:pt idx="216">
                  <c:v>46335</c:v>
                </c:pt>
                <c:pt idx="217">
                  <c:v>46336</c:v>
                </c:pt>
                <c:pt idx="218">
                  <c:v>46337</c:v>
                </c:pt>
                <c:pt idx="219">
                  <c:v>46338</c:v>
                </c:pt>
                <c:pt idx="220">
                  <c:v>46339</c:v>
                </c:pt>
                <c:pt idx="221">
                  <c:v>46342</c:v>
                </c:pt>
                <c:pt idx="222">
                  <c:v>46343</c:v>
                </c:pt>
                <c:pt idx="223">
                  <c:v>46344</c:v>
                </c:pt>
                <c:pt idx="224">
                  <c:v>46345</c:v>
                </c:pt>
                <c:pt idx="225">
                  <c:v>46346</c:v>
                </c:pt>
                <c:pt idx="226">
                  <c:v>46349</c:v>
                </c:pt>
                <c:pt idx="227">
                  <c:v>46350</c:v>
                </c:pt>
                <c:pt idx="228">
                  <c:v>46351</c:v>
                </c:pt>
                <c:pt idx="229">
                  <c:v>46352</c:v>
                </c:pt>
                <c:pt idx="230">
                  <c:v>46353</c:v>
                </c:pt>
                <c:pt idx="231">
                  <c:v>46356</c:v>
                </c:pt>
                <c:pt idx="232">
                  <c:v>46357</c:v>
                </c:pt>
                <c:pt idx="233">
                  <c:v>46358</c:v>
                </c:pt>
                <c:pt idx="234">
                  <c:v>46359</c:v>
                </c:pt>
                <c:pt idx="235">
                  <c:v>46360</c:v>
                </c:pt>
                <c:pt idx="236">
                  <c:v>46363</c:v>
                </c:pt>
                <c:pt idx="237">
                  <c:v>46364</c:v>
                </c:pt>
                <c:pt idx="238">
                  <c:v>46365</c:v>
                </c:pt>
                <c:pt idx="239">
                  <c:v>46366</c:v>
                </c:pt>
                <c:pt idx="240">
                  <c:v>46367</c:v>
                </c:pt>
                <c:pt idx="241">
                  <c:v>46370</c:v>
                </c:pt>
                <c:pt idx="242">
                  <c:v>46371</c:v>
                </c:pt>
                <c:pt idx="243">
                  <c:v>46372</c:v>
                </c:pt>
                <c:pt idx="244">
                  <c:v>46373</c:v>
                </c:pt>
                <c:pt idx="245">
                  <c:v>46374</c:v>
                </c:pt>
                <c:pt idx="246">
                  <c:v>46377</c:v>
                </c:pt>
                <c:pt idx="247">
                  <c:v>46378</c:v>
                </c:pt>
                <c:pt idx="248">
                  <c:v>46379</c:v>
                </c:pt>
              </c:numCache>
            </c:numRef>
          </c:xVal>
          <c:yVal>
            <c:numRef>
              <c:f>'Grafische Darstellung'!$H$3:$H$251</c:f>
              <c:numCache>
                <c:formatCode>General</c:formatCode>
                <c:ptCount val="249"/>
                <c:pt idx="0">
                  <c:v>0</c:v>
                </c:pt>
                <c:pt idx="1">
                  <c:v>0</c:v>
                </c:pt>
                <c:pt idx="2">
                  <c:v>0</c:v>
                </c:pt>
                <c:pt idx="3">
                  <c:v>0</c:v>
                </c:pt>
                <c:pt idx="4">
                  <c:v>1</c:v>
                </c:pt>
                <c:pt idx="5">
                  <c:v>1</c:v>
                </c:pt>
                <c:pt idx="6">
                  <c:v>1</c:v>
                </c:pt>
                <c:pt idx="7">
                  <c:v>2</c:v>
                </c:pt>
                <c:pt idx="8">
                  <c:v>2</c:v>
                </c:pt>
                <c:pt idx="9">
                  <c:v>2</c:v>
                </c:pt>
                <c:pt idx="10">
                  <c:v>2</c:v>
                </c:pt>
                <c:pt idx="11">
                  <c:v>2</c:v>
                </c:pt>
                <c:pt idx="12">
                  <c:v>2</c:v>
                </c:pt>
                <c:pt idx="13">
                  <c:v>2</c:v>
                </c:pt>
                <c:pt idx="14">
                  <c:v>2</c:v>
                </c:pt>
                <c:pt idx="15">
                  <c:v>2.5</c:v>
                </c:pt>
                <c:pt idx="16">
                  <c:v>4</c:v>
                </c:pt>
                <c:pt idx="17">
                  <c:v>4</c:v>
                </c:pt>
                <c:pt idx="18">
                  <c:v>4</c:v>
                </c:pt>
                <c:pt idx="19">
                  <c:v>4.5</c:v>
                </c:pt>
                <c:pt idx="20">
                  <c:v>4.5</c:v>
                </c:pt>
                <c:pt idx="21">
                  <c:v>4.5</c:v>
                </c:pt>
                <c:pt idx="22">
                  <c:v>4.5</c:v>
                </c:pt>
                <c:pt idx="23">
                  <c:v>4.5</c:v>
                </c:pt>
                <c:pt idx="24">
                  <c:v>4.5</c:v>
                </c:pt>
                <c:pt idx="25">
                  <c:v>4.5</c:v>
                </c:pt>
                <c:pt idx="26">
                  <c:v>4.5</c:v>
                </c:pt>
                <c:pt idx="27">
                  <c:v>5</c:v>
                </c:pt>
                <c:pt idx="28">
                  <c:v>5.5</c:v>
                </c:pt>
                <c:pt idx="29">
                  <c:v>5.5</c:v>
                </c:pt>
                <c:pt idx="30">
                  <c:v>5.5</c:v>
                </c:pt>
                <c:pt idx="31">
                  <c:v>5.5</c:v>
                </c:pt>
                <c:pt idx="32">
                  <c:v>5.5</c:v>
                </c:pt>
                <c:pt idx="33">
                  <c:v>6.5</c:v>
                </c:pt>
                <c:pt idx="34">
                  <c:v>7</c:v>
                </c:pt>
                <c:pt idx="35">
                  <c:v>7</c:v>
                </c:pt>
                <c:pt idx="36">
                  <c:v>7</c:v>
                </c:pt>
                <c:pt idx="37">
                  <c:v>7</c:v>
                </c:pt>
                <c:pt idx="38">
                  <c:v>7.5</c:v>
                </c:pt>
                <c:pt idx="39">
                  <c:v>8.5</c:v>
                </c:pt>
                <c:pt idx="40">
                  <c:v>9</c:v>
                </c:pt>
                <c:pt idx="41">
                  <c:v>9.5</c:v>
                </c:pt>
                <c:pt idx="42">
                  <c:v>9.5</c:v>
                </c:pt>
                <c:pt idx="43">
                  <c:v>9.5</c:v>
                </c:pt>
                <c:pt idx="44">
                  <c:v>9.5</c:v>
                </c:pt>
                <c:pt idx="45">
                  <c:v>9.5</c:v>
                </c:pt>
                <c:pt idx="46">
                  <c:v>12.5</c:v>
                </c:pt>
                <c:pt idx="47">
                  <c:v>13.5</c:v>
                </c:pt>
                <c:pt idx="48">
                  <c:v>13.5</c:v>
                </c:pt>
                <c:pt idx="49">
                  <c:v>13.5</c:v>
                </c:pt>
                <c:pt idx="50">
                  <c:v>13.5</c:v>
                </c:pt>
                <c:pt idx="51">
                  <c:v>15</c:v>
                </c:pt>
                <c:pt idx="52">
                  <c:v>15</c:v>
                </c:pt>
                <c:pt idx="53">
                  <c:v>15</c:v>
                </c:pt>
                <c:pt idx="54">
                  <c:v>15</c:v>
                </c:pt>
                <c:pt idx="55">
                  <c:v>15.5</c:v>
                </c:pt>
                <c:pt idx="56">
                  <c:v>15.5</c:v>
                </c:pt>
                <c:pt idx="57">
                  <c:v>16.5</c:v>
                </c:pt>
                <c:pt idx="58">
                  <c:v>17.5</c:v>
                </c:pt>
                <c:pt idx="59">
                  <c:v>18</c:v>
                </c:pt>
                <c:pt idx="60">
                  <c:v>18</c:v>
                </c:pt>
                <c:pt idx="61">
                  <c:v>18</c:v>
                </c:pt>
                <c:pt idx="62">
                  <c:v>18</c:v>
                </c:pt>
                <c:pt idx="63">
                  <c:v>18</c:v>
                </c:pt>
                <c:pt idx="64">
                  <c:v>18</c:v>
                </c:pt>
                <c:pt idx="65">
                  <c:v>18</c:v>
                </c:pt>
                <c:pt idx="66">
                  <c:v>19.5</c:v>
                </c:pt>
                <c:pt idx="67">
                  <c:v>19.5</c:v>
                </c:pt>
                <c:pt idx="68">
                  <c:v>20</c:v>
                </c:pt>
                <c:pt idx="69">
                  <c:v>20</c:v>
                </c:pt>
                <c:pt idx="70">
                  <c:v>20.5</c:v>
                </c:pt>
                <c:pt idx="71">
                  <c:v>20.5</c:v>
                </c:pt>
                <c:pt idx="72">
                  <c:v>20.5</c:v>
                </c:pt>
                <c:pt idx="73">
                  <c:v>21.5</c:v>
                </c:pt>
                <c:pt idx="74">
                  <c:v>21.5</c:v>
                </c:pt>
                <c:pt idx="75">
                  <c:v>21.5</c:v>
                </c:pt>
                <c:pt idx="76">
                  <c:v>21.5</c:v>
                </c:pt>
                <c:pt idx="77">
                  <c:v>21.5</c:v>
                </c:pt>
                <c:pt idx="78">
                  <c:v>21.5</c:v>
                </c:pt>
                <c:pt idx="79">
                  <c:v>21.5</c:v>
                </c:pt>
                <c:pt idx="80">
                  <c:v>21.5</c:v>
                </c:pt>
                <c:pt idx="81">
                  <c:v>22</c:v>
                </c:pt>
                <c:pt idx="82">
                  <c:v>22</c:v>
                </c:pt>
                <c:pt idx="83">
                  <c:v>22.5</c:v>
                </c:pt>
                <c:pt idx="84">
                  <c:v>22.5</c:v>
                </c:pt>
                <c:pt idx="85">
                  <c:v>22.5</c:v>
                </c:pt>
                <c:pt idx="86">
                  <c:v>22.5</c:v>
                </c:pt>
                <c:pt idx="87">
                  <c:v>22.5</c:v>
                </c:pt>
                <c:pt idx="88">
                  <c:v>22.5</c:v>
                </c:pt>
                <c:pt idx="89">
                  <c:v>22.5</c:v>
                </c:pt>
                <c:pt idx="90">
                  <c:v>22.5</c:v>
                </c:pt>
                <c:pt idx="91">
                  <c:v>22.5</c:v>
                </c:pt>
                <c:pt idx="92">
                  <c:v>22.5</c:v>
                </c:pt>
                <c:pt idx="93">
                  <c:v>22.5</c:v>
                </c:pt>
                <c:pt idx="94">
                  <c:v>23</c:v>
                </c:pt>
                <c:pt idx="95">
                  <c:v>23</c:v>
                </c:pt>
                <c:pt idx="96">
                  <c:v>23</c:v>
                </c:pt>
                <c:pt idx="97">
                  <c:v>24</c:v>
                </c:pt>
                <c:pt idx="98">
                  <c:v>24</c:v>
                </c:pt>
                <c:pt idx="99">
                  <c:v>24</c:v>
                </c:pt>
                <c:pt idx="100">
                  <c:v>24</c:v>
                </c:pt>
                <c:pt idx="101">
                  <c:v>24</c:v>
                </c:pt>
                <c:pt idx="102">
                  <c:v>24</c:v>
                </c:pt>
                <c:pt idx="103">
                  <c:v>24</c:v>
                </c:pt>
                <c:pt idx="104">
                  <c:v>24</c:v>
                </c:pt>
                <c:pt idx="105">
                  <c:v>24</c:v>
                </c:pt>
                <c:pt idx="106">
                  <c:v>24.5</c:v>
                </c:pt>
                <c:pt idx="107">
                  <c:v>25</c:v>
                </c:pt>
                <c:pt idx="108">
                  <c:v>25</c:v>
                </c:pt>
                <c:pt idx="109">
                  <c:v>26</c:v>
                </c:pt>
                <c:pt idx="110">
                  <c:v>26.5</c:v>
                </c:pt>
                <c:pt idx="111">
                  <c:v>27</c:v>
                </c:pt>
                <c:pt idx="112">
                  <c:v>27</c:v>
                </c:pt>
                <c:pt idx="113">
                  <c:v>27</c:v>
                </c:pt>
                <c:pt idx="114">
                  <c:v>27</c:v>
                </c:pt>
                <c:pt idx="115">
                  <c:v>27</c:v>
                </c:pt>
                <c:pt idx="116">
                  <c:v>27</c:v>
                </c:pt>
                <c:pt idx="117">
                  <c:v>27.5</c:v>
                </c:pt>
                <c:pt idx="118">
                  <c:v>27.5</c:v>
                </c:pt>
                <c:pt idx="119">
                  <c:v>27.5</c:v>
                </c:pt>
                <c:pt idx="120">
                  <c:v>27.5</c:v>
                </c:pt>
                <c:pt idx="121">
                  <c:v>28.5</c:v>
                </c:pt>
                <c:pt idx="122">
                  <c:v>28.5</c:v>
                </c:pt>
                <c:pt idx="123">
                  <c:v>28.5</c:v>
                </c:pt>
                <c:pt idx="124">
                  <c:v>28.5</c:v>
                </c:pt>
                <c:pt idx="125">
                  <c:v>29</c:v>
                </c:pt>
                <c:pt idx="126">
                  <c:v>29</c:v>
                </c:pt>
                <c:pt idx="127">
                  <c:v>29</c:v>
                </c:pt>
                <c:pt idx="128">
                  <c:v>29</c:v>
                </c:pt>
                <c:pt idx="129">
                  <c:v>29</c:v>
                </c:pt>
                <c:pt idx="130">
                  <c:v>29</c:v>
                </c:pt>
                <c:pt idx="131">
                  <c:v>29</c:v>
                </c:pt>
                <c:pt idx="132">
                  <c:v>29</c:v>
                </c:pt>
                <c:pt idx="133">
                  <c:v>29.5</c:v>
                </c:pt>
                <c:pt idx="134">
                  <c:v>30</c:v>
                </c:pt>
                <c:pt idx="135">
                  <c:v>30</c:v>
                </c:pt>
                <c:pt idx="136">
                  <c:v>30</c:v>
                </c:pt>
                <c:pt idx="137">
                  <c:v>30</c:v>
                </c:pt>
                <c:pt idx="138">
                  <c:v>30</c:v>
                </c:pt>
                <c:pt idx="139">
                  <c:v>30</c:v>
                </c:pt>
                <c:pt idx="140">
                  <c:v>30</c:v>
                </c:pt>
                <c:pt idx="141">
                  <c:v>30</c:v>
                </c:pt>
                <c:pt idx="142">
                  <c:v>30</c:v>
                </c:pt>
                <c:pt idx="143">
                  <c:v>30</c:v>
                </c:pt>
                <c:pt idx="144">
                  <c:v>30</c:v>
                </c:pt>
                <c:pt idx="145">
                  <c:v>30</c:v>
                </c:pt>
                <c:pt idx="146">
                  <c:v>30</c:v>
                </c:pt>
                <c:pt idx="147">
                  <c:v>30.5</c:v>
                </c:pt>
                <c:pt idx="148">
                  <c:v>30.5</c:v>
                </c:pt>
                <c:pt idx="149">
                  <c:v>30.5</c:v>
                </c:pt>
                <c:pt idx="150">
                  <c:v>30.5</c:v>
                </c:pt>
                <c:pt idx="151">
                  <c:v>30.5</c:v>
                </c:pt>
                <c:pt idx="152">
                  <c:v>30.5</c:v>
                </c:pt>
                <c:pt idx="153">
                  <c:v>30.5</c:v>
                </c:pt>
                <c:pt idx="154">
                  <c:v>30.5</c:v>
                </c:pt>
                <c:pt idx="155">
                  <c:v>30.5</c:v>
                </c:pt>
                <c:pt idx="156">
                  <c:v>30.5</c:v>
                </c:pt>
                <c:pt idx="157">
                  <c:v>30.5</c:v>
                </c:pt>
                <c:pt idx="158">
                  <c:v>30.5</c:v>
                </c:pt>
                <c:pt idx="159">
                  <c:v>30.5</c:v>
                </c:pt>
                <c:pt idx="160">
                  <c:v>30.5</c:v>
                </c:pt>
                <c:pt idx="161">
                  <c:v>31</c:v>
                </c:pt>
                <c:pt idx="162">
                  <c:v>31.5</c:v>
                </c:pt>
                <c:pt idx="163">
                  <c:v>32</c:v>
                </c:pt>
                <c:pt idx="164">
                  <c:v>32</c:v>
                </c:pt>
                <c:pt idx="165">
                  <c:v>32.5</c:v>
                </c:pt>
                <c:pt idx="166">
                  <c:v>34</c:v>
                </c:pt>
                <c:pt idx="167">
                  <c:v>35.5</c:v>
                </c:pt>
                <c:pt idx="168">
                  <c:v>35.5</c:v>
                </c:pt>
                <c:pt idx="169">
                  <c:v>35.5</c:v>
                </c:pt>
                <c:pt idx="170">
                  <c:v>35.5</c:v>
                </c:pt>
                <c:pt idx="171">
                  <c:v>35.5</c:v>
                </c:pt>
                <c:pt idx="172">
                  <c:v>38.5</c:v>
                </c:pt>
                <c:pt idx="173">
                  <c:v>38.5</c:v>
                </c:pt>
                <c:pt idx="174">
                  <c:v>38.5</c:v>
                </c:pt>
                <c:pt idx="175">
                  <c:v>38.5</c:v>
                </c:pt>
                <c:pt idx="176">
                  <c:v>38.5</c:v>
                </c:pt>
                <c:pt idx="177">
                  <c:v>38.5</c:v>
                </c:pt>
                <c:pt idx="178">
                  <c:v>39</c:v>
                </c:pt>
                <c:pt idx="179">
                  <c:v>39</c:v>
                </c:pt>
                <c:pt idx="180">
                  <c:v>39</c:v>
                </c:pt>
                <c:pt idx="181">
                  <c:v>39.5</c:v>
                </c:pt>
                <c:pt idx="182">
                  <c:v>39.5</c:v>
                </c:pt>
                <c:pt idx="183">
                  <c:v>39.5</c:v>
                </c:pt>
                <c:pt idx="184">
                  <c:v>40</c:v>
                </c:pt>
                <c:pt idx="185">
                  <c:v>40</c:v>
                </c:pt>
                <c:pt idx="186">
                  <c:v>40</c:v>
                </c:pt>
                <c:pt idx="187">
                  <c:v>40</c:v>
                </c:pt>
                <c:pt idx="188">
                  <c:v>40</c:v>
                </c:pt>
                <c:pt idx="189">
                  <c:v>40</c:v>
                </c:pt>
                <c:pt idx="190">
                  <c:v>40</c:v>
                </c:pt>
                <c:pt idx="191">
                  <c:v>41</c:v>
                </c:pt>
                <c:pt idx="192">
                  <c:v>41</c:v>
                </c:pt>
                <c:pt idx="193">
                  <c:v>41</c:v>
                </c:pt>
                <c:pt idx="194">
                  <c:v>41</c:v>
                </c:pt>
                <c:pt idx="195">
                  <c:v>41</c:v>
                </c:pt>
                <c:pt idx="196">
                  <c:v>41</c:v>
                </c:pt>
                <c:pt idx="197">
                  <c:v>41</c:v>
                </c:pt>
                <c:pt idx="198">
                  <c:v>41</c:v>
                </c:pt>
                <c:pt idx="199">
                  <c:v>41</c:v>
                </c:pt>
                <c:pt idx="200">
                  <c:v>41</c:v>
                </c:pt>
                <c:pt idx="201">
                  <c:v>41</c:v>
                </c:pt>
                <c:pt idx="202">
                  <c:v>41</c:v>
                </c:pt>
                <c:pt idx="203">
                  <c:v>41</c:v>
                </c:pt>
                <c:pt idx="204">
                  <c:v>41</c:v>
                </c:pt>
                <c:pt idx="205">
                  <c:v>41</c:v>
                </c:pt>
                <c:pt idx="206">
                  <c:v>41</c:v>
                </c:pt>
                <c:pt idx="207">
                  <c:v>41</c:v>
                </c:pt>
                <c:pt idx="208">
                  <c:v>41</c:v>
                </c:pt>
                <c:pt idx="209">
                  <c:v>41</c:v>
                </c:pt>
                <c:pt idx="210">
                  <c:v>41</c:v>
                </c:pt>
                <c:pt idx="211">
                  <c:v>41</c:v>
                </c:pt>
                <c:pt idx="212">
                  <c:v>41</c:v>
                </c:pt>
                <c:pt idx="213">
                  <c:v>41</c:v>
                </c:pt>
                <c:pt idx="214">
                  <c:v>41</c:v>
                </c:pt>
                <c:pt idx="215">
                  <c:v>41</c:v>
                </c:pt>
                <c:pt idx="216">
                  <c:v>41</c:v>
                </c:pt>
                <c:pt idx="217">
                  <c:v>41</c:v>
                </c:pt>
                <c:pt idx="218">
                  <c:v>41</c:v>
                </c:pt>
                <c:pt idx="219">
                  <c:v>41</c:v>
                </c:pt>
                <c:pt idx="220">
                  <c:v>41</c:v>
                </c:pt>
                <c:pt idx="221">
                  <c:v>41</c:v>
                </c:pt>
                <c:pt idx="222">
                  <c:v>41</c:v>
                </c:pt>
                <c:pt idx="223">
                  <c:v>41</c:v>
                </c:pt>
                <c:pt idx="224">
                  <c:v>41</c:v>
                </c:pt>
                <c:pt idx="225">
                  <c:v>41</c:v>
                </c:pt>
                <c:pt idx="226">
                  <c:v>41</c:v>
                </c:pt>
                <c:pt idx="227">
                  <c:v>41</c:v>
                </c:pt>
                <c:pt idx="228">
                  <c:v>41</c:v>
                </c:pt>
                <c:pt idx="229">
                  <c:v>41</c:v>
                </c:pt>
                <c:pt idx="230">
                  <c:v>41</c:v>
                </c:pt>
                <c:pt idx="231">
                  <c:v>41</c:v>
                </c:pt>
                <c:pt idx="232">
                  <c:v>41</c:v>
                </c:pt>
                <c:pt idx="233">
                  <c:v>41</c:v>
                </c:pt>
                <c:pt idx="234">
                  <c:v>41</c:v>
                </c:pt>
                <c:pt idx="235">
                  <c:v>41</c:v>
                </c:pt>
                <c:pt idx="236">
                  <c:v>41</c:v>
                </c:pt>
                <c:pt idx="237">
                  <c:v>41</c:v>
                </c:pt>
                <c:pt idx="238">
                  <c:v>41</c:v>
                </c:pt>
                <c:pt idx="239">
                  <c:v>41</c:v>
                </c:pt>
                <c:pt idx="240">
                  <c:v>41</c:v>
                </c:pt>
                <c:pt idx="241">
                  <c:v>41</c:v>
                </c:pt>
                <c:pt idx="242">
                  <c:v>41</c:v>
                </c:pt>
                <c:pt idx="243">
                  <c:v>41</c:v>
                </c:pt>
                <c:pt idx="244">
                  <c:v>41</c:v>
                </c:pt>
                <c:pt idx="245">
                  <c:v>41</c:v>
                </c:pt>
                <c:pt idx="246">
                  <c:v>41</c:v>
                </c:pt>
                <c:pt idx="247">
                  <c:v>41</c:v>
                </c:pt>
                <c:pt idx="248">
                  <c:v>41</c:v>
                </c:pt>
              </c:numCache>
            </c:numRef>
          </c:yVal>
          <c:smooth val="1"/>
          <c:extLst>
            <c:ext xmlns:c16="http://schemas.microsoft.com/office/drawing/2014/chart" uri="{C3380CC4-5D6E-409C-BE32-E72D297353CC}">
              <c16:uniqueId val="{00000000-CD6F-44D4-BC4D-96EDFADC8427}"/>
            </c:ext>
          </c:extLst>
        </c:ser>
        <c:dLbls>
          <c:showLegendKey val="0"/>
          <c:showVal val="0"/>
          <c:showCatName val="0"/>
          <c:showSerName val="0"/>
          <c:showPercent val="0"/>
          <c:showBubbleSize val="0"/>
        </c:dLbls>
        <c:axId val="1837452095"/>
        <c:axId val="1837470815"/>
      </c:scatterChart>
      <c:valAx>
        <c:axId val="1837452095"/>
        <c:scaling>
          <c:orientation val="minMax"/>
          <c:max val="46387"/>
          <c:min val="46023"/>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37470815"/>
        <c:crosses val="autoZero"/>
        <c:crossBetween val="midCat"/>
        <c:majorUnit val="30"/>
      </c:valAx>
      <c:valAx>
        <c:axId val="1837470815"/>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37452095"/>
        <c:crosses val="autoZero"/>
        <c:crossBetween val="midCat"/>
        <c:minorUnit val="0.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485775</xdr:colOff>
      <xdr:row>42</xdr:row>
      <xdr:rowOff>200024</xdr:rowOff>
    </xdr:to>
    <xdr:graphicFrame macro="">
      <xdr:nvGraphicFramePr>
        <xdr:cNvPr id="5" name="Diagramm 4">
          <a:extLst>
            <a:ext uri="{FF2B5EF4-FFF2-40B4-BE49-F238E27FC236}">
              <a16:creationId xmlns:a16="http://schemas.microsoft.com/office/drawing/2014/main" id="{945A3B39-7918-4D02-9F31-302921541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23813</xdr:colOff>
      <xdr:row>1</xdr:row>
      <xdr:rowOff>23811</xdr:rowOff>
    </xdr:from>
    <xdr:to>
      <xdr:col>18</xdr:col>
      <xdr:colOff>1107282</xdr:colOff>
      <xdr:row>6</xdr:row>
      <xdr:rowOff>297656</xdr:rowOff>
    </xdr:to>
    <xdr:pic>
      <xdr:nvPicPr>
        <xdr:cNvPr id="3" name="Grafik 2">
          <a:extLst>
            <a:ext uri="{FF2B5EF4-FFF2-40B4-BE49-F238E27FC236}">
              <a16:creationId xmlns:a16="http://schemas.microsoft.com/office/drawing/2014/main" id="{4D3FB131-250B-7DAA-5ACA-C3E1ABD295A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28407" y="440530"/>
          <a:ext cx="3321844" cy="1797845"/>
        </a:xfrm>
        <a:prstGeom prst="rect">
          <a:avLst/>
        </a:prstGeom>
      </xdr:spPr>
    </xdr:pic>
    <xdr:clientData/>
  </xdr:twoCellAnchor>
</xdr:wsDr>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 dockstate="right" visibility="0" width="350"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1B71C28-3410-4AC8-B228-F9B3A15B6B5F}">
  <we:reference id="wa200009404" version="1.0.0.8" store="en-US" storeType="OMEX"/>
  <we:alternateReferences>
    <we:reference id="WA200009404" version="1.0.0.8" store="" storeType="OMEX"/>
  </we:alternateReferences>
  <we:properties>
    <we:property name="claude.fileId" value="&quot;e29dfe7d-16fb-4a06-9394-f02c75a93b0b&quot;"/>
  </we:properties>
  <we:bindings/>
  <we:snapshot xmlns:r="http://schemas.openxmlformats.org/officeDocument/2006/relationships"/>
</we:webextension>
</file>

<file path=xl/webextensions/webextension2.xml><?xml version="1.0" encoding="utf-8"?>
<we:webextension xmlns:we="http://schemas.microsoft.com/office/webextensions/webextension/2010/11" id="{1EC3FC2A-DB20-498C-8622-967396EF8C73}">
  <we:reference id="wa200010725" version="1.0.0.1" store="it-IT" storeType="OMEX"/>
  <we:alternateReferences>
    <we:reference id="WA200010725" version="1.0.0.1" store="" storeType="OMEX"/>
  </we:alternateReferences>
  <we:properties>
    <we:property name="claude.fileId" value="&quot;ba6c0328-352b-49b8-a9a0-b32243ad1ff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E369-DEE7-4FC2-8398-3B07FC42D828}">
  <dimension ref="B2:M252"/>
  <sheetViews>
    <sheetView workbookViewId="0">
      <selection activeCell="F42" sqref="F42"/>
    </sheetView>
  </sheetViews>
  <sheetFormatPr defaultColWidth="11.42578125" defaultRowHeight="15" x14ac:dyDescent="0.25"/>
  <cols>
    <col min="2" max="2" width="29.85546875" style="72" bestFit="1" customWidth="1"/>
    <col min="3" max="4" width="0" hidden="1" customWidth="1"/>
  </cols>
  <sheetData>
    <row r="2" spans="2:8" x14ac:dyDescent="0.25">
      <c r="B2" s="72" t="s">
        <v>181</v>
      </c>
      <c r="E2" t="s">
        <v>4</v>
      </c>
      <c r="F2" t="s">
        <v>180</v>
      </c>
      <c r="G2" t="s">
        <v>6</v>
      </c>
      <c r="H2" t="s">
        <v>200</v>
      </c>
    </row>
    <row r="3" spans="2:8" ht="15.75" thickBot="1" x14ac:dyDescent="0.3">
      <c r="B3" s="72">
        <v>46023</v>
      </c>
      <c r="E3">
        <v>0</v>
      </c>
      <c r="F3">
        <v>0</v>
      </c>
      <c r="G3">
        <v>0</v>
      </c>
      <c r="H3">
        <v>0</v>
      </c>
    </row>
    <row r="4" spans="2:8" ht="15.75" thickTop="1" x14ac:dyDescent="0.25">
      <c r="B4" s="73">
        <v>46034</v>
      </c>
      <c r="C4">
        <f>'2026'!H9</f>
        <v>0.5</v>
      </c>
      <c r="D4">
        <f>IF(ISNUMBER(C4),C4,0)</f>
        <v>0.5</v>
      </c>
      <c r="E4">
        <f>E3+'2026'!H9</f>
        <v>0.5</v>
      </c>
      <c r="F4">
        <f>F3+'2026'!L9</f>
        <v>0.5</v>
      </c>
      <c r="G4">
        <f>G3+'2026'!P9</f>
        <v>0</v>
      </c>
      <c r="H4">
        <f>H3+'2026'!T9</f>
        <v>0</v>
      </c>
    </row>
    <row r="5" spans="2:8" x14ac:dyDescent="0.25">
      <c r="B5" s="74">
        <v>46035</v>
      </c>
      <c r="C5" t="e">
        <f>'2026'!#REF!</f>
        <v>#REF!</v>
      </c>
      <c r="D5">
        <f t="shared" ref="D5:D68" si="0">IF(ISNUMBER(C5),C5,0)</f>
        <v>0</v>
      </c>
      <c r="E5">
        <f>E4+'2026'!H10</f>
        <v>0.5</v>
      </c>
      <c r="F5">
        <f>F4+'2026'!L10</f>
        <v>0.5</v>
      </c>
      <c r="G5">
        <f>G4+'2026'!P10</f>
        <v>0</v>
      </c>
      <c r="H5">
        <f>H4+'2026'!T10</f>
        <v>0</v>
      </c>
    </row>
    <row r="6" spans="2:8" x14ac:dyDescent="0.25">
      <c r="B6" s="74">
        <v>46036</v>
      </c>
      <c r="C6" t="e">
        <f>'2026'!#REF!</f>
        <v>#REF!</v>
      </c>
      <c r="D6">
        <f t="shared" si="0"/>
        <v>0</v>
      </c>
      <c r="E6">
        <f>E5+'2026'!H11</f>
        <v>1.5</v>
      </c>
      <c r="F6">
        <f>F5+'2026'!L11</f>
        <v>0.5</v>
      </c>
      <c r="G6">
        <f>G5+'2026'!P11</f>
        <v>0</v>
      </c>
      <c r="H6">
        <f>H5+'2026'!T11</f>
        <v>0</v>
      </c>
    </row>
    <row r="7" spans="2:8" x14ac:dyDescent="0.25">
      <c r="B7" s="74">
        <v>46037</v>
      </c>
      <c r="C7" t="e">
        <f>'2026'!#REF!</f>
        <v>#REF!</v>
      </c>
      <c r="D7">
        <f t="shared" si="0"/>
        <v>0</v>
      </c>
      <c r="E7">
        <f>E6+'2026'!H12</f>
        <v>1.5</v>
      </c>
      <c r="F7">
        <f>F6+'2026'!L12</f>
        <v>0.5</v>
      </c>
      <c r="G7">
        <f>G6+'2026'!P12</f>
        <v>0.5</v>
      </c>
      <c r="H7">
        <f>H6+'2026'!T12</f>
        <v>1</v>
      </c>
    </row>
    <row r="8" spans="2:8" ht="15.75" thickBot="1" x14ac:dyDescent="0.3">
      <c r="B8" s="75">
        <v>46038</v>
      </c>
      <c r="C8" t="e">
        <f>'2026'!#REF!</f>
        <v>#REF!</v>
      </c>
      <c r="D8">
        <f t="shared" si="0"/>
        <v>0</v>
      </c>
      <c r="E8">
        <f>E7+'2026'!H13</f>
        <v>3</v>
      </c>
      <c r="F8">
        <f>F7+'2026'!L13</f>
        <v>0.5</v>
      </c>
      <c r="G8">
        <f>G7+'2026'!P13</f>
        <v>0.5</v>
      </c>
      <c r="H8">
        <f>H7+'2026'!T13</f>
        <v>1</v>
      </c>
    </row>
    <row r="9" spans="2:8" ht="15.75" thickTop="1" x14ac:dyDescent="0.25">
      <c r="B9" s="73">
        <v>46041</v>
      </c>
      <c r="C9" t="e">
        <f>'2026'!#REF!</f>
        <v>#REF!</v>
      </c>
      <c r="D9">
        <f t="shared" si="0"/>
        <v>0</v>
      </c>
      <c r="E9">
        <f>E8+'2026'!H14</f>
        <v>3.5</v>
      </c>
      <c r="F9">
        <f>F8+'2026'!L14</f>
        <v>1.5</v>
      </c>
      <c r="G9">
        <f>G8+'2026'!P14</f>
        <v>1.5</v>
      </c>
      <c r="H9">
        <f>H8+'2026'!T14</f>
        <v>1</v>
      </c>
    </row>
    <row r="10" spans="2:8" x14ac:dyDescent="0.25">
      <c r="B10" s="74">
        <v>46042</v>
      </c>
      <c r="C10" t="e">
        <f>'2026'!#REF!</f>
        <v>#REF!</v>
      </c>
      <c r="D10">
        <f t="shared" si="0"/>
        <v>0</v>
      </c>
      <c r="E10">
        <f>E9+'2026'!H15</f>
        <v>4.5</v>
      </c>
      <c r="F10">
        <f>F9+'2026'!L15</f>
        <v>2.5</v>
      </c>
      <c r="G10">
        <f>G9+'2026'!P15</f>
        <v>1.5</v>
      </c>
      <c r="H10">
        <f>H9+'2026'!T15</f>
        <v>2</v>
      </c>
    </row>
    <row r="11" spans="2:8" x14ac:dyDescent="0.25">
      <c r="B11" s="74">
        <v>46043</v>
      </c>
      <c r="C11" t="e">
        <f>'2026'!#REF!</f>
        <v>#REF!</v>
      </c>
      <c r="D11">
        <f t="shared" si="0"/>
        <v>0</v>
      </c>
      <c r="E11">
        <f>E10+'2026'!H16</f>
        <v>4.5</v>
      </c>
      <c r="F11">
        <f>F10+'2026'!L16</f>
        <v>2.5</v>
      </c>
      <c r="G11">
        <f>G10+'2026'!P16</f>
        <v>2</v>
      </c>
      <c r="H11">
        <f>H10+'2026'!T16</f>
        <v>2</v>
      </c>
    </row>
    <row r="12" spans="2:8" x14ac:dyDescent="0.25">
      <c r="B12" s="74">
        <v>46044</v>
      </c>
      <c r="C12" t="e">
        <f>'2026'!#REF!</f>
        <v>#REF!</v>
      </c>
      <c r="D12">
        <f t="shared" si="0"/>
        <v>0</v>
      </c>
      <c r="E12">
        <f>E11+'2026'!H17</f>
        <v>5.5</v>
      </c>
      <c r="F12">
        <f>F11+'2026'!L17</f>
        <v>3.5</v>
      </c>
      <c r="G12">
        <f>G11+'2026'!P17</f>
        <v>2</v>
      </c>
      <c r="H12">
        <f>H11+'2026'!T17</f>
        <v>2</v>
      </c>
    </row>
    <row r="13" spans="2:8" ht="15.75" thickBot="1" x14ac:dyDescent="0.3">
      <c r="B13" s="75">
        <v>46045</v>
      </c>
      <c r="C13" t="e">
        <f>'2026'!#REF!</f>
        <v>#REF!</v>
      </c>
      <c r="D13">
        <f t="shared" si="0"/>
        <v>0</v>
      </c>
      <c r="E13">
        <f>E12+'2026'!H18</f>
        <v>5.5</v>
      </c>
      <c r="F13">
        <f>F12+'2026'!L18</f>
        <v>3.5</v>
      </c>
      <c r="G13">
        <f>G12+'2026'!P18</f>
        <v>2</v>
      </c>
      <c r="H13">
        <f>H12+'2026'!T18</f>
        <v>2</v>
      </c>
    </row>
    <row r="14" spans="2:8" ht="15.75" thickTop="1" x14ac:dyDescent="0.25">
      <c r="B14" s="74">
        <v>46048</v>
      </c>
      <c r="C14" t="e">
        <f>'2026'!#REF!</f>
        <v>#REF!</v>
      </c>
      <c r="D14">
        <f t="shared" si="0"/>
        <v>0</v>
      </c>
      <c r="E14">
        <f>E13+'2026'!H19</f>
        <v>5.5</v>
      </c>
      <c r="F14">
        <f>F13+'2026'!L19</f>
        <v>3.5</v>
      </c>
      <c r="G14">
        <f>G13+'2026'!P19</f>
        <v>3.5</v>
      </c>
      <c r="H14">
        <f>H13+'2026'!T19</f>
        <v>2</v>
      </c>
    </row>
    <row r="15" spans="2:8" x14ac:dyDescent="0.25">
      <c r="B15" s="74">
        <v>46049</v>
      </c>
      <c r="C15" t="e">
        <f>'2026'!#REF!</f>
        <v>#REF!</v>
      </c>
      <c r="D15">
        <f t="shared" si="0"/>
        <v>0</v>
      </c>
      <c r="E15">
        <f>E14+'2026'!H20</f>
        <v>5.5</v>
      </c>
      <c r="F15">
        <f>F14+'2026'!L20</f>
        <v>3.5</v>
      </c>
      <c r="G15">
        <f>G14+'2026'!P20</f>
        <v>3.5</v>
      </c>
      <c r="H15">
        <f>H14+'2026'!T20</f>
        <v>2</v>
      </c>
    </row>
    <row r="16" spans="2:8" x14ac:dyDescent="0.25">
      <c r="B16" s="74">
        <v>46050</v>
      </c>
      <c r="C16" t="e">
        <f>'2026'!#REF!</f>
        <v>#REF!</v>
      </c>
      <c r="D16">
        <f t="shared" si="0"/>
        <v>0</v>
      </c>
      <c r="E16">
        <f>E15+'2026'!H21</f>
        <v>5.5</v>
      </c>
      <c r="F16">
        <f>F15+'2026'!L21</f>
        <v>3.5</v>
      </c>
      <c r="G16">
        <f>G15+'2026'!P21</f>
        <v>3.5</v>
      </c>
      <c r="H16">
        <f>H15+'2026'!T21</f>
        <v>2</v>
      </c>
    </row>
    <row r="17" spans="2:8" x14ac:dyDescent="0.25">
      <c r="B17" s="74">
        <v>46051</v>
      </c>
      <c r="C17" t="e">
        <f>'2026'!#REF!</f>
        <v>#REF!</v>
      </c>
      <c r="D17">
        <f t="shared" si="0"/>
        <v>0</v>
      </c>
      <c r="E17">
        <f>E16+'2026'!H22</f>
        <v>5.5</v>
      </c>
      <c r="F17">
        <f>F16+'2026'!L22</f>
        <v>3.5</v>
      </c>
      <c r="G17">
        <f>G16+'2026'!P22</f>
        <v>3.5</v>
      </c>
      <c r="H17">
        <f>H16+'2026'!T22</f>
        <v>2</v>
      </c>
    </row>
    <row r="18" spans="2:8" ht="15.75" thickBot="1" x14ac:dyDescent="0.3">
      <c r="B18" s="117">
        <v>46052</v>
      </c>
      <c r="C18" t="e">
        <f>'2026'!#REF!</f>
        <v>#REF!</v>
      </c>
      <c r="D18">
        <f t="shared" si="0"/>
        <v>0</v>
      </c>
      <c r="E18">
        <f>E17+'2026'!H23</f>
        <v>5.5</v>
      </c>
      <c r="F18">
        <f>F17+'2026'!L23</f>
        <v>4</v>
      </c>
      <c r="G18">
        <f>G17+'2026'!P23</f>
        <v>4</v>
      </c>
      <c r="H18">
        <f>H17+'2026'!T23</f>
        <v>2.5</v>
      </c>
    </row>
    <row r="19" spans="2:8" ht="15.75" thickTop="1" x14ac:dyDescent="0.25">
      <c r="B19" s="73">
        <v>46055</v>
      </c>
      <c r="C19" t="e">
        <f>'2026'!#REF!</f>
        <v>#REF!</v>
      </c>
      <c r="D19">
        <f t="shared" si="0"/>
        <v>0</v>
      </c>
      <c r="E19">
        <f>E18+'2026'!H24</f>
        <v>6</v>
      </c>
      <c r="F19">
        <f>F18+'2026'!L24</f>
        <v>4.5</v>
      </c>
      <c r="G19">
        <f>G18+'2026'!P24</f>
        <v>4.5</v>
      </c>
      <c r="H19">
        <f>H18+'2026'!T24</f>
        <v>4</v>
      </c>
    </row>
    <row r="20" spans="2:8" x14ac:dyDescent="0.25">
      <c r="B20" s="74">
        <v>46056</v>
      </c>
      <c r="C20" t="e">
        <f>'2026'!#REF!</f>
        <v>#REF!</v>
      </c>
      <c r="D20">
        <f t="shared" si="0"/>
        <v>0</v>
      </c>
      <c r="E20">
        <f>E19+'2026'!H25</f>
        <v>6</v>
      </c>
      <c r="F20">
        <f>F19+'2026'!L25</f>
        <v>4.5</v>
      </c>
      <c r="G20">
        <f>G19+'2026'!P25</f>
        <v>5.5</v>
      </c>
      <c r="H20">
        <f>H19+'2026'!T25</f>
        <v>4</v>
      </c>
    </row>
    <row r="21" spans="2:8" x14ac:dyDescent="0.25">
      <c r="B21" s="74">
        <v>46057</v>
      </c>
      <c r="C21" t="e">
        <f>'2026'!#REF!</f>
        <v>#REF!</v>
      </c>
      <c r="D21">
        <f t="shared" si="0"/>
        <v>0</v>
      </c>
      <c r="E21">
        <f>E20+'2026'!H26</f>
        <v>6</v>
      </c>
      <c r="F21">
        <f>F20+'2026'!L26</f>
        <v>4.5</v>
      </c>
      <c r="G21">
        <f>G20+'2026'!P26</f>
        <v>6</v>
      </c>
      <c r="H21">
        <f>H20+'2026'!T26</f>
        <v>4</v>
      </c>
    </row>
    <row r="22" spans="2:8" x14ac:dyDescent="0.25">
      <c r="B22" s="74">
        <v>46058</v>
      </c>
      <c r="C22" t="e">
        <f>'2026'!#REF!</f>
        <v>#REF!</v>
      </c>
      <c r="D22">
        <f t="shared" si="0"/>
        <v>0</v>
      </c>
      <c r="E22">
        <f>E21+'2026'!H27</f>
        <v>6</v>
      </c>
      <c r="F22">
        <f>F21+'2026'!L27</f>
        <v>4.5</v>
      </c>
      <c r="G22">
        <f>G21+'2026'!P27</f>
        <v>6</v>
      </c>
      <c r="H22">
        <f>H21+'2026'!T27</f>
        <v>4.5</v>
      </c>
    </row>
    <row r="23" spans="2:8" ht="15.75" thickBot="1" x14ac:dyDescent="0.3">
      <c r="B23" s="75">
        <v>46059</v>
      </c>
      <c r="C23" t="e">
        <f>'2026'!#REF!</f>
        <v>#REF!</v>
      </c>
      <c r="D23">
        <f t="shared" si="0"/>
        <v>0</v>
      </c>
      <c r="E23">
        <f>E22+'2026'!H28</f>
        <v>6</v>
      </c>
      <c r="F23">
        <f>F22+'2026'!L28</f>
        <v>4.5</v>
      </c>
      <c r="G23">
        <f>G22+'2026'!P28</f>
        <v>6</v>
      </c>
      <c r="H23">
        <f>H22+'2026'!T28</f>
        <v>4.5</v>
      </c>
    </row>
    <row r="24" spans="2:8" ht="15.75" thickTop="1" x14ac:dyDescent="0.25">
      <c r="B24" s="74">
        <v>46062</v>
      </c>
      <c r="C24" t="e">
        <f>'2026'!#REF!</f>
        <v>#REF!</v>
      </c>
      <c r="D24">
        <f t="shared" si="0"/>
        <v>0</v>
      </c>
      <c r="E24">
        <f>E23+'2026'!H29</f>
        <v>6</v>
      </c>
      <c r="F24">
        <f>F23+'2026'!L29</f>
        <v>4.5</v>
      </c>
      <c r="G24">
        <f>G23+'2026'!P29</f>
        <v>6</v>
      </c>
      <c r="H24">
        <f>H23+'2026'!T29</f>
        <v>4.5</v>
      </c>
    </row>
    <row r="25" spans="2:8" x14ac:dyDescent="0.25">
      <c r="B25" s="74">
        <v>46063</v>
      </c>
      <c r="C25" t="e">
        <f>'2026'!#REF!</f>
        <v>#REF!</v>
      </c>
      <c r="D25">
        <f t="shared" si="0"/>
        <v>0</v>
      </c>
      <c r="E25">
        <f>E24+'2026'!H30</f>
        <v>6</v>
      </c>
      <c r="F25">
        <f>F24+'2026'!L30</f>
        <v>4.5</v>
      </c>
      <c r="G25">
        <f>G24+'2026'!P30</f>
        <v>6</v>
      </c>
      <c r="H25">
        <f>H24+'2026'!T30</f>
        <v>4.5</v>
      </c>
    </row>
    <row r="26" spans="2:8" x14ac:dyDescent="0.25">
      <c r="B26" s="74">
        <v>46064</v>
      </c>
      <c r="C26" t="e">
        <f>'2026'!#REF!</f>
        <v>#REF!</v>
      </c>
      <c r="D26">
        <f t="shared" si="0"/>
        <v>0</v>
      </c>
      <c r="E26">
        <f>E25+'2026'!H31</f>
        <v>6</v>
      </c>
      <c r="F26">
        <f>F25+'2026'!L31</f>
        <v>4.5</v>
      </c>
      <c r="G26">
        <f>G25+'2026'!P31</f>
        <v>6</v>
      </c>
      <c r="H26">
        <f>H25+'2026'!T31</f>
        <v>4.5</v>
      </c>
    </row>
    <row r="27" spans="2:8" x14ac:dyDescent="0.25">
      <c r="B27" s="74">
        <v>46065</v>
      </c>
      <c r="C27" t="e">
        <f>'2026'!#REF!</f>
        <v>#REF!</v>
      </c>
      <c r="D27">
        <f t="shared" si="0"/>
        <v>0</v>
      </c>
      <c r="E27">
        <f>E26+'2026'!H32</f>
        <v>6.5</v>
      </c>
      <c r="F27">
        <f>F26+'2026'!L32</f>
        <v>4.5</v>
      </c>
      <c r="G27">
        <f>G26+'2026'!P32</f>
        <v>6</v>
      </c>
      <c r="H27">
        <f>H26+'2026'!T32</f>
        <v>4.5</v>
      </c>
    </row>
    <row r="28" spans="2:8" ht="15.75" thickBot="1" x14ac:dyDescent="0.3">
      <c r="B28" s="117">
        <v>46066</v>
      </c>
      <c r="C28" t="e">
        <f>'2026'!#REF!</f>
        <v>#REF!</v>
      </c>
      <c r="D28">
        <f t="shared" si="0"/>
        <v>0</v>
      </c>
      <c r="E28">
        <f>E27+'2026'!H33</f>
        <v>6.5</v>
      </c>
      <c r="F28">
        <f>F27+'2026'!L33</f>
        <v>5</v>
      </c>
      <c r="G28">
        <f>G27+'2026'!P33</f>
        <v>6</v>
      </c>
      <c r="H28">
        <f>H27+'2026'!T33</f>
        <v>4.5</v>
      </c>
    </row>
    <row r="29" spans="2:8" ht="15.75" thickTop="1" x14ac:dyDescent="0.25">
      <c r="B29" s="73">
        <v>46069</v>
      </c>
      <c r="C29" t="e">
        <f>'2026'!#REF!</f>
        <v>#REF!</v>
      </c>
      <c r="D29">
        <f t="shared" si="0"/>
        <v>0</v>
      </c>
      <c r="E29">
        <f>E28+'2026'!H34</f>
        <v>6.5</v>
      </c>
      <c r="F29">
        <f>F28+'2026'!L34</f>
        <v>5</v>
      </c>
      <c r="G29">
        <f>G28+'2026'!P34</f>
        <v>7</v>
      </c>
      <c r="H29">
        <f>H28+'2026'!T34</f>
        <v>4.5</v>
      </c>
    </row>
    <row r="30" spans="2:8" x14ac:dyDescent="0.25">
      <c r="B30" s="74">
        <v>46070</v>
      </c>
      <c r="C30" t="e">
        <f>'2026'!#REF!</f>
        <v>#REF!</v>
      </c>
      <c r="D30">
        <f t="shared" si="0"/>
        <v>0</v>
      </c>
      <c r="E30">
        <f>E29+'2026'!H35</f>
        <v>6.5</v>
      </c>
      <c r="F30">
        <f>F29+'2026'!L35</f>
        <v>5</v>
      </c>
      <c r="G30">
        <f>G29+'2026'!P35</f>
        <v>7</v>
      </c>
      <c r="H30">
        <f>H29+'2026'!T35</f>
        <v>5</v>
      </c>
    </row>
    <row r="31" spans="2:8" x14ac:dyDescent="0.25">
      <c r="B31" s="74">
        <v>46071</v>
      </c>
      <c r="C31" t="e">
        <f>'2026'!#REF!</f>
        <v>#REF!</v>
      </c>
      <c r="D31">
        <f t="shared" si="0"/>
        <v>0</v>
      </c>
      <c r="E31">
        <f>E30+'2026'!H36</f>
        <v>6.5</v>
      </c>
      <c r="F31">
        <f>F30+'2026'!L36</f>
        <v>5</v>
      </c>
      <c r="G31">
        <f>G30+'2026'!P36</f>
        <v>7</v>
      </c>
      <c r="H31">
        <f>H30+'2026'!T36</f>
        <v>5.5</v>
      </c>
    </row>
    <row r="32" spans="2:8" x14ac:dyDescent="0.25">
      <c r="B32" s="74">
        <v>46072</v>
      </c>
      <c r="C32" t="e">
        <f>'2026'!#REF!</f>
        <v>#REF!</v>
      </c>
      <c r="D32">
        <f t="shared" si="0"/>
        <v>0</v>
      </c>
      <c r="E32">
        <f>E31+'2026'!H37</f>
        <v>6.5</v>
      </c>
      <c r="F32">
        <f>F31+'2026'!L37</f>
        <v>6</v>
      </c>
      <c r="G32">
        <f>G31+'2026'!P37</f>
        <v>8</v>
      </c>
      <c r="H32">
        <f>H31+'2026'!T37</f>
        <v>5.5</v>
      </c>
    </row>
    <row r="33" spans="2:13" ht="15.75" thickBot="1" x14ac:dyDescent="0.3">
      <c r="B33" s="75">
        <v>46073</v>
      </c>
      <c r="C33" t="e">
        <f>'2026'!#REF!</f>
        <v>#REF!</v>
      </c>
      <c r="D33">
        <f t="shared" si="0"/>
        <v>0</v>
      </c>
      <c r="E33">
        <f>E32+'2026'!H38</f>
        <v>6.5</v>
      </c>
      <c r="F33">
        <f>F32+'2026'!L38</f>
        <v>6</v>
      </c>
      <c r="G33">
        <f>G32+'2026'!P38</f>
        <v>8</v>
      </c>
      <c r="H33">
        <f>H32+'2026'!T38</f>
        <v>5.5</v>
      </c>
    </row>
    <row r="34" spans="2:13" ht="15.75" thickTop="1" x14ac:dyDescent="0.25">
      <c r="B34" s="74">
        <v>46076</v>
      </c>
      <c r="C34" t="e">
        <f>'2026'!#REF!</f>
        <v>#REF!</v>
      </c>
      <c r="D34">
        <f t="shared" si="0"/>
        <v>0</v>
      </c>
      <c r="E34">
        <f>E33+'2026'!H39</f>
        <v>6.5</v>
      </c>
      <c r="F34">
        <f>F33+'2026'!L39</f>
        <v>7</v>
      </c>
      <c r="G34">
        <f>G33+'2026'!P39</f>
        <v>8.5</v>
      </c>
      <c r="H34">
        <f>H33+'2026'!T39</f>
        <v>5.5</v>
      </c>
    </row>
    <row r="35" spans="2:13" x14ac:dyDescent="0.25">
      <c r="B35" s="74">
        <v>46077</v>
      </c>
      <c r="C35" t="e">
        <f>'2026'!#REF!</f>
        <v>#REF!</v>
      </c>
      <c r="D35">
        <f t="shared" si="0"/>
        <v>0</v>
      </c>
      <c r="E35">
        <f>E34+'2026'!H40</f>
        <v>6.5</v>
      </c>
      <c r="F35">
        <f>F34+'2026'!L40</f>
        <v>7</v>
      </c>
      <c r="G35">
        <f>G34+'2026'!P40</f>
        <v>8.5</v>
      </c>
      <c r="H35">
        <f>H34+'2026'!T40</f>
        <v>5.5</v>
      </c>
    </row>
    <row r="36" spans="2:13" x14ac:dyDescent="0.25">
      <c r="B36" s="74">
        <v>46078</v>
      </c>
      <c r="C36" t="e">
        <f>'2026'!#REF!</f>
        <v>#REF!</v>
      </c>
      <c r="D36">
        <f t="shared" si="0"/>
        <v>0</v>
      </c>
      <c r="E36">
        <f>E35+'2026'!H41</f>
        <v>6.5</v>
      </c>
      <c r="F36">
        <f>F35+'2026'!L41</f>
        <v>7</v>
      </c>
      <c r="G36">
        <f>G35+'2026'!P41</f>
        <v>8.5</v>
      </c>
      <c r="H36">
        <f>H35+'2026'!T41</f>
        <v>6.5</v>
      </c>
    </row>
    <row r="37" spans="2:13" x14ac:dyDescent="0.25">
      <c r="B37" s="74">
        <v>46079</v>
      </c>
      <c r="C37" t="e">
        <f>'2026'!#REF!</f>
        <v>#REF!</v>
      </c>
      <c r="D37">
        <f t="shared" si="0"/>
        <v>0</v>
      </c>
      <c r="E37">
        <f>E36+'2026'!H42</f>
        <v>7</v>
      </c>
      <c r="F37">
        <f>F36+'2026'!L42</f>
        <v>7</v>
      </c>
      <c r="G37">
        <f>G36+'2026'!P42</f>
        <v>8.5</v>
      </c>
      <c r="H37">
        <f>H36+'2026'!T42</f>
        <v>7</v>
      </c>
    </row>
    <row r="38" spans="2:13" ht="15.75" thickBot="1" x14ac:dyDescent="0.3">
      <c r="B38" s="117">
        <v>46080</v>
      </c>
      <c r="C38" t="e">
        <f>'2026'!#REF!</f>
        <v>#REF!</v>
      </c>
      <c r="D38">
        <f t="shared" si="0"/>
        <v>0</v>
      </c>
      <c r="E38">
        <f>E37+'2026'!H43</f>
        <v>7</v>
      </c>
      <c r="F38">
        <f>F37+'2026'!L43</f>
        <v>7</v>
      </c>
      <c r="G38">
        <f>G37+'2026'!P43</f>
        <v>9.5</v>
      </c>
      <c r="H38">
        <f>H37+'2026'!T43</f>
        <v>7</v>
      </c>
    </row>
    <row r="39" spans="2:13" ht="15.75" thickTop="1" x14ac:dyDescent="0.25">
      <c r="B39" s="73">
        <v>46083</v>
      </c>
      <c r="C39" t="e">
        <f>'2026'!#REF!</f>
        <v>#REF!</v>
      </c>
      <c r="D39">
        <f t="shared" si="0"/>
        <v>0</v>
      </c>
      <c r="E39">
        <f>E38+'2026'!H44</f>
        <v>7</v>
      </c>
      <c r="F39">
        <f>F38+'2026'!L44</f>
        <v>7</v>
      </c>
      <c r="G39">
        <f>G38+'2026'!P44</f>
        <v>9.5</v>
      </c>
      <c r="H39">
        <f>H38+'2026'!T44</f>
        <v>7</v>
      </c>
    </row>
    <row r="40" spans="2:13" x14ac:dyDescent="0.25">
      <c r="B40" s="74">
        <v>46084</v>
      </c>
      <c r="C40" t="e">
        <f>'2026'!#REF!</f>
        <v>#REF!</v>
      </c>
      <c r="D40">
        <f t="shared" si="0"/>
        <v>0</v>
      </c>
      <c r="E40">
        <f>E39+'2026'!H45</f>
        <v>7</v>
      </c>
      <c r="F40">
        <f>F39+'2026'!L45</f>
        <v>7</v>
      </c>
      <c r="G40">
        <f>G39+'2026'!P45</f>
        <v>9.5</v>
      </c>
      <c r="H40">
        <f>H39+'2026'!T45</f>
        <v>7</v>
      </c>
    </row>
    <row r="41" spans="2:13" x14ac:dyDescent="0.25">
      <c r="B41" s="74">
        <v>46085</v>
      </c>
      <c r="C41" t="e">
        <f>'2026'!#REF!</f>
        <v>#REF!</v>
      </c>
      <c r="D41">
        <f t="shared" si="0"/>
        <v>0</v>
      </c>
      <c r="E41">
        <f>E40+'2026'!H46</f>
        <v>7</v>
      </c>
      <c r="F41">
        <f>F40+'2026'!L46</f>
        <v>7</v>
      </c>
      <c r="G41">
        <f>G40+'2026'!P46</f>
        <v>10</v>
      </c>
      <c r="H41">
        <f>H40+'2026'!T46</f>
        <v>7.5</v>
      </c>
    </row>
    <row r="42" spans="2:13" x14ac:dyDescent="0.25">
      <c r="B42" s="74">
        <v>46086</v>
      </c>
      <c r="C42" t="e">
        <f>'2026'!#REF!</f>
        <v>#REF!</v>
      </c>
      <c r="D42">
        <f t="shared" si="0"/>
        <v>0</v>
      </c>
      <c r="E42">
        <f>E41+'2026'!H47</f>
        <v>8</v>
      </c>
      <c r="F42">
        <f>F41+'2026'!L47</f>
        <v>7</v>
      </c>
      <c r="G42">
        <f>G41+'2026'!P47</f>
        <v>10.5</v>
      </c>
      <c r="H42">
        <f>H41+'2026'!T47</f>
        <v>8.5</v>
      </c>
    </row>
    <row r="43" spans="2:13" ht="15.75" thickBot="1" x14ac:dyDescent="0.3">
      <c r="B43" s="75">
        <v>46087</v>
      </c>
      <c r="C43" t="e">
        <f>'2026'!#REF!</f>
        <v>#REF!</v>
      </c>
      <c r="D43">
        <f t="shared" si="0"/>
        <v>0</v>
      </c>
      <c r="E43">
        <f>E42+'2026'!H48</f>
        <v>8.5</v>
      </c>
      <c r="F43">
        <f>F42+'2026'!L48</f>
        <v>7</v>
      </c>
      <c r="G43">
        <f>G42+'2026'!P48</f>
        <v>11</v>
      </c>
      <c r="H43">
        <f>H42+'2026'!T48</f>
        <v>9</v>
      </c>
    </row>
    <row r="44" spans="2:13" ht="15.75" thickTop="1" x14ac:dyDescent="0.25">
      <c r="B44" s="74">
        <v>46090</v>
      </c>
      <c r="C44" t="e">
        <f>'2026'!#REF!</f>
        <v>#REF!</v>
      </c>
      <c r="D44">
        <f t="shared" si="0"/>
        <v>0</v>
      </c>
      <c r="E44">
        <f>E43+'2026'!H49</f>
        <v>9</v>
      </c>
      <c r="F44">
        <f>F43+'2026'!L49</f>
        <v>7.5</v>
      </c>
      <c r="G44">
        <f>G43+'2026'!P49</f>
        <v>11.5</v>
      </c>
      <c r="H44">
        <f>H43+'2026'!T49</f>
        <v>9.5</v>
      </c>
    </row>
    <row r="45" spans="2:13" x14ac:dyDescent="0.25">
      <c r="B45" s="74">
        <v>46091</v>
      </c>
      <c r="C45" t="e">
        <f>'2026'!#REF!</f>
        <v>#REF!</v>
      </c>
      <c r="D45">
        <f t="shared" si="0"/>
        <v>0</v>
      </c>
      <c r="E45">
        <f>E44+'2026'!H50</f>
        <v>10</v>
      </c>
      <c r="F45">
        <f>F44+'2026'!L50</f>
        <v>8</v>
      </c>
      <c r="G45">
        <f>G44+'2026'!P50</f>
        <v>11.5</v>
      </c>
      <c r="H45">
        <f>H44+'2026'!T50</f>
        <v>9.5</v>
      </c>
    </row>
    <row r="46" spans="2:13" x14ac:dyDescent="0.25">
      <c r="B46" s="74">
        <v>46092</v>
      </c>
      <c r="C46" t="e">
        <f>'2026'!#REF!</f>
        <v>#REF!</v>
      </c>
      <c r="D46">
        <f t="shared" si="0"/>
        <v>0</v>
      </c>
      <c r="E46">
        <f>E45+'2026'!H51</f>
        <v>10</v>
      </c>
      <c r="F46">
        <f>F45+'2026'!L51</f>
        <v>8</v>
      </c>
      <c r="G46">
        <f>G45+'2026'!P51</f>
        <v>11.5</v>
      </c>
      <c r="H46">
        <f>H45+'2026'!T51</f>
        <v>9.5</v>
      </c>
    </row>
    <row r="47" spans="2:13" x14ac:dyDescent="0.25">
      <c r="B47" s="74">
        <v>46093</v>
      </c>
      <c r="C47" t="e">
        <f>'2026'!#REF!</f>
        <v>#REF!</v>
      </c>
      <c r="D47">
        <f t="shared" si="0"/>
        <v>0</v>
      </c>
      <c r="E47">
        <f>E46+'2026'!H52</f>
        <v>10</v>
      </c>
      <c r="F47">
        <f>F46+'2026'!L52</f>
        <v>8</v>
      </c>
      <c r="G47">
        <f>G46+'2026'!P52</f>
        <v>11.5</v>
      </c>
      <c r="H47">
        <f>H46+'2026'!T52</f>
        <v>9.5</v>
      </c>
    </row>
    <row r="48" spans="2:13" ht="15.75" thickBot="1" x14ac:dyDescent="0.3">
      <c r="B48" s="117">
        <v>46094</v>
      </c>
      <c r="C48" t="e">
        <f>'2026'!#REF!</f>
        <v>#REF!</v>
      </c>
      <c r="D48">
        <f t="shared" si="0"/>
        <v>0</v>
      </c>
      <c r="E48">
        <f>E47+'2026'!H53</f>
        <v>10</v>
      </c>
      <c r="F48">
        <f>F47+'2026'!L53</f>
        <v>8</v>
      </c>
      <c r="G48">
        <f>G47+'2026'!P53</f>
        <v>11.5</v>
      </c>
      <c r="H48">
        <f>H47+'2026'!T53</f>
        <v>9.5</v>
      </c>
      <c r="M48" s="72"/>
    </row>
    <row r="49" spans="2:13" ht="15.75" thickTop="1" x14ac:dyDescent="0.25">
      <c r="B49" s="73">
        <v>46097</v>
      </c>
      <c r="C49" t="e">
        <f>'2026'!#REF!</f>
        <v>#REF!</v>
      </c>
      <c r="D49">
        <f t="shared" si="0"/>
        <v>0</v>
      </c>
      <c r="E49">
        <f>E48+'2026'!H54</f>
        <v>10</v>
      </c>
      <c r="F49">
        <f>F48+'2026'!L54</f>
        <v>11</v>
      </c>
      <c r="G49">
        <f>G48+'2026'!P54</f>
        <v>14.5</v>
      </c>
      <c r="H49">
        <f>H48+'2026'!T54</f>
        <v>12.5</v>
      </c>
      <c r="M49" s="72"/>
    </row>
    <row r="50" spans="2:13" x14ac:dyDescent="0.25">
      <c r="B50" s="74">
        <v>46098</v>
      </c>
      <c r="C50" t="e">
        <f>'2026'!#REF!</f>
        <v>#REF!</v>
      </c>
      <c r="D50">
        <f t="shared" si="0"/>
        <v>0</v>
      </c>
      <c r="E50">
        <f>E49+'2026'!H55</f>
        <v>11</v>
      </c>
      <c r="F50">
        <f>F49+'2026'!L55</f>
        <v>12</v>
      </c>
      <c r="G50">
        <f>G49+'2026'!P55</f>
        <v>14.5</v>
      </c>
      <c r="H50">
        <f>H49+'2026'!T55</f>
        <v>13.5</v>
      </c>
    </row>
    <row r="51" spans="2:13" x14ac:dyDescent="0.25">
      <c r="B51" s="74">
        <v>46099</v>
      </c>
      <c r="C51" t="e">
        <f>'2026'!#REF!</f>
        <v>#REF!</v>
      </c>
      <c r="D51">
        <f t="shared" si="0"/>
        <v>0</v>
      </c>
      <c r="E51">
        <f>E50+'2026'!H56</f>
        <v>11</v>
      </c>
      <c r="F51">
        <f>F50+'2026'!L56</f>
        <v>12</v>
      </c>
      <c r="G51">
        <f>G50+'2026'!P56</f>
        <v>14.5</v>
      </c>
      <c r="H51">
        <f>H50+'2026'!T56</f>
        <v>13.5</v>
      </c>
    </row>
    <row r="52" spans="2:13" x14ac:dyDescent="0.25">
      <c r="B52" s="74">
        <v>46100</v>
      </c>
      <c r="C52" t="e">
        <f>'2026'!#REF!</f>
        <v>#REF!</v>
      </c>
      <c r="D52">
        <f t="shared" si="0"/>
        <v>0</v>
      </c>
      <c r="E52">
        <f>E51+'2026'!H57</f>
        <v>11</v>
      </c>
      <c r="F52">
        <f>F51+'2026'!L57</f>
        <v>12</v>
      </c>
      <c r="G52">
        <f>G51+'2026'!P57</f>
        <v>14.5</v>
      </c>
      <c r="H52">
        <f>H51+'2026'!T57</f>
        <v>13.5</v>
      </c>
    </row>
    <row r="53" spans="2:13" ht="15.75" thickBot="1" x14ac:dyDescent="0.3">
      <c r="B53" s="75">
        <v>46101</v>
      </c>
      <c r="C53" t="e">
        <f>'2026'!#REF!</f>
        <v>#REF!</v>
      </c>
      <c r="D53">
        <f t="shared" si="0"/>
        <v>0</v>
      </c>
      <c r="E53">
        <f>E52+'2026'!H58</f>
        <v>11</v>
      </c>
      <c r="F53">
        <f>F52+'2026'!L58</f>
        <v>12</v>
      </c>
      <c r="G53">
        <f>G52+'2026'!P58</f>
        <v>14.5</v>
      </c>
      <c r="H53">
        <f>H52+'2026'!T58</f>
        <v>13.5</v>
      </c>
    </row>
    <row r="54" spans="2:13" ht="15.75" thickTop="1" x14ac:dyDescent="0.25">
      <c r="B54" s="74">
        <v>46104</v>
      </c>
      <c r="C54" t="e">
        <f>'2026'!#REF!</f>
        <v>#REF!</v>
      </c>
      <c r="D54">
        <f t="shared" si="0"/>
        <v>0</v>
      </c>
      <c r="E54">
        <f>E53+'2026'!H59</f>
        <v>11.5</v>
      </c>
      <c r="F54">
        <f>F53+'2026'!L59</f>
        <v>13.5</v>
      </c>
      <c r="G54">
        <f>G53+'2026'!P59</f>
        <v>15</v>
      </c>
      <c r="H54">
        <f>H53+'2026'!T59</f>
        <v>15</v>
      </c>
    </row>
    <row r="55" spans="2:13" x14ac:dyDescent="0.25">
      <c r="B55" s="74">
        <v>46105</v>
      </c>
      <c r="C55" t="e">
        <f>'2026'!#REF!</f>
        <v>#REF!</v>
      </c>
      <c r="D55">
        <f t="shared" si="0"/>
        <v>0</v>
      </c>
      <c r="E55">
        <f>E54+'2026'!H60</f>
        <v>11.5</v>
      </c>
      <c r="F55">
        <f>F54+'2026'!L60</f>
        <v>14</v>
      </c>
      <c r="G55">
        <f>G54+'2026'!P60</f>
        <v>15</v>
      </c>
      <c r="H55">
        <f>H54+'2026'!T60</f>
        <v>15</v>
      </c>
    </row>
    <row r="56" spans="2:13" x14ac:dyDescent="0.25">
      <c r="B56" s="74">
        <v>46106</v>
      </c>
      <c r="C56" t="e">
        <f>'2026'!#REF!</f>
        <v>#REF!</v>
      </c>
      <c r="D56">
        <f t="shared" si="0"/>
        <v>0</v>
      </c>
      <c r="E56">
        <f>E55+'2026'!H61</f>
        <v>11.5</v>
      </c>
      <c r="F56">
        <f>F55+'2026'!L61</f>
        <v>14</v>
      </c>
      <c r="G56">
        <f>G55+'2026'!P61</f>
        <v>15</v>
      </c>
      <c r="H56">
        <f>H55+'2026'!T61</f>
        <v>15</v>
      </c>
    </row>
    <row r="57" spans="2:13" x14ac:dyDescent="0.25">
      <c r="B57" s="74">
        <v>46107</v>
      </c>
      <c r="C57" t="e">
        <f>'2026'!#REF!</f>
        <v>#REF!</v>
      </c>
      <c r="D57">
        <f t="shared" si="0"/>
        <v>0</v>
      </c>
      <c r="E57">
        <f>E56+'2026'!H62</f>
        <v>12.5</v>
      </c>
      <c r="F57">
        <f>F56+'2026'!L62</f>
        <v>14.5</v>
      </c>
      <c r="G57">
        <f>G56+'2026'!P62</f>
        <v>15</v>
      </c>
      <c r="H57">
        <f>H56+'2026'!T62</f>
        <v>15</v>
      </c>
    </row>
    <row r="58" spans="2:13" ht="15.75" thickBot="1" x14ac:dyDescent="0.3">
      <c r="B58" s="117">
        <v>46108</v>
      </c>
      <c r="C58" t="e">
        <f>'2026'!#REF!</f>
        <v>#REF!</v>
      </c>
      <c r="D58">
        <f t="shared" si="0"/>
        <v>0</v>
      </c>
      <c r="E58">
        <f>E57+'2026'!H63</f>
        <v>12.5</v>
      </c>
      <c r="F58">
        <f>F57+'2026'!L63</f>
        <v>14.5</v>
      </c>
      <c r="G58">
        <f>G57+'2026'!P63</f>
        <v>15.5</v>
      </c>
      <c r="H58">
        <f>H57+'2026'!T63</f>
        <v>15.5</v>
      </c>
    </row>
    <row r="59" spans="2:13" ht="15.75" thickTop="1" x14ac:dyDescent="0.25">
      <c r="B59" s="73">
        <v>46111</v>
      </c>
      <c r="C59" t="e">
        <f>'2026'!#REF!</f>
        <v>#REF!</v>
      </c>
      <c r="D59">
        <f t="shared" si="0"/>
        <v>0</v>
      </c>
      <c r="E59">
        <f>E58+'2026'!H64</f>
        <v>13.5</v>
      </c>
      <c r="F59">
        <f>F58+'2026'!L64</f>
        <v>15.5</v>
      </c>
      <c r="G59">
        <f>G58+'2026'!P64</f>
        <v>15.5</v>
      </c>
      <c r="H59">
        <f>H58+'2026'!T64</f>
        <v>15.5</v>
      </c>
    </row>
    <row r="60" spans="2:13" x14ac:dyDescent="0.25">
      <c r="B60" s="74">
        <v>46112</v>
      </c>
      <c r="C60" t="e">
        <f>'2026'!#REF!</f>
        <v>#REF!</v>
      </c>
      <c r="D60">
        <f t="shared" si="0"/>
        <v>0</v>
      </c>
      <c r="E60">
        <f>E59+'2026'!H65</f>
        <v>14.5</v>
      </c>
      <c r="F60">
        <f>F59+'2026'!L65</f>
        <v>15.5</v>
      </c>
      <c r="G60">
        <f>G59+'2026'!P65</f>
        <v>15.5</v>
      </c>
      <c r="H60">
        <f>H59+'2026'!T65</f>
        <v>16.5</v>
      </c>
    </row>
    <row r="61" spans="2:13" x14ac:dyDescent="0.25">
      <c r="B61" s="74">
        <v>46113</v>
      </c>
      <c r="C61" t="e">
        <f>'2026'!#REF!</f>
        <v>#REF!</v>
      </c>
      <c r="D61">
        <f t="shared" si="0"/>
        <v>0</v>
      </c>
      <c r="E61">
        <f>E60+'2026'!H66</f>
        <v>14.5</v>
      </c>
      <c r="F61">
        <f>F60+'2026'!L66</f>
        <v>15.5</v>
      </c>
      <c r="G61">
        <f>G60+'2026'!P66</f>
        <v>17</v>
      </c>
      <c r="H61">
        <f>H60+'2026'!T66</f>
        <v>17.5</v>
      </c>
    </row>
    <row r="62" spans="2:13" x14ac:dyDescent="0.25">
      <c r="B62" s="74">
        <v>46114</v>
      </c>
      <c r="C62" t="e">
        <f>'2026'!#REF!</f>
        <v>#REF!</v>
      </c>
      <c r="D62">
        <f t="shared" si="0"/>
        <v>0</v>
      </c>
      <c r="E62">
        <f>E61+'2026'!H67</f>
        <v>14.5</v>
      </c>
      <c r="F62">
        <f>F61+'2026'!L67</f>
        <v>15.5</v>
      </c>
      <c r="G62">
        <f>G61+'2026'!P67</f>
        <v>17</v>
      </c>
      <c r="H62">
        <f>H61+'2026'!T67</f>
        <v>18</v>
      </c>
    </row>
    <row r="63" spans="2:13" ht="15.75" thickBot="1" x14ac:dyDescent="0.3">
      <c r="B63" s="75">
        <v>46115</v>
      </c>
      <c r="C63" t="e">
        <f>'2026'!#REF!</f>
        <v>#REF!</v>
      </c>
      <c r="D63">
        <f t="shared" si="0"/>
        <v>0</v>
      </c>
      <c r="E63">
        <f>E62+'2026'!H68</f>
        <v>15</v>
      </c>
      <c r="F63">
        <f>F62+'2026'!L68</f>
        <v>15.5</v>
      </c>
      <c r="G63">
        <f>G62+'2026'!P68</f>
        <v>17</v>
      </c>
      <c r="H63">
        <f>H62+'2026'!T68</f>
        <v>18</v>
      </c>
    </row>
    <row r="64" spans="2:13" ht="15.75" thickTop="1" x14ac:dyDescent="0.25">
      <c r="B64" s="74">
        <v>46118</v>
      </c>
      <c r="C64" t="e">
        <f>'2026'!#REF!</f>
        <v>#REF!</v>
      </c>
      <c r="D64">
        <f t="shared" si="0"/>
        <v>0</v>
      </c>
      <c r="E64">
        <f>E63+'2026'!H69</f>
        <v>15</v>
      </c>
      <c r="F64">
        <f>F63+'2026'!L69</f>
        <v>15.5</v>
      </c>
      <c r="G64">
        <f>G63+'2026'!P69</f>
        <v>17</v>
      </c>
      <c r="H64">
        <f>H63+'2026'!T69</f>
        <v>18</v>
      </c>
    </row>
    <row r="65" spans="2:8" x14ac:dyDescent="0.25">
      <c r="B65" s="74">
        <v>46119</v>
      </c>
      <c r="C65" t="e">
        <f>'2026'!#REF!</f>
        <v>#REF!</v>
      </c>
      <c r="D65">
        <f t="shared" si="0"/>
        <v>0</v>
      </c>
      <c r="E65">
        <f>E64+'2026'!H70</f>
        <v>15</v>
      </c>
      <c r="F65">
        <f>F64+'2026'!L70</f>
        <v>15.5</v>
      </c>
      <c r="G65">
        <f>G64+'2026'!P70</f>
        <v>17</v>
      </c>
      <c r="H65">
        <f>H64+'2026'!T70</f>
        <v>18</v>
      </c>
    </row>
    <row r="66" spans="2:8" x14ac:dyDescent="0.25">
      <c r="B66" s="74">
        <v>46120</v>
      </c>
      <c r="C66" t="e">
        <f>'2026'!#REF!</f>
        <v>#REF!</v>
      </c>
      <c r="D66">
        <f t="shared" si="0"/>
        <v>0</v>
      </c>
      <c r="E66">
        <f>E65+'2026'!H71</f>
        <v>15.5</v>
      </c>
      <c r="F66">
        <f>F65+'2026'!L71</f>
        <v>15.5</v>
      </c>
      <c r="G66">
        <f>G65+'2026'!P71</f>
        <v>17</v>
      </c>
      <c r="H66">
        <f>H65+'2026'!T71</f>
        <v>18</v>
      </c>
    </row>
    <row r="67" spans="2:8" x14ac:dyDescent="0.25">
      <c r="B67" s="74">
        <v>46121</v>
      </c>
      <c r="C67" t="e">
        <f>'2026'!#REF!</f>
        <v>#REF!</v>
      </c>
      <c r="D67">
        <f t="shared" si="0"/>
        <v>0</v>
      </c>
      <c r="E67">
        <f>E66+'2026'!H72</f>
        <v>15.5</v>
      </c>
      <c r="F67">
        <f>F66+'2026'!L72</f>
        <v>15.5</v>
      </c>
      <c r="G67">
        <f>G66+'2026'!P72</f>
        <v>17</v>
      </c>
      <c r="H67">
        <f>H66+'2026'!T72</f>
        <v>18</v>
      </c>
    </row>
    <row r="68" spans="2:8" ht="15.75" thickBot="1" x14ac:dyDescent="0.3">
      <c r="B68" s="117">
        <v>46122</v>
      </c>
      <c r="C68" t="e">
        <f>'2026'!#REF!</f>
        <v>#REF!</v>
      </c>
      <c r="D68">
        <f t="shared" si="0"/>
        <v>0</v>
      </c>
      <c r="E68">
        <f>E67+'2026'!H73</f>
        <v>15.5</v>
      </c>
      <c r="F68">
        <f>F67+'2026'!L73</f>
        <v>16.5</v>
      </c>
      <c r="G68">
        <f>G67+'2026'!P73</f>
        <v>17</v>
      </c>
      <c r="H68">
        <f>H67+'2026'!T73</f>
        <v>18</v>
      </c>
    </row>
    <row r="69" spans="2:8" ht="15.75" thickTop="1" x14ac:dyDescent="0.25">
      <c r="B69" s="73">
        <v>46125</v>
      </c>
      <c r="C69" t="e">
        <f>'2026'!#REF!</f>
        <v>#REF!</v>
      </c>
      <c r="D69">
        <f t="shared" ref="D69:D132" si="1">IF(ISNUMBER(C69),C69,0)</f>
        <v>0</v>
      </c>
      <c r="E69">
        <f>E68+'2026'!H74</f>
        <v>16.5</v>
      </c>
      <c r="F69">
        <f>F68+'2026'!L74</f>
        <v>17.5</v>
      </c>
      <c r="G69">
        <f>G68+'2026'!P74</f>
        <v>18</v>
      </c>
      <c r="H69">
        <f>H68+'2026'!T74</f>
        <v>19.5</v>
      </c>
    </row>
    <row r="70" spans="2:8" x14ac:dyDescent="0.25">
      <c r="B70" s="74">
        <v>46126</v>
      </c>
      <c r="C70" t="e">
        <f>'2026'!#REF!</f>
        <v>#REF!</v>
      </c>
      <c r="D70">
        <f t="shared" si="1"/>
        <v>0</v>
      </c>
      <c r="E70">
        <f>E69+'2026'!H75</f>
        <v>16.5</v>
      </c>
      <c r="F70">
        <f>F69+'2026'!L75</f>
        <v>17.5</v>
      </c>
      <c r="G70">
        <f>G69+'2026'!P75</f>
        <v>18</v>
      </c>
      <c r="H70">
        <f>H69+'2026'!T75</f>
        <v>19.5</v>
      </c>
    </row>
    <row r="71" spans="2:8" x14ac:dyDescent="0.25">
      <c r="B71" s="74">
        <v>46127</v>
      </c>
      <c r="C71" t="e">
        <f>'2026'!#REF!</f>
        <v>#REF!</v>
      </c>
      <c r="D71">
        <f t="shared" si="1"/>
        <v>0</v>
      </c>
      <c r="E71">
        <f>E70+'2026'!H76</f>
        <v>17.5</v>
      </c>
      <c r="F71">
        <f>F70+'2026'!L76</f>
        <v>18</v>
      </c>
      <c r="G71">
        <f>G70+'2026'!P76</f>
        <v>18</v>
      </c>
      <c r="H71">
        <f>H70+'2026'!T76</f>
        <v>20</v>
      </c>
    </row>
    <row r="72" spans="2:8" x14ac:dyDescent="0.25">
      <c r="B72" s="74">
        <v>46128</v>
      </c>
      <c r="C72" t="e">
        <f>'2026'!#REF!</f>
        <v>#REF!</v>
      </c>
      <c r="D72">
        <f t="shared" si="1"/>
        <v>0</v>
      </c>
      <c r="E72">
        <f>E71+'2026'!H77</f>
        <v>17.5</v>
      </c>
      <c r="F72">
        <f>F71+'2026'!L77</f>
        <v>18</v>
      </c>
      <c r="G72">
        <f>G71+'2026'!P77</f>
        <v>18</v>
      </c>
      <c r="H72">
        <f>H71+'2026'!T77</f>
        <v>20</v>
      </c>
    </row>
    <row r="73" spans="2:8" ht="15.75" thickBot="1" x14ac:dyDescent="0.3">
      <c r="B73" s="75">
        <v>46129</v>
      </c>
      <c r="C73" t="e">
        <f>'2026'!#REF!</f>
        <v>#REF!</v>
      </c>
      <c r="D73">
        <f t="shared" si="1"/>
        <v>0</v>
      </c>
      <c r="E73">
        <f>E72+'2026'!H78</f>
        <v>18</v>
      </c>
      <c r="F73">
        <f>F72+'2026'!L78</f>
        <v>18</v>
      </c>
      <c r="G73">
        <f>G72+'2026'!P78</f>
        <v>18</v>
      </c>
      <c r="H73">
        <f>H72+'2026'!T78</f>
        <v>20.5</v>
      </c>
    </row>
    <row r="74" spans="2:8" ht="15.75" thickTop="1" x14ac:dyDescent="0.25">
      <c r="B74" s="74">
        <v>46132</v>
      </c>
      <c r="C74" t="e">
        <f>'2026'!#REF!</f>
        <v>#REF!</v>
      </c>
      <c r="D74">
        <f t="shared" si="1"/>
        <v>0</v>
      </c>
      <c r="E74">
        <f>E73+'2026'!H79</f>
        <v>18</v>
      </c>
      <c r="F74">
        <f>F73+'2026'!L79</f>
        <v>18</v>
      </c>
      <c r="G74">
        <f>G73+'2026'!P79</f>
        <v>18</v>
      </c>
      <c r="H74">
        <f>H73+'2026'!T79</f>
        <v>20.5</v>
      </c>
    </row>
    <row r="75" spans="2:8" x14ac:dyDescent="0.25">
      <c r="B75" s="74">
        <v>46133</v>
      </c>
      <c r="C75" t="e">
        <f>'2026'!#REF!</f>
        <v>#REF!</v>
      </c>
      <c r="D75">
        <f t="shared" si="1"/>
        <v>0</v>
      </c>
      <c r="E75">
        <f>E74+'2026'!H80</f>
        <v>18</v>
      </c>
      <c r="F75">
        <f>F74+'2026'!L80</f>
        <v>18.5</v>
      </c>
      <c r="G75">
        <f>G74+'2026'!P80</f>
        <v>18</v>
      </c>
      <c r="H75">
        <f>H74+'2026'!T80</f>
        <v>20.5</v>
      </c>
    </row>
    <row r="76" spans="2:8" x14ac:dyDescent="0.25">
      <c r="B76" s="74">
        <v>46134</v>
      </c>
      <c r="C76" t="e">
        <f>'2026'!#REF!</f>
        <v>#REF!</v>
      </c>
      <c r="D76">
        <f t="shared" si="1"/>
        <v>0</v>
      </c>
      <c r="E76">
        <f>E75+'2026'!H81</f>
        <v>19</v>
      </c>
      <c r="F76">
        <f>F75+'2026'!L81</f>
        <v>19</v>
      </c>
      <c r="G76">
        <f>G75+'2026'!P81</f>
        <v>19</v>
      </c>
      <c r="H76">
        <f>H75+'2026'!T81</f>
        <v>21.5</v>
      </c>
    </row>
    <row r="77" spans="2:8" x14ac:dyDescent="0.25">
      <c r="B77" s="74">
        <v>46135</v>
      </c>
      <c r="C77" t="e">
        <f>'2026'!#REF!</f>
        <v>#REF!</v>
      </c>
      <c r="D77">
        <f t="shared" si="1"/>
        <v>0</v>
      </c>
      <c r="E77">
        <f>E76+'2026'!H82</f>
        <v>19</v>
      </c>
      <c r="F77">
        <f>F76+'2026'!L82</f>
        <v>19</v>
      </c>
      <c r="G77">
        <f>G76+'2026'!P82</f>
        <v>19</v>
      </c>
      <c r="H77">
        <f>H76+'2026'!T82</f>
        <v>21.5</v>
      </c>
    </row>
    <row r="78" spans="2:8" ht="15.75" thickBot="1" x14ac:dyDescent="0.3">
      <c r="B78" s="117">
        <v>46136</v>
      </c>
      <c r="C78" t="e">
        <f>'2026'!#REF!</f>
        <v>#REF!</v>
      </c>
      <c r="D78">
        <f t="shared" si="1"/>
        <v>0</v>
      </c>
      <c r="E78">
        <f>E77+'2026'!H83</f>
        <v>19</v>
      </c>
      <c r="F78">
        <f>F77+'2026'!L83</f>
        <v>19</v>
      </c>
      <c r="G78">
        <f>G77+'2026'!P83</f>
        <v>19</v>
      </c>
      <c r="H78">
        <f>H77+'2026'!T83</f>
        <v>21.5</v>
      </c>
    </row>
    <row r="79" spans="2:8" ht="15.75" thickTop="1" x14ac:dyDescent="0.25">
      <c r="B79" s="73">
        <v>46139</v>
      </c>
      <c r="C79" t="e">
        <f>'2026'!#REF!</f>
        <v>#REF!</v>
      </c>
      <c r="D79">
        <f t="shared" si="1"/>
        <v>0</v>
      </c>
      <c r="E79">
        <f>E78+'2026'!H84</f>
        <v>19.5</v>
      </c>
      <c r="F79">
        <f>F78+'2026'!L84</f>
        <v>19.5</v>
      </c>
      <c r="G79">
        <f>G78+'2026'!P84</f>
        <v>19.5</v>
      </c>
      <c r="H79">
        <f>H78+'2026'!T84</f>
        <v>21.5</v>
      </c>
    </row>
    <row r="80" spans="2:8" x14ac:dyDescent="0.25">
      <c r="B80" s="74">
        <v>46140</v>
      </c>
      <c r="C80" t="e">
        <f>'2026'!#REF!</f>
        <v>#REF!</v>
      </c>
      <c r="D80">
        <f t="shared" si="1"/>
        <v>0</v>
      </c>
      <c r="E80">
        <f>E79+'2026'!H85</f>
        <v>19.5</v>
      </c>
      <c r="F80">
        <f>F79+'2026'!L85</f>
        <v>19.5</v>
      </c>
      <c r="G80">
        <f>G79+'2026'!P85</f>
        <v>19.5</v>
      </c>
      <c r="H80">
        <f>H79+'2026'!T85</f>
        <v>21.5</v>
      </c>
    </row>
    <row r="81" spans="2:8" x14ac:dyDescent="0.25">
      <c r="B81" s="74">
        <v>46141</v>
      </c>
      <c r="C81" t="e">
        <f>'2026'!#REF!</f>
        <v>#REF!</v>
      </c>
      <c r="D81">
        <f t="shared" si="1"/>
        <v>0</v>
      </c>
      <c r="E81">
        <f>E80+'2026'!H86</f>
        <v>20.5</v>
      </c>
      <c r="F81">
        <f>F80+'2026'!L86</f>
        <v>19.5</v>
      </c>
      <c r="G81">
        <f>G80+'2026'!P86</f>
        <v>19.5</v>
      </c>
      <c r="H81">
        <f>H80+'2026'!T86</f>
        <v>21.5</v>
      </c>
    </row>
    <row r="82" spans="2:8" x14ac:dyDescent="0.25">
      <c r="B82" s="74">
        <v>46142</v>
      </c>
      <c r="C82" t="e">
        <f>'2026'!#REF!</f>
        <v>#REF!</v>
      </c>
      <c r="D82">
        <f t="shared" si="1"/>
        <v>0</v>
      </c>
      <c r="E82">
        <f>E81+'2026'!H87</f>
        <v>20.5</v>
      </c>
      <c r="F82">
        <f>F81+'2026'!L87</f>
        <v>19.5</v>
      </c>
      <c r="G82">
        <f>G81+'2026'!P87</f>
        <v>19.5</v>
      </c>
      <c r="H82">
        <f>H81+'2026'!T87</f>
        <v>21.5</v>
      </c>
    </row>
    <row r="83" spans="2:8" ht="15.75" thickBot="1" x14ac:dyDescent="0.3">
      <c r="B83" s="75">
        <v>46143</v>
      </c>
      <c r="C83" t="e">
        <f>'2026'!#REF!</f>
        <v>#REF!</v>
      </c>
      <c r="D83">
        <f t="shared" si="1"/>
        <v>0</v>
      </c>
      <c r="E83">
        <f>E82+'2026'!H88</f>
        <v>20.5</v>
      </c>
      <c r="F83">
        <f>F82+'2026'!L88</f>
        <v>19.5</v>
      </c>
      <c r="G83">
        <f>G82+'2026'!P88</f>
        <v>19.5</v>
      </c>
      <c r="H83">
        <f>H82+'2026'!T88</f>
        <v>21.5</v>
      </c>
    </row>
    <row r="84" spans="2:8" ht="15.75" thickTop="1" x14ac:dyDescent="0.25">
      <c r="B84" s="74">
        <v>46146</v>
      </c>
      <c r="C84" t="e">
        <f>'2026'!#REF!</f>
        <v>#REF!</v>
      </c>
      <c r="D84">
        <f t="shared" si="1"/>
        <v>0</v>
      </c>
      <c r="E84">
        <f>E83+'2026'!H89</f>
        <v>21</v>
      </c>
      <c r="F84">
        <f>F83+'2026'!L89</f>
        <v>20</v>
      </c>
      <c r="G84">
        <f>G83+'2026'!P89</f>
        <v>20</v>
      </c>
      <c r="H84">
        <f>H83+'2026'!T89</f>
        <v>22</v>
      </c>
    </row>
    <row r="85" spans="2:8" x14ac:dyDescent="0.25">
      <c r="B85" s="74">
        <v>46147</v>
      </c>
      <c r="C85" t="e">
        <f>'2026'!#REF!</f>
        <v>#REF!</v>
      </c>
      <c r="D85">
        <f t="shared" si="1"/>
        <v>0</v>
      </c>
      <c r="E85">
        <f>E84+'2026'!H90</f>
        <v>21</v>
      </c>
      <c r="F85">
        <f>F84+'2026'!L90</f>
        <v>20.5</v>
      </c>
      <c r="G85">
        <f>G84+'2026'!P90</f>
        <v>20</v>
      </c>
      <c r="H85">
        <f>H84+'2026'!T90</f>
        <v>22</v>
      </c>
    </row>
    <row r="86" spans="2:8" x14ac:dyDescent="0.25">
      <c r="B86" s="74">
        <v>46148</v>
      </c>
      <c r="C86" t="e">
        <f>'2026'!#REF!</f>
        <v>#REF!</v>
      </c>
      <c r="D86">
        <f t="shared" si="1"/>
        <v>0</v>
      </c>
      <c r="E86">
        <f>E85+'2026'!H91</f>
        <v>21</v>
      </c>
      <c r="F86">
        <f>F85+'2026'!L91</f>
        <v>21.5</v>
      </c>
      <c r="G86">
        <f>G85+'2026'!P91</f>
        <v>20.5</v>
      </c>
      <c r="H86">
        <f>H85+'2026'!T91</f>
        <v>22.5</v>
      </c>
    </row>
    <row r="87" spans="2:8" x14ac:dyDescent="0.25">
      <c r="B87" s="74">
        <v>46149</v>
      </c>
      <c r="C87" t="e">
        <f>'2026'!#REF!</f>
        <v>#REF!</v>
      </c>
      <c r="D87">
        <f t="shared" si="1"/>
        <v>0</v>
      </c>
      <c r="E87">
        <f>E86+'2026'!H92</f>
        <v>22</v>
      </c>
      <c r="F87">
        <f>F86+'2026'!L92</f>
        <v>22.5</v>
      </c>
      <c r="G87">
        <f>G86+'2026'!P92</f>
        <v>20.5</v>
      </c>
      <c r="H87">
        <f>H86+'2026'!T92</f>
        <v>22.5</v>
      </c>
    </row>
    <row r="88" spans="2:8" ht="15.75" thickBot="1" x14ac:dyDescent="0.3">
      <c r="B88" s="117">
        <v>46150</v>
      </c>
      <c r="C88" t="e">
        <f>'2026'!#REF!</f>
        <v>#REF!</v>
      </c>
      <c r="D88">
        <f t="shared" si="1"/>
        <v>0</v>
      </c>
      <c r="E88">
        <f>E87+'2026'!H93</f>
        <v>22</v>
      </c>
      <c r="F88">
        <f>F87+'2026'!L93</f>
        <v>22.5</v>
      </c>
      <c r="G88">
        <f>G87+'2026'!P93</f>
        <v>20.5</v>
      </c>
      <c r="H88">
        <f>H87+'2026'!T93</f>
        <v>22.5</v>
      </c>
    </row>
    <row r="89" spans="2:8" ht="15.75" thickTop="1" x14ac:dyDescent="0.25">
      <c r="B89" s="73">
        <v>46153</v>
      </c>
      <c r="C89" t="e">
        <f>'2026'!#REF!</f>
        <v>#REF!</v>
      </c>
      <c r="D89">
        <f t="shared" si="1"/>
        <v>0</v>
      </c>
      <c r="E89">
        <f>E88+'2026'!H94</f>
        <v>22</v>
      </c>
      <c r="F89">
        <f>F88+'2026'!L94</f>
        <v>23.5</v>
      </c>
      <c r="G89">
        <f>G88+'2026'!P94</f>
        <v>21.5</v>
      </c>
      <c r="H89">
        <f>H88+'2026'!T94</f>
        <v>22.5</v>
      </c>
    </row>
    <row r="90" spans="2:8" x14ac:dyDescent="0.25">
      <c r="B90" s="74">
        <v>46154</v>
      </c>
      <c r="C90" t="e">
        <f>'2026'!#REF!</f>
        <v>#REF!</v>
      </c>
      <c r="D90">
        <f t="shared" si="1"/>
        <v>0</v>
      </c>
      <c r="E90">
        <f>E89+'2026'!H95</f>
        <v>22</v>
      </c>
      <c r="F90">
        <f>F89+'2026'!L95</f>
        <v>23.5</v>
      </c>
      <c r="G90">
        <f>G89+'2026'!P95</f>
        <v>22</v>
      </c>
      <c r="H90">
        <f>H89+'2026'!T95</f>
        <v>22.5</v>
      </c>
    </row>
    <row r="91" spans="2:8" x14ac:dyDescent="0.25">
      <c r="B91" s="74">
        <v>46155</v>
      </c>
      <c r="C91" t="e">
        <f>'2026'!#REF!</f>
        <v>#REF!</v>
      </c>
      <c r="D91">
        <f t="shared" si="1"/>
        <v>0</v>
      </c>
      <c r="E91">
        <f>E90+'2026'!H96</f>
        <v>22</v>
      </c>
      <c r="F91">
        <f>F90+'2026'!L96</f>
        <v>23.5</v>
      </c>
      <c r="G91">
        <f>G90+'2026'!P96</f>
        <v>22</v>
      </c>
      <c r="H91">
        <f>H90+'2026'!T96</f>
        <v>22.5</v>
      </c>
    </row>
    <row r="92" spans="2:8" x14ac:dyDescent="0.25">
      <c r="B92" s="74">
        <v>46156</v>
      </c>
      <c r="C92" t="e">
        <f>'2026'!#REF!</f>
        <v>#REF!</v>
      </c>
      <c r="D92">
        <f t="shared" si="1"/>
        <v>0</v>
      </c>
      <c r="E92">
        <f>E91+'2026'!H97</f>
        <v>22</v>
      </c>
      <c r="F92">
        <f>F91+'2026'!L97</f>
        <v>23.5</v>
      </c>
      <c r="G92">
        <f>G91+'2026'!P97</f>
        <v>22</v>
      </c>
      <c r="H92">
        <f>H91+'2026'!T97</f>
        <v>22.5</v>
      </c>
    </row>
    <row r="93" spans="2:8" ht="15.75" thickBot="1" x14ac:dyDescent="0.3">
      <c r="B93" s="75">
        <v>46157</v>
      </c>
      <c r="C93" t="e">
        <f>'2026'!#REF!</f>
        <v>#REF!</v>
      </c>
      <c r="D93">
        <f t="shared" si="1"/>
        <v>0</v>
      </c>
      <c r="E93">
        <f>E92+'2026'!H98</f>
        <v>22</v>
      </c>
      <c r="F93">
        <f>F92+'2026'!L98</f>
        <v>23.5</v>
      </c>
      <c r="G93">
        <f>G92+'2026'!P98</f>
        <v>22</v>
      </c>
      <c r="H93">
        <f>H92+'2026'!T98</f>
        <v>22.5</v>
      </c>
    </row>
    <row r="94" spans="2:8" ht="15.75" thickTop="1" x14ac:dyDescent="0.25">
      <c r="B94" s="74">
        <v>46160</v>
      </c>
      <c r="C94" t="e">
        <f>'2026'!#REF!</f>
        <v>#REF!</v>
      </c>
      <c r="D94">
        <f t="shared" si="1"/>
        <v>0</v>
      </c>
      <c r="E94">
        <f>E93+'2026'!H99</f>
        <v>22</v>
      </c>
      <c r="F94">
        <f>F93+'2026'!L99</f>
        <v>23.5</v>
      </c>
      <c r="G94">
        <f>G93+'2026'!P99</f>
        <v>22</v>
      </c>
      <c r="H94">
        <f>H93+'2026'!T99</f>
        <v>22.5</v>
      </c>
    </row>
    <row r="95" spans="2:8" x14ac:dyDescent="0.25">
      <c r="B95" s="74">
        <v>46161</v>
      </c>
      <c r="C95" t="e">
        <f>'2026'!#REF!</f>
        <v>#REF!</v>
      </c>
      <c r="D95">
        <f t="shared" si="1"/>
        <v>0</v>
      </c>
      <c r="E95">
        <f>E94+'2026'!H100</f>
        <v>22</v>
      </c>
      <c r="F95">
        <f>F94+'2026'!L100</f>
        <v>23.5</v>
      </c>
      <c r="G95">
        <f>G94+'2026'!P100</f>
        <v>22</v>
      </c>
      <c r="H95">
        <f>H94+'2026'!T100</f>
        <v>22.5</v>
      </c>
    </row>
    <row r="96" spans="2:8" x14ac:dyDescent="0.25">
      <c r="B96" s="74">
        <v>46162</v>
      </c>
      <c r="C96" t="e">
        <f>'2026'!#REF!</f>
        <v>#REF!</v>
      </c>
      <c r="D96">
        <f t="shared" si="1"/>
        <v>0</v>
      </c>
      <c r="E96">
        <f>E95+'2026'!H101</f>
        <v>22</v>
      </c>
      <c r="F96">
        <f>F95+'2026'!L101</f>
        <v>23.5</v>
      </c>
      <c r="G96">
        <f>G95+'2026'!P101</f>
        <v>22</v>
      </c>
      <c r="H96">
        <f>H95+'2026'!T101</f>
        <v>22.5</v>
      </c>
    </row>
    <row r="97" spans="2:8" x14ac:dyDescent="0.25">
      <c r="B97" s="74">
        <v>46163</v>
      </c>
      <c r="C97" t="e">
        <f>'2026'!#REF!</f>
        <v>#REF!</v>
      </c>
      <c r="D97">
        <f t="shared" si="1"/>
        <v>0</v>
      </c>
      <c r="E97">
        <f>E96+'2026'!H102</f>
        <v>22.5</v>
      </c>
      <c r="F97">
        <f>F96+'2026'!L102</f>
        <v>24</v>
      </c>
      <c r="G97">
        <f>G96+'2026'!P102</f>
        <v>22</v>
      </c>
      <c r="H97">
        <f>H96+'2026'!T102</f>
        <v>23</v>
      </c>
    </row>
    <row r="98" spans="2:8" ht="15.75" thickBot="1" x14ac:dyDescent="0.3">
      <c r="B98" s="117">
        <v>46164</v>
      </c>
      <c r="C98" t="e">
        <f>'2026'!#REF!</f>
        <v>#REF!</v>
      </c>
      <c r="D98">
        <f t="shared" si="1"/>
        <v>0</v>
      </c>
      <c r="E98">
        <f>E97+'2026'!H103</f>
        <v>22.5</v>
      </c>
      <c r="F98">
        <f>F97+'2026'!L103</f>
        <v>24</v>
      </c>
      <c r="G98">
        <f>G97+'2026'!P103</f>
        <v>22</v>
      </c>
      <c r="H98">
        <f>H97+'2026'!T103</f>
        <v>23</v>
      </c>
    </row>
    <row r="99" spans="2:8" ht="15.75" thickTop="1" x14ac:dyDescent="0.25">
      <c r="B99" s="73">
        <v>46167</v>
      </c>
      <c r="C99" t="e">
        <f>'2026'!#REF!</f>
        <v>#REF!</v>
      </c>
      <c r="D99">
        <f t="shared" si="1"/>
        <v>0</v>
      </c>
      <c r="E99">
        <f>E98+'2026'!H104</f>
        <v>22.5</v>
      </c>
      <c r="F99">
        <f>F98+'2026'!L104</f>
        <v>24</v>
      </c>
      <c r="G99">
        <f>G98+'2026'!P104</f>
        <v>22</v>
      </c>
      <c r="H99">
        <f>H98+'2026'!T104</f>
        <v>23</v>
      </c>
    </row>
    <row r="100" spans="2:8" x14ac:dyDescent="0.25">
      <c r="B100" s="74">
        <v>46168</v>
      </c>
      <c r="C100" t="e">
        <f>'2026'!#REF!</f>
        <v>#REF!</v>
      </c>
      <c r="D100">
        <f t="shared" si="1"/>
        <v>0</v>
      </c>
      <c r="E100">
        <f>E99+'2026'!H105</f>
        <v>22.5</v>
      </c>
      <c r="F100">
        <f>F99+'2026'!L105</f>
        <v>24</v>
      </c>
      <c r="G100">
        <f>G99+'2026'!P105</f>
        <v>22</v>
      </c>
      <c r="H100">
        <f>H99+'2026'!T105</f>
        <v>24</v>
      </c>
    </row>
    <row r="101" spans="2:8" x14ac:dyDescent="0.25">
      <c r="B101" s="74">
        <v>46169</v>
      </c>
      <c r="C101" t="e">
        <f>'2026'!#REF!</f>
        <v>#REF!</v>
      </c>
      <c r="D101">
        <f t="shared" si="1"/>
        <v>0</v>
      </c>
      <c r="E101">
        <f>E100+'2026'!H106</f>
        <v>23</v>
      </c>
      <c r="F101">
        <f>F100+'2026'!L106</f>
        <v>24</v>
      </c>
      <c r="G101">
        <f>G100+'2026'!P106</f>
        <v>22</v>
      </c>
      <c r="H101">
        <f>H100+'2026'!T106</f>
        <v>24</v>
      </c>
    </row>
    <row r="102" spans="2:8" x14ac:dyDescent="0.25">
      <c r="B102" s="74">
        <v>46170</v>
      </c>
      <c r="C102" t="e">
        <f>'2026'!#REF!</f>
        <v>#REF!</v>
      </c>
      <c r="D102">
        <f t="shared" si="1"/>
        <v>0</v>
      </c>
      <c r="E102">
        <f>E101+'2026'!H107</f>
        <v>23</v>
      </c>
      <c r="F102">
        <f>F101+'2026'!L107</f>
        <v>24.5</v>
      </c>
      <c r="G102">
        <f>G101+'2026'!P107</f>
        <v>22.5</v>
      </c>
      <c r="H102">
        <f>H101+'2026'!T107</f>
        <v>24</v>
      </c>
    </row>
    <row r="103" spans="2:8" ht="15.75" thickBot="1" x14ac:dyDescent="0.3">
      <c r="B103" s="75">
        <v>46171</v>
      </c>
      <c r="C103" t="e">
        <f>'2026'!#REF!</f>
        <v>#REF!</v>
      </c>
      <c r="D103">
        <f t="shared" si="1"/>
        <v>0</v>
      </c>
      <c r="E103">
        <f>E102+'2026'!H108</f>
        <v>23</v>
      </c>
      <c r="F103">
        <f>F102+'2026'!L108</f>
        <v>24.5</v>
      </c>
      <c r="G103">
        <f>G102+'2026'!P108</f>
        <v>22.5</v>
      </c>
      <c r="H103">
        <f>H102+'2026'!T108</f>
        <v>24</v>
      </c>
    </row>
    <row r="104" spans="2:8" ht="15.75" thickTop="1" x14ac:dyDescent="0.25">
      <c r="B104" s="74">
        <v>46174</v>
      </c>
      <c r="C104" t="e">
        <f>'2026'!#REF!</f>
        <v>#REF!</v>
      </c>
      <c r="D104">
        <f t="shared" si="1"/>
        <v>0</v>
      </c>
      <c r="E104">
        <f>E103+'2026'!H109</f>
        <v>23</v>
      </c>
      <c r="F104">
        <f>F103+'2026'!L109</f>
        <v>24.5</v>
      </c>
      <c r="G104">
        <f>G103+'2026'!P109</f>
        <v>22.5</v>
      </c>
      <c r="H104">
        <f>H103+'2026'!T109</f>
        <v>24</v>
      </c>
    </row>
    <row r="105" spans="2:8" x14ac:dyDescent="0.25">
      <c r="B105" s="74">
        <v>46175</v>
      </c>
      <c r="C105" t="e">
        <f>'2026'!#REF!</f>
        <v>#REF!</v>
      </c>
      <c r="D105">
        <f t="shared" si="1"/>
        <v>0</v>
      </c>
      <c r="E105">
        <f>E104+'2026'!H110</f>
        <v>23</v>
      </c>
      <c r="F105">
        <f>F104+'2026'!L110</f>
        <v>24.5</v>
      </c>
      <c r="G105">
        <f>G104+'2026'!P110</f>
        <v>22.5</v>
      </c>
      <c r="H105">
        <f>H104+'2026'!T110</f>
        <v>24</v>
      </c>
    </row>
    <row r="106" spans="2:8" x14ac:dyDescent="0.25">
      <c r="B106" s="74">
        <v>46176</v>
      </c>
      <c r="C106" t="e">
        <f>'2026'!#REF!</f>
        <v>#REF!</v>
      </c>
      <c r="D106">
        <f t="shared" si="1"/>
        <v>0</v>
      </c>
      <c r="E106">
        <f>E105+'2026'!H111</f>
        <v>23</v>
      </c>
      <c r="F106">
        <f>F105+'2026'!L111</f>
        <v>24.5</v>
      </c>
      <c r="G106">
        <f>G105+'2026'!P111</f>
        <v>22.5</v>
      </c>
      <c r="H106">
        <f>H105+'2026'!T111</f>
        <v>24</v>
      </c>
    </row>
    <row r="107" spans="2:8" x14ac:dyDescent="0.25">
      <c r="B107" s="74">
        <v>46177</v>
      </c>
      <c r="C107" t="e">
        <f>'2026'!#REF!</f>
        <v>#REF!</v>
      </c>
      <c r="D107">
        <f t="shared" si="1"/>
        <v>0</v>
      </c>
      <c r="E107">
        <f>E106+'2026'!H112</f>
        <v>23.5</v>
      </c>
      <c r="F107">
        <f>F106+'2026'!L112</f>
        <v>24.5</v>
      </c>
      <c r="G107">
        <f>G106+'2026'!P112</f>
        <v>22.5</v>
      </c>
      <c r="H107">
        <f>H106+'2026'!T112</f>
        <v>24</v>
      </c>
    </row>
    <row r="108" spans="2:8" ht="15.75" thickBot="1" x14ac:dyDescent="0.3">
      <c r="B108" s="117">
        <v>46178</v>
      </c>
      <c r="C108" t="e">
        <f>'2026'!#REF!</f>
        <v>#REF!</v>
      </c>
      <c r="D108">
        <f t="shared" si="1"/>
        <v>0</v>
      </c>
      <c r="E108">
        <f>E107+'2026'!H113</f>
        <v>25</v>
      </c>
      <c r="F108">
        <f>F107+'2026'!L113</f>
        <v>25</v>
      </c>
      <c r="G108">
        <f>G107+'2026'!P113</f>
        <v>23</v>
      </c>
      <c r="H108">
        <f>H107+'2026'!T113</f>
        <v>24</v>
      </c>
    </row>
    <row r="109" spans="2:8" ht="15.75" thickTop="1" x14ac:dyDescent="0.25">
      <c r="B109" s="73">
        <v>46181</v>
      </c>
      <c r="C109" t="e">
        <f>'2026'!#REF!</f>
        <v>#REF!</v>
      </c>
      <c r="D109">
        <f t="shared" si="1"/>
        <v>0</v>
      </c>
      <c r="E109">
        <f>E108+'2026'!H114</f>
        <v>26</v>
      </c>
      <c r="F109">
        <f>F108+'2026'!L114</f>
        <v>25.5</v>
      </c>
      <c r="G109">
        <f>G108+'2026'!P114</f>
        <v>24</v>
      </c>
      <c r="H109">
        <f>H108+'2026'!T114</f>
        <v>24.5</v>
      </c>
    </row>
    <row r="110" spans="2:8" x14ac:dyDescent="0.25">
      <c r="B110" s="74">
        <v>46182</v>
      </c>
      <c r="C110" t="e">
        <f>'2026'!#REF!</f>
        <v>#REF!</v>
      </c>
      <c r="D110">
        <f t="shared" si="1"/>
        <v>0</v>
      </c>
      <c r="E110">
        <f>E109+'2026'!H115</f>
        <v>27</v>
      </c>
      <c r="F110">
        <f>F109+'2026'!L115</f>
        <v>25.5</v>
      </c>
      <c r="G110">
        <f>G109+'2026'!P115</f>
        <v>24</v>
      </c>
      <c r="H110">
        <f>H109+'2026'!T115</f>
        <v>25</v>
      </c>
    </row>
    <row r="111" spans="2:8" x14ac:dyDescent="0.25">
      <c r="B111" s="74">
        <v>46183</v>
      </c>
      <c r="C111" t="e">
        <f>'2026'!#REF!</f>
        <v>#REF!</v>
      </c>
      <c r="D111">
        <f t="shared" si="1"/>
        <v>0</v>
      </c>
      <c r="E111">
        <f>E110+'2026'!H116</f>
        <v>27</v>
      </c>
      <c r="F111">
        <f>F110+'2026'!L116</f>
        <v>25.5</v>
      </c>
      <c r="G111">
        <f>G110+'2026'!P116</f>
        <v>24</v>
      </c>
      <c r="H111">
        <f>H110+'2026'!T116</f>
        <v>25</v>
      </c>
    </row>
    <row r="112" spans="2:8" x14ac:dyDescent="0.25">
      <c r="B112" s="74">
        <v>46184</v>
      </c>
      <c r="C112" t="e">
        <f>'2026'!#REF!</f>
        <v>#REF!</v>
      </c>
      <c r="D112">
        <f t="shared" si="1"/>
        <v>0</v>
      </c>
      <c r="E112">
        <f>E111+'2026'!H117</f>
        <v>28</v>
      </c>
      <c r="F112">
        <f>F111+'2026'!L117</f>
        <v>25.5</v>
      </c>
      <c r="G112">
        <f>G111+'2026'!P117</f>
        <v>24</v>
      </c>
      <c r="H112">
        <f>H111+'2026'!T117</f>
        <v>26</v>
      </c>
    </row>
    <row r="113" spans="2:8" ht="15.75" thickBot="1" x14ac:dyDescent="0.3">
      <c r="B113" s="75">
        <v>46185</v>
      </c>
      <c r="C113" t="e">
        <f>'2026'!#REF!</f>
        <v>#REF!</v>
      </c>
      <c r="D113">
        <f t="shared" si="1"/>
        <v>0</v>
      </c>
      <c r="E113">
        <f>E112+'2026'!H118</f>
        <v>28.5</v>
      </c>
      <c r="F113">
        <f>F112+'2026'!L118</f>
        <v>25.5</v>
      </c>
      <c r="G113">
        <f>G112+'2026'!P118</f>
        <v>24</v>
      </c>
      <c r="H113">
        <f>H112+'2026'!T118</f>
        <v>26.5</v>
      </c>
    </row>
    <row r="114" spans="2:8" ht="15.75" thickTop="1" x14ac:dyDescent="0.25">
      <c r="B114" s="74">
        <v>46188</v>
      </c>
      <c r="C114" t="e">
        <f>'2026'!#REF!</f>
        <v>#REF!</v>
      </c>
      <c r="D114">
        <f t="shared" si="1"/>
        <v>0</v>
      </c>
      <c r="E114">
        <f>E113+'2026'!H119</f>
        <v>28.5</v>
      </c>
      <c r="F114">
        <f>F113+'2026'!L119</f>
        <v>26</v>
      </c>
      <c r="G114">
        <f>G113+'2026'!P119</f>
        <v>24.5</v>
      </c>
      <c r="H114">
        <f>H113+'2026'!T119</f>
        <v>27</v>
      </c>
    </row>
    <row r="115" spans="2:8" x14ac:dyDescent="0.25">
      <c r="B115" s="74">
        <v>46189</v>
      </c>
      <c r="C115" t="e">
        <f>'2026'!#REF!</f>
        <v>#REF!</v>
      </c>
      <c r="D115">
        <f t="shared" si="1"/>
        <v>0</v>
      </c>
      <c r="E115">
        <f>E114+'2026'!H120</f>
        <v>28.5</v>
      </c>
      <c r="F115">
        <f>F114+'2026'!L120</f>
        <v>27</v>
      </c>
      <c r="G115">
        <f>G114+'2026'!P120</f>
        <v>24.5</v>
      </c>
      <c r="H115">
        <f>H114+'2026'!T120</f>
        <v>27</v>
      </c>
    </row>
    <row r="116" spans="2:8" x14ac:dyDescent="0.25">
      <c r="B116" s="74">
        <v>46190</v>
      </c>
      <c r="C116" t="e">
        <f>'2026'!#REF!</f>
        <v>#REF!</v>
      </c>
      <c r="D116">
        <f t="shared" si="1"/>
        <v>0</v>
      </c>
      <c r="E116">
        <f>E115+'2026'!H121</f>
        <v>29.5</v>
      </c>
      <c r="F116">
        <f>F115+'2026'!L121</f>
        <v>27</v>
      </c>
      <c r="G116">
        <f>G115+'2026'!P121</f>
        <v>24.5</v>
      </c>
      <c r="H116">
        <f>H115+'2026'!T121</f>
        <v>27</v>
      </c>
    </row>
    <row r="117" spans="2:8" x14ac:dyDescent="0.25">
      <c r="B117" s="74">
        <v>46191</v>
      </c>
      <c r="C117" t="e">
        <f>'2026'!#REF!</f>
        <v>#REF!</v>
      </c>
      <c r="D117">
        <f t="shared" si="1"/>
        <v>0</v>
      </c>
      <c r="E117">
        <f>E116+'2026'!H122</f>
        <v>30</v>
      </c>
      <c r="F117">
        <f>F116+'2026'!L122</f>
        <v>27.5</v>
      </c>
      <c r="G117">
        <f>G116+'2026'!P122</f>
        <v>24.5</v>
      </c>
      <c r="H117">
        <f>H116+'2026'!T122</f>
        <v>27</v>
      </c>
    </row>
    <row r="118" spans="2:8" ht="15.75" thickBot="1" x14ac:dyDescent="0.3">
      <c r="B118" s="117">
        <v>46192</v>
      </c>
      <c r="C118" t="e">
        <f>'2026'!#REF!</f>
        <v>#REF!</v>
      </c>
      <c r="D118">
        <f t="shared" si="1"/>
        <v>0</v>
      </c>
      <c r="E118">
        <f>E117+'2026'!H123</f>
        <v>30</v>
      </c>
      <c r="F118">
        <f>F117+'2026'!L123</f>
        <v>27.5</v>
      </c>
      <c r="G118">
        <f>G117+'2026'!P123</f>
        <v>24.5</v>
      </c>
      <c r="H118">
        <f>H117+'2026'!T123</f>
        <v>27</v>
      </c>
    </row>
    <row r="119" spans="2:8" ht="15.75" thickTop="1" x14ac:dyDescent="0.25">
      <c r="B119" s="73">
        <v>46195</v>
      </c>
      <c r="C119" t="e">
        <f>'2026'!#REF!</f>
        <v>#REF!</v>
      </c>
      <c r="D119">
        <f t="shared" si="1"/>
        <v>0</v>
      </c>
      <c r="E119">
        <f>E118+'2026'!H124</f>
        <v>30</v>
      </c>
      <c r="F119">
        <f>F118+'2026'!L124</f>
        <v>27.5</v>
      </c>
      <c r="G119">
        <f>G118+'2026'!P124</f>
        <v>24.5</v>
      </c>
      <c r="H119">
        <f>H118+'2026'!T124</f>
        <v>27</v>
      </c>
    </row>
    <row r="120" spans="2:8" x14ac:dyDescent="0.25">
      <c r="B120" s="74">
        <v>46196</v>
      </c>
      <c r="C120" t="e">
        <f>'2026'!#REF!</f>
        <v>#REF!</v>
      </c>
      <c r="D120">
        <f t="shared" si="1"/>
        <v>0</v>
      </c>
      <c r="E120">
        <f>E119+'2026'!H125</f>
        <v>30</v>
      </c>
      <c r="F120">
        <f>F119+'2026'!L125</f>
        <v>27.5</v>
      </c>
      <c r="G120">
        <f>G119+'2026'!P125</f>
        <v>24.5</v>
      </c>
      <c r="H120">
        <f>H119+'2026'!T125</f>
        <v>27.5</v>
      </c>
    </row>
    <row r="121" spans="2:8" x14ac:dyDescent="0.25">
      <c r="B121" s="74">
        <v>46197</v>
      </c>
      <c r="C121" t="e">
        <f>'2026'!#REF!</f>
        <v>#REF!</v>
      </c>
      <c r="D121">
        <f t="shared" si="1"/>
        <v>0</v>
      </c>
      <c r="E121">
        <f>E120+'2026'!H126</f>
        <v>30.5</v>
      </c>
      <c r="F121">
        <f>F120+'2026'!L126</f>
        <v>28</v>
      </c>
      <c r="G121">
        <f>G120+'2026'!P126</f>
        <v>25</v>
      </c>
      <c r="H121">
        <f>H120+'2026'!T126</f>
        <v>27.5</v>
      </c>
    </row>
    <row r="122" spans="2:8" x14ac:dyDescent="0.25">
      <c r="B122" s="74">
        <v>46198</v>
      </c>
      <c r="C122" t="e">
        <f>'2026'!#REF!</f>
        <v>#REF!</v>
      </c>
      <c r="D122">
        <f t="shared" si="1"/>
        <v>0</v>
      </c>
      <c r="E122">
        <f>E121+'2026'!H127</f>
        <v>30.5</v>
      </c>
      <c r="F122">
        <f>F121+'2026'!L127</f>
        <v>28</v>
      </c>
      <c r="G122">
        <f>G121+'2026'!P127</f>
        <v>25</v>
      </c>
      <c r="H122">
        <f>H121+'2026'!T127</f>
        <v>27.5</v>
      </c>
    </row>
    <row r="123" spans="2:8" ht="15.75" thickBot="1" x14ac:dyDescent="0.3">
      <c r="B123" s="75">
        <v>46199</v>
      </c>
      <c r="C123" t="e">
        <f>'2026'!#REF!</f>
        <v>#REF!</v>
      </c>
      <c r="D123">
        <f t="shared" si="1"/>
        <v>0</v>
      </c>
      <c r="E123">
        <f>E122+'2026'!H128</f>
        <v>31</v>
      </c>
      <c r="F123">
        <f>F122+'2026'!L128</f>
        <v>28.5</v>
      </c>
      <c r="G123">
        <f>G122+'2026'!P128</f>
        <v>25.5</v>
      </c>
      <c r="H123">
        <f>H122+'2026'!T128</f>
        <v>27.5</v>
      </c>
    </row>
    <row r="124" spans="2:8" ht="15.75" thickTop="1" x14ac:dyDescent="0.25">
      <c r="B124" s="74">
        <v>46202</v>
      </c>
      <c r="C124" t="e">
        <f>'2026'!#REF!</f>
        <v>#REF!</v>
      </c>
      <c r="D124">
        <f t="shared" si="1"/>
        <v>0</v>
      </c>
      <c r="E124">
        <f>E123+'2026'!H129</f>
        <v>31</v>
      </c>
      <c r="F124">
        <f>F123+'2026'!L129</f>
        <v>28.5</v>
      </c>
      <c r="G124">
        <f>G123+'2026'!P129</f>
        <v>25.5</v>
      </c>
      <c r="H124">
        <f>H123+'2026'!T129</f>
        <v>28.5</v>
      </c>
    </row>
    <row r="125" spans="2:8" x14ac:dyDescent="0.25">
      <c r="B125" s="74">
        <v>46203</v>
      </c>
      <c r="C125" t="e">
        <f>'2026'!#REF!</f>
        <v>#REF!</v>
      </c>
      <c r="D125">
        <f t="shared" si="1"/>
        <v>0</v>
      </c>
      <c r="E125">
        <f>E124+'2026'!H130</f>
        <v>31</v>
      </c>
      <c r="F125">
        <f>F124+'2026'!L130</f>
        <v>28.5</v>
      </c>
      <c r="G125">
        <f>G124+'2026'!P130</f>
        <v>25.5</v>
      </c>
      <c r="H125">
        <f>H124+'2026'!T130</f>
        <v>28.5</v>
      </c>
    </row>
    <row r="126" spans="2:8" x14ac:dyDescent="0.25">
      <c r="B126" s="74">
        <v>46204</v>
      </c>
      <c r="C126" t="e">
        <f>'2026'!#REF!</f>
        <v>#REF!</v>
      </c>
      <c r="D126">
        <f t="shared" si="1"/>
        <v>0</v>
      </c>
      <c r="E126">
        <f>E125+'2026'!H131</f>
        <v>31</v>
      </c>
      <c r="F126">
        <f>F125+'2026'!L131</f>
        <v>28.5</v>
      </c>
      <c r="G126">
        <f>G125+'2026'!P131</f>
        <v>25.5</v>
      </c>
      <c r="H126">
        <f>H125+'2026'!T131</f>
        <v>28.5</v>
      </c>
    </row>
    <row r="127" spans="2:8" x14ac:dyDescent="0.25">
      <c r="B127" s="74">
        <v>46205</v>
      </c>
      <c r="C127" t="e">
        <f>'2026'!#REF!</f>
        <v>#REF!</v>
      </c>
      <c r="D127">
        <f t="shared" si="1"/>
        <v>0</v>
      </c>
      <c r="E127">
        <f>E126+'2026'!H132</f>
        <v>31.5</v>
      </c>
      <c r="F127">
        <f>F126+'2026'!L132</f>
        <v>29</v>
      </c>
      <c r="G127">
        <f>G126+'2026'!P132</f>
        <v>26</v>
      </c>
      <c r="H127">
        <f>H126+'2026'!T132</f>
        <v>28.5</v>
      </c>
    </row>
    <row r="128" spans="2:8" ht="15.75" thickBot="1" x14ac:dyDescent="0.3">
      <c r="B128" s="117">
        <v>46206</v>
      </c>
      <c r="C128" t="e">
        <f>'2026'!#REF!</f>
        <v>#REF!</v>
      </c>
      <c r="D128">
        <f t="shared" si="1"/>
        <v>0</v>
      </c>
      <c r="E128">
        <f>E127+'2026'!H133</f>
        <v>32</v>
      </c>
      <c r="F128">
        <f>F127+'2026'!L133</f>
        <v>29.5</v>
      </c>
      <c r="G128">
        <f>G127+'2026'!P133</f>
        <v>26.5</v>
      </c>
      <c r="H128">
        <f>H127+'2026'!T133</f>
        <v>29</v>
      </c>
    </row>
    <row r="129" spans="2:8" ht="15.75" thickTop="1" x14ac:dyDescent="0.25">
      <c r="B129" s="73">
        <v>46209</v>
      </c>
      <c r="C129" t="e">
        <f>'2026'!#REF!</f>
        <v>#REF!</v>
      </c>
      <c r="D129">
        <f t="shared" si="1"/>
        <v>0</v>
      </c>
      <c r="E129">
        <f>E128+'2026'!H134</f>
        <v>32</v>
      </c>
      <c r="F129">
        <f>F128+'2026'!L134</f>
        <v>29.5</v>
      </c>
      <c r="G129">
        <f>G128+'2026'!P134</f>
        <v>27.5</v>
      </c>
      <c r="H129">
        <f>H128+'2026'!T134</f>
        <v>29</v>
      </c>
    </row>
    <row r="130" spans="2:8" x14ac:dyDescent="0.25">
      <c r="B130" s="74">
        <v>46210</v>
      </c>
      <c r="C130" t="e">
        <f>'2026'!#REF!</f>
        <v>#REF!</v>
      </c>
      <c r="D130">
        <f t="shared" si="1"/>
        <v>0</v>
      </c>
      <c r="E130">
        <f>E129+'2026'!H135</f>
        <v>32.5</v>
      </c>
      <c r="F130">
        <f>F129+'2026'!L135</f>
        <v>30</v>
      </c>
      <c r="G130">
        <f>G129+'2026'!P135</f>
        <v>27.5</v>
      </c>
      <c r="H130">
        <f>H129+'2026'!T135</f>
        <v>29</v>
      </c>
    </row>
    <row r="131" spans="2:8" x14ac:dyDescent="0.25">
      <c r="B131" s="74">
        <v>46211</v>
      </c>
      <c r="C131" t="e">
        <f>'2026'!#REF!</f>
        <v>#REF!</v>
      </c>
      <c r="D131">
        <f t="shared" si="1"/>
        <v>0</v>
      </c>
      <c r="E131">
        <f>E130+'2026'!H136</f>
        <v>32.5</v>
      </c>
      <c r="F131">
        <f>F130+'2026'!L136</f>
        <v>30</v>
      </c>
      <c r="G131">
        <f>G130+'2026'!P136</f>
        <v>27.5</v>
      </c>
      <c r="H131">
        <f>H130+'2026'!T136</f>
        <v>29</v>
      </c>
    </row>
    <row r="132" spans="2:8" x14ac:dyDescent="0.25">
      <c r="B132" s="74">
        <v>46212</v>
      </c>
      <c r="C132" t="e">
        <f>'2026'!#REF!</f>
        <v>#REF!</v>
      </c>
      <c r="D132">
        <f t="shared" si="1"/>
        <v>0</v>
      </c>
      <c r="E132">
        <f>E131+'2026'!H137</f>
        <v>32.5</v>
      </c>
      <c r="F132">
        <f>F131+'2026'!L137</f>
        <v>30.5</v>
      </c>
      <c r="G132">
        <f>G131+'2026'!P137</f>
        <v>27.5</v>
      </c>
      <c r="H132">
        <f>H131+'2026'!T137</f>
        <v>29</v>
      </c>
    </row>
    <row r="133" spans="2:8" ht="15.75" thickBot="1" x14ac:dyDescent="0.3">
      <c r="B133" s="75">
        <v>46213</v>
      </c>
      <c r="C133" t="e">
        <f>'2026'!#REF!</f>
        <v>#REF!</v>
      </c>
      <c r="D133">
        <f t="shared" ref="D133:D196" si="2">IF(ISNUMBER(C133),C133,0)</f>
        <v>0</v>
      </c>
      <c r="E133">
        <f>E132+'2026'!H138</f>
        <v>32.5</v>
      </c>
      <c r="F133">
        <f>F132+'2026'!L138</f>
        <v>31</v>
      </c>
      <c r="G133">
        <f>G132+'2026'!P138</f>
        <v>27.5</v>
      </c>
      <c r="H133">
        <f>H132+'2026'!T138</f>
        <v>29</v>
      </c>
    </row>
    <row r="134" spans="2:8" ht="15.75" thickTop="1" x14ac:dyDescent="0.25">
      <c r="B134" s="74">
        <v>46216</v>
      </c>
      <c r="C134" t="e">
        <f>'2026'!#REF!</f>
        <v>#REF!</v>
      </c>
      <c r="D134">
        <f t="shared" si="2"/>
        <v>0</v>
      </c>
      <c r="E134">
        <f>E133+'2026'!H139</f>
        <v>32.5</v>
      </c>
      <c r="F134">
        <f>F133+'2026'!L139</f>
        <v>31</v>
      </c>
      <c r="G134">
        <f>G133+'2026'!P139</f>
        <v>27.5</v>
      </c>
      <c r="H134">
        <f>H133+'2026'!T139</f>
        <v>29</v>
      </c>
    </row>
    <row r="135" spans="2:8" x14ac:dyDescent="0.25">
      <c r="B135" s="74">
        <v>46217</v>
      </c>
      <c r="C135" t="e">
        <f>'2026'!#REF!</f>
        <v>#REF!</v>
      </c>
      <c r="D135">
        <f t="shared" si="2"/>
        <v>0</v>
      </c>
      <c r="E135">
        <f>E134+'2026'!H140</f>
        <v>32.5</v>
      </c>
      <c r="F135">
        <f>F134+'2026'!L140</f>
        <v>31</v>
      </c>
      <c r="G135">
        <f>G134+'2026'!P140</f>
        <v>27.5</v>
      </c>
      <c r="H135">
        <f>H134+'2026'!T140</f>
        <v>29</v>
      </c>
    </row>
    <row r="136" spans="2:8" x14ac:dyDescent="0.25">
      <c r="B136" s="74">
        <v>46218</v>
      </c>
      <c r="C136" t="e">
        <f>'2026'!#REF!</f>
        <v>#REF!</v>
      </c>
      <c r="D136">
        <f t="shared" si="2"/>
        <v>0</v>
      </c>
      <c r="E136">
        <f>E135+'2026'!H141</f>
        <v>32.5</v>
      </c>
      <c r="F136">
        <f>F135+'2026'!L141</f>
        <v>32</v>
      </c>
      <c r="G136">
        <f>G135+'2026'!P141</f>
        <v>27.5</v>
      </c>
      <c r="H136">
        <f>H135+'2026'!T141</f>
        <v>29.5</v>
      </c>
    </row>
    <row r="137" spans="2:8" x14ac:dyDescent="0.25">
      <c r="B137" s="74">
        <v>46219</v>
      </c>
      <c r="C137" t="e">
        <f>'2026'!#REF!</f>
        <v>#REF!</v>
      </c>
      <c r="D137">
        <f t="shared" si="2"/>
        <v>0</v>
      </c>
      <c r="E137">
        <f>E136+'2026'!H142</f>
        <v>33</v>
      </c>
      <c r="F137">
        <f>F136+'2026'!L142</f>
        <v>32.5</v>
      </c>
      <c r="G137">
        <f>G136+'2026'!P142</f>
        <v>27.5</v>
      </c>
      <c r="H137">
        <f>H136+'2026'!T142</f>
        <v>30</v>
      </c>
    </row>
    <row r="138" spans="2:8" ht="15.75" thickBot="1" x14ac:dyDescent="0.3">
      <c r="B138" s="117">
        <v>46220</v>
      </c>
      <c r="C138" t="e">
        <f>'2026'!#REF!</f>
        <v>#REF!</v>
      </c>
      <c r="D138">
        <f t="shared" si="2"/>
        <v>0</v>
      </c>
      <c r="E138">
        <f>E137+'2026'!H143</f>
        <v>33</v>
      </c>
      <c r="F138">
        <f>F137+'2026'!L143</f>
        <v>32.5</v>
      </c>
      <c r="G138">
        <f>G137+'2026'!P143</f>
        <v>27.5</v>
      </c>
      <c r="H138">
        <f>H137+'2026'!T143</f>
        <v>30</v>
      </c>
    </row>
    <row r="139" spans="2:8" ht="15.75" thickTop="1" x14ac:dyDescent="0.25">
      <c r="B139" s="73">
        <v>46223</v>
      </c>
      <c r="C139" t="e">
        <f>'2026'!#REF!</f>
        <v>#REF!</v>
      </c>
      <c r="D139">
        <f t="shared" si="2"/>
        <v>0</v>
      </c>
      <c r="E139">
        <f>E138+'2026'!H144</f>
        <v>33.5</v>
      </c>
      <c r="F139">
        <f>F138+'2026'!L144</f>
        <v>33</v>
      </c>
      <c r="G139">
        <f>G138+'2026'!P144</f>
        <v>28</v>
      </c>
      <c r="H139">
        <f>H138+'2026'!T144</f>
        <v>30</v>
      </c>
    </row>
    <row r="140" spans="2:8" x14ac:dyDescent="0.25">
      <c r="B140" s="74">
        <v>46224</v>
      </c>
      <c r="C140" t="e">
        <f>'2026'!#REF!</f>
        <v>#REF!</v>
      </c>
      <c r="D140">
        <f t="shared" si="2"/>
        <v>0</v>
      </c>
      <c r="E140">
        <f>E139+'2026'!H145</f>
        <v>33.5</v>
      </c>
      <c r="F140">
        <f>F139+'2026'!L145</f>
        <v>33</v>
      </c>
      <c r="G140">
        <f>G139+'2026'!P145</f>
        <v>28</v>
      </c>
      <c r="H140">
        <f>H139+'2026'!T145</f>
        <v>30</v>
      </c>
    </row>
    <row r="141" spans="2:8" x14ac:dyDescent="0.25">
      <c r="B141" s="74">
        <v>46225</v>
      </c>
      <c r="C141" t="e">
        <f>'2026'!#REF!</f>
        <v>#REF!</v>
      </c>
      <c r="D141">
        <f t="shared" si="2"/>
        <v>0</v>
      </c>
      <c r="E141">
        <f>E140+'2026'!H146</f>
        <v>33.5</v>
      </c>
      <c r="F141">
        <f>F140+'2026'!L146</f>
        <v>33</v>
      </c>
      <c r="G141">
        <f>G140+'2026'!P146</f>
        <v>28.5</v>
      </c>
      <c r="H141">
        <f>H140+'2026'!T146</f>
        <v>30</v>
      </c>
    </row>
    <row r="142" spans="2:8" x14ac:dyDescent="0.25">
      <c r="B142" s="74">
        <v>46226</v>
      </c>
      <c r="C142" t="e">
        <f>'2026'!#REF!</f>
        <v>#REF!</v>
      </c>
      <c r="D142">
        <f t="shared" si="2"/>
        <v>0</v>
      </c>
      <c r="E142">
        <f>E141+'2026'!H147</f>
        <v>34.5</v>
      </c>
      <c r="F142">
        <f>F141+'2026'!L147</f>
        <v>34</v>
      </c>
      <c r="G142">
        <f>G141+'2026'!P147</f>
        <v>29</v>
      </c>
      <c r="H142">
        <f>H141+'2026'!T147</f>
        <v>30</v>
      </c>
    </row>
    <row r="143" spans="2:8" ht="15.75" thickBot="1" x14ac:dyDescent="0.3">
      <c r="B143" s="75">
        <v>46227</v>
      </c>
      <c r="C143" t="e">
        <f>'2026'!#REF!</f>
        <v>#REF!</v>
      </c>
      <c r="D143">
        <f t="shared" si="2"/>
        <v>0</v>
      </c>
      <c r="E143">
        <f>E142+'2026'!H148</f>
        <v>34.5</v>
      </c>
      <c r="F143">
        <f>F142+'2026'!L148</f>
        <v>34</v>
      </c>
      <c r="G143">
        <f>G142+'2026'!P148</f>
        <v>29</v>
      </c>
      <c r="H143">
        <f>H142+'2026'!T148</f>
        <v>30</v>
      </c>
    </row>
    <row r="144" spans="2:8" ht="15.75" thickTop="1" x14ac:dyDescent="0.25">
      <c r="B144" s="74">
        <v>46230</v>
      </c>
      <c r="C144" t="e">
        <f>'2026'!#REF!</f>
        <v>#REF!</v>
      </c>
      <c r="D144">
        <f t="shared" si="2"/>
        <v>0</v>
      </c>
      <c r="E144">
        <f>E143+'2026'!H149</f>
        <v>34.5</v>
      </c>
      <c r="F144">
        <f>F143+'2026'!L149</f>
        <v>34</v>
      </c>
      <c r="G144">
        <f>G143+'2026'!P149</f>
        <v>29</v>
      </c>
      <c r="H144">
        <f>H143+'2026'!T149</f>
        <v>30</v>
      </c>
    </row>
    <row r="145" spans="2:8" x14ac:dyDescent="0.25">
      <c r="B145" s="74">
        <v>46231</v>
      </c>
      <c r="C145" t="e">
        <f>'2026'!#REF!</f>
        <v>#REF!</v>
      </c>
      <c r="D145">
        <f t="shared" si="2"/>
        <v>0</v>
      </c>
      <c r="E145">
        <f>E144+'2026'!H150</f>
        <v>34.5</v>
      </c>
      <c r="F145">
        <f>F144+'2026'!L150</f>
        <v>34</v>
      </c>
      <c r="G145">
        <f>G144+'2026'!P150</f>
        <v>30.5</v>
      </c>
      <c r="H145">
        <f>H144+'2026'!T150</f>
        <v>30</v>
      </c>
    </row>
    <row r="146" spans="2:8" x14ac:dyDescent="0.25">
      <c r="B146" s="74">
        <v>46232</v>
      </c>
      <c r="C146" t="e">
        <f>'2026'!#REF!</f>
        <v>#REF!</v>
      </c>
      <c r="D146">
        <f t="shared" si="2"/>
        <v>0</v>
      </c>
      <c r="E146">
        <f>E145+'2026'!H151</f>
        <v>34.5</v>
      </c>
      <c r="F146">
        <f>F145+'2026'!L151</f>
        <v>34</v>
      </c>
      <c r="G146">
        <f>G145+'2026'!P151</f>
        <v>30.5</v>
      </c>
      <c r="H146">
        <f>H145+'2026'!T151</f>
        <v>30</v>
      </c>
    </row>
    <row r="147" spans="2:8" x14ac:dyDescent="0.25">
      <c r="B147" s="74">
        <v>46233</v>
      </c>
      <c r="C147" t="e">
        <f>'2026'!#REF!</f>
        <v>#REF!</v>
      </c>
      <c r="D147">
        <f t="shared" si="2"/>
        <v>0</v>
      </c>
      <c r="E147">
        <f>E146+'2026'!H152</f>
        <v>35.5</v>
      </c>
      <c r="F147">
        <f>F146+'2026'!L152</f>
        <v>35</v>
      </c>
      <c r="G147">
        <f>G146+'2026'!P152</f>
        <v>31.5</v>
      </c>
      <c r="H147">
        <f>H146+'2026'!T152</f>
        <v>30</v>
      </c>
    </row>
    <row r="148" spans="2:8" ht="15.75" thickBot="1" x14ac:dyDescent="0.3">
      <c r="B148" s="117">
        <v>46234</v>
      </c>
      <c r="C148" t="e">
        <f>'2026'!#REF!</f>
        <v>#REF!</v>
      </c>
      <c r="D148">
        <f t="shared" si="2"/>
        <v>0</v>
      </c>
      <c r="E148">
        <f>E147+'2026'!H153</f>
        <v>35.5</v>
      </c>
      <c r="F148">
        <f>F147+'2026'!L153</f>
        <v>35</v>
      </c>
      <c r="G148">
        <f>G147+'2026'!P153</f>
        <v>31.5</v>
      </c>
      <c r="H148">
        <f>H147+'2026'!T153</f>
        <v>30</v>
      </c>
    </row>
    <row r="149" spans="2:8" ht="15.75" thickTop="1" x14ac:dyDescent="0.25">
      <c r="B149" s="73">
        <v>46237</v>
      </c>
      <c r="C149" t="e">
        <f>'2026'!#REF!</f>
        <v>#REF!</v>
      </c>
      <c r="D149">
        <f t="shared" si="2"/>
        <v>0</v>
      </c>
      <c r="E149">
        <f>E148+'2026'!H154</f>
        <v>36</v>
      </c>
      <c r="F149">
        <f>F148+'2026'!L154</f>
        <v>35.5</v>
      </c>
      <c r="G149">
        <f>G148+'2026'!P154</f>
        <v>32</v>
      </c>
      <c r="H149">
        <f>H148+'2026'!T154</f>
        <v>30</v>
      </c>
    </row>
    <row r="150" spans="2:8" x14ac:dyDescent="0.25">
      <c r="B150" s="74">
        <v>46238</v>
      </c>
      <c r="C150" t="e">
        <f>'2026'!#REF!</f>
        <v>#REF!</v>
      </c>
      <c r="D150">
        <f t="shared" si="2"/>
        <v>0</v>
      </c>
      <c r="E150">
        <f>E149+'2026'!H155</f>
        <v>36</v>
      </c>
      <c r="F150">
        <f>F149+'2026'!L155</f>
        <v>35.5</v>
      </c>
      <c r="G150">
        <f>G149+'2026'!P155</f>
        <v>32</v>
      </c>
      <c r="H150">
        <f>H149+'2026'!T155</f>
        <v>30.5</v>
      </c>
    </row>
    <row r="151" spans="2:8" x14ac:dyDescent="0.25">
      <c r="B151" s="74">
        <v>46239</v>
      </c>
      <c r="C151" t="e">
        <f>'2026'!#REF!</f>
        <v>#REF!</v>
      </c>
      <c r="D151">
        <f t="shared" si="2"/>
        <v>0</v>
      </c>
      <c r="E151">
        <f>E150+'2026'!H156</f>
        <v>36</v>
      </c>
      <c r="F151">
        <f>F150+'2026'!L156</f>
        <v>36</v>
      </c>
      <c r="G151">
        <f>G150+'2026'!P156</f>
        <v>32.5</v>
      </c>
      <c r="H151">
        <f>H150+'2026'!T156</f>
        <v>30.5</v>
      </c>
    </row>
    <row r="152" spans="2:8" x14ac:dyDescent="0.25">
      <c r="B152" s="74">
        <v>46240</v>
      </c>
      <c r="C152" t="e">
        <f>'2026'!#REF!</f>
        <v>#REF!</v>
      </c>
      <c r="D152">
        <f t="shared" si="2"/>
        <v>0</v>
      </c>
      <c r="E152">
        <f>E151+'2026'!H157</f>
        <v>36</v>
      </c>
      <c r="F152">
        <f>F151+'2026'!L157</f>
        <v>36</v>
      </c>
      <c r="G152">
        <f>G151+'2026'!P157</f>
        <v>32.5</v>
      </c>
      <c r="H152">
        <f>H151+'2026'!T157</f>
        <v>30.5</v>
      </c>
    </row>
    <row r="153" spans="2:8" ht="15.75" thickBot="1" x14ac:dyDescent="0.3">
      <c r="B153" s="75">
        <v>46241</v>
      </c>
      <c r="C153" t="e">
        <f>'2026'!#REF!</f>
        <v>#REF!</v>
      </c>
      <c r="D153">
        <f t="shared" si="2"/>
        <v>0</v>
      </c>
      <c r="E153">
        <f>E152+'2026'!H158</f>
        <v>36</v>
      </c>
      <c r="F153">
        <f>F152+'2026'!L158</f>
        <v>36</v>
      </c>
      <c r="G153">
        <f>G152+'2026'!P158</f>
        <v>33.5</v>
      </c>
      <c r="H153">
        <f>H152+'2026'!T158</f>
        <v>30.5</v>
      </c>
    </row>
    <row r="154" spans="2:8" ht="15.75" thickTop="1" x14ac:dyDescent="0.25">
      <c r="B154" s="74">
        <v>46244</v>
      </c>
      <c r="C154" t="e">
        <f>'2026'!#REF!</f>
        <v>#REF!</v>
      </c>
      <c r="D154">
        <f t="shared" si="2"/>
        <v>0</v>
      </c>
      <c r="E154">
        <f>E153+'2026'!H159</f>
        <v>36</v>
      </c>
      <c r="F154">
        <f>F153+'2026'!L159</f>
        <v>36</v>
      </c>
      <c r="G154">
        <f>G153+'2026'!P159</f>
        <v>33.5</v>
      </c>
      <c r="H154">
        <f>H153+'2026'!T159</f>
        <v>30.5</v>
      </c>
    </row>
    <row r="155" spans="2:8" x14ac:dyDescent="0.25">
      <c r="B155" s="74">
        <v>46245</v>
      </c>
      <c r="C155" t="e">
        <f>'2026'!#REF!</f>
        <v>#REF!</v>
      </c>
      <c r="D155">
        <f t="shared" si="2"/>
        <v>0</v>
      </c>
      <c r="E155">
        <f>E154+'2026'!H160</f>
        <v>36</v>
      </c>
      <c r="F155">
        <f>F154+'2026'!L160</f>
        <v>36</v>
      </c>
      <c r="G155">
        <f>G154+'2026'!P160</f>
        <v>33.5</v>
      </c>
      <c r="H155">
        <f>H154+'2026'!T160</f>
        <v>30.5</v>
      </c>
    </row>
    <row r="156" spans="2:8" x14ac:dyDescent="0.25">
      <c r="B156" s="74">
        <v>46246</v>
      </c>
      <c r="C156" t="e">
        <f>'2026'!#REF!</f>
        <v>#REF!</v>
      </c>
      <c r="D156">
        <f t="shared" si="2"/>
        <v>0</v>
      </c>
      <c r="E156">
        <f>E155+'2026'!H161</f>
        <v>36</v>
      </c>
      <c r="F156">
        <f>F155+'2026'!L161</f>
        <v>36</v>
      </c>
      <c r="G156">
        <f>G155+'2026'!P161</f>
        <v>33.5</v>
      </c>
      <c r="H156">
        <f>H155+'2026'!T161</f>
        <v>30.5</v>
      </c>
    </row>
    <row r="157" spans="2:8" x14ac:dyDescent="0.25">
      <c r="B157" s="74">
        <v>46247</v>
      </c>
      <c r="C157" t="e">
        <f>'2026'!#REF!</f>
        <v>#REF!</v>
      </c>
      <c r="D157">
        <f t="shared" si="2"/>
        <v>0</v>
      </c>
      <c r="E157">
        <f>E156+'2026'!H162</f>
        <v>36</v>
      </c>
      <c r="F157">
        <f>F156+'2026'!L162</f>
        <v>36</v>
      </c>
      <c r="G157">
        <f>G156+'2026'!P162</f>
        <v>33.5</v>
      </c>
      <c r="H157">
        <f>H156+'2026'!T162</f>
        <v>30.5</v>
      </c>
    </row>
    <row r="158" spans="2:8" ht="15.75" thickBot="1" x14ac:dyDescent="0.3">
      <c r="B158" s="117">
        <v>46248</v>
      </c>
      <c r="C158" t="e">
        <f>'2026'!#REF!</f>
        <v>#REF!</v>
      </c>
      <c r="D158">
        <f t="shared" si="2"/>
        <v>0</v>
      </c>
      <c r="E158">
        <f>E157+'2026'!H163</f>
        <v>36</v>
      </c>
      <c r="F158">
        <f>F157+'2026'!L163</f>
        <v>36</v>
      </c>
      <c r="G158">
        <f>G157+'2026'!P163</f>
        <v>33.5</v>
      </c>
      <c r="H158">
        <f>H157+'2026'!T163</f>
        <v>30.5</v>
      </c>
    </row>
    <row r="159" spans="2:8" ht="15.75" thickTop="1" x14ac:dyDescent="0.25">
      <c r="B159" s="73">
        <v>46251</v>
      </c>
      <c r="C159" t="e">
        <f>'2026'!#REF!</f>
        <v>#REF!</v>
      </c>
      <c r="D159">
        <f t="shared" si="2"/>
        <v>0</v>
      </c>
      <c r="E159">
        <f>E158+'2026'!H164</f>
        <v>36</v>
      </c>
      <c r="F159">
        <f>F158+'2026'!L164</f>
        <v>36</v>
      </c>
      <c r="G159">
        <f>G158+'2026'!P164</f>
        <v>33.5</v>
      </c>
      <c r="H159">
        <f>H158+'2026'!T164</f>
        <v>30.5</v>
      </c>
    </row>
    <row r="160" spans="2:8" x14ac:dyDescent="0.25">
      <c r="B160" s="74">
        <v>46252</v>
      </c>
      <c r="C160" t="e">
        <f>'2026'!#REF!</f>
        <v>#REF!</v>
      </c>
      <c r="D160">
        <f t="shared" si="2"/>
        <v>0</v>
      </c>
      <c r="E160">
        <f>E159+'2026'!H165</f>
        <v>36</v>
      </c>
      <c r="F160">
        <f>F159+'2026'!L165</f>
        <v>36</v>
      </c>
      <c r="G160">
        <f>G159+'2026'!P165</f>
        <v>33.5</v>
      </c>
      <c r="H160">
        <f>H159+'2026'!T165</f>
        <v>30.5</v>
      </c>
    </row>
    <row r="161" spans="2:8" x14ac:dyDescent="0.25">
      <c r="B161" s="74">
        <v>46253</v>
      </c>
      <c r="C161" t="e">
        <f>'2026'!#REF!</f>
        <v>#REF!</v>
      </c>
      <c r="D161">
        <f t="shared" si="2"/>
        <v>0</v>
      </c>
      <c r="E161">
        <f>E160+'2026'!H166</f>
        <v>36</v>
      </c>
      <c r="F161">
        <f>F160+'2026'!L166</f>
        <v>36</v>
      </c>
      <c r="G161">
        <f>G160+'2026'!P166</f>
        <v>33.5</v>
      </c>
      <c r="H161">
        <f>H160+'2026'!T166</f>
        <v>30.5</v>
      </c>
    </row>
    <row r="162" spans="2:8" x14ac:dyDescent="0.25">
      <c r="B162" s="74">
        <v>46254</v>
      </c>
      <c r="C162" t="e">
        <f>'2026'!#REF!</f>
        <v>#REF!</v>
      </c>
      <c r="D162">
        <f t="shared" si="2"/>
        <v>0</v>
      </c>
      <c r="E162">
        <f>E161+'2026'!H167</f>
        <v>36</v>
      </c>
      <c r="F162">
        <f>F161+'2026'!L167</f>
        <v>36</v>
      </c>
      <c r="G162">
        <f>G161+'2026'!P167</f>
        <v>33.5</v>
      </c>
      <c r="H162">
        <f>H161+'2026'!T167</f>
        <v>30.5</v>
      </c>
    </row>
    <row r="163" spans="2:8" ht="15.75" thickBot="1" x14ac:dyDescent="0.3">
      <c r="B163" s="75">
        <v>46255</v>
      </c>
      <c r="C163" t="e">
        <f>'2026'!#REF!</f>
        <v>#REF!</v>
      </c>
      <c r="D163">
        <f t="shared" si="2"/>
        <v>0</v>
      </c>
      <c r="E163">
        <f>E162+'2026'!H168</f>
        <v>36</v>
      </c>
      <c r="F163">
        <f>F162+'2026'!L168</f>
        <v>36</v>
      </c>
      <c r="G163">
        <f>G162+'2026'!P168</f>
        <v>33.5</v>
      </c>
      <c r="H163">
        <f>H162+'2026'!T168</f>
        <v>30.5</v>
      </c>
    </row>
    <row r="164" spans="2:8" ht="15.75" thickTop="1" x14ac:dyDescent="0.25">
      <c r="B164" s="74">
        <v>46258</v>
      </c>
      <c r="C164" t="e">
        <f>'2026'!#REF!</f>
        <v>#REF!</v>
      </c>
      <c r="D164">
        <f t="shared" si="2"/>
        <v>0</v>
      </c>
      <c r="E164">
        <f>E163+'2026'!H169</f>
        <v>36.5</v>
      </c>
      <c r="F164">
        <f>F163+'2026'!L169</f>
        <v>36.5</v>
      </c>
      <c r="G164">
        <f>G163+'2026'!P169</f>
        <v>34</v>
      </c>
      <c r="H164">
        <f>H163+'2026'!T169</f>
        <v>31</v>
      </c>
    </row>
    <row r="165" spans="2:8" x14ac:dyDescent="0.25">
      <c r="B165" s="74">
        <v>46259</v>
      </c>
      <c r="C165" t="e">
        <f>'2026'!#REF!</f>
        <v>#REF!</v>
      </c>
      <c r="D165">
        <f t="shared" si="2"/>
        <v>0</v>
      </c>
      <c r="E165">
        <f>E164+'2026'!H170</f>
        <v>36.5</v>
      </c>
      <c r="F165">
        <f>F164+'2026'!L170</f>
        <v>36.5</v>
      </c>
      <c r="G165">
        <f>G164+'2026'!P170</f>
        <v>34.5</v>
      </c>
      <c r="H165">
        <f>H164+'2026'!T170</f>
        <v>31.5</v>
      </c>
    </row>
    <row r="166" spans="2:8" x14ac:dyDescent="0.25">
      <c r="B166" s="74">
        <v>46260</v>
      </c>
      <c r="C166" t="e">
        <f>'2026'!#REF!</f>
        <v>#REF!</v>
      </c>
      <c r="D166">
        <f t="shared" si="2"/>
        <v>0</v>
      </c>
      <c r="E166">
        <f>E165+'2026'!H171</f>
        <v>36.5</v>
      </c>
      <c r="F166">
        <f>F165+'2026'!L171</f>
        <v>36.5</v>
      </c>
      <c r="G166">
        <f>G165+'2026'!P171</f>
        <v>34.5</v>
      </c>
      <c r="H166">
        <f>H165+'2026'!T171</f>
        <v>32</v>
      </c>
    </row>
    <row r="167" spans="2:8" x14ac:dyDescent="0.25">
      <c r="B167" s="74">
        <v>46261</v>
      </c>
      <c r="C167" t="e">
        <f>'2026'!#REF!</f>
        <v>#REF!</v>
      </c>
      <c r="D167">
        <f t="shared" si="2"/>
        <v>0</v>
      </c>
      <c r="E167">
        <f>E166+'2026'!H172</f>
        <v>36.5</v>
      </c>
      <c r="F167">
        <f>F166+'2026'!L172</f>
        <v>36.5</v>
      </c>
      <c r="G167">
        <f>G166+'2026'!P172</f>
        <v>36</v>
      </c>
      <c r="H167">
        <f>H166+'2026'!T172</f>
        <v>32</v>
      </c>
    </row>
    <row r="168" spans="2:8" ht="15.75" thickBot="1" x14ac:dyDescent="0.3">
      <c r="B168" s="117">
        <v>46262</v>
      </c>
      <c r="C168" t="e">
        <f>'2026'!#REF!</f>
        <v>#REF!</v>
      </c>
      <c r="D168">
        <f t="shared" si="2"/>
        <v>0</v>
      </c>
      <c r="E168">
        <f>E167+'2026'!H173</f>
        <v>37.5</v>
      </c>
      <c r="F168">
        <f>F167+'2026'!L173</f>
        <v>37</v>
      </c>
      <c r="G168">
        <f>G167+'2026'!P173</f>
        <v>37.5</v>
      </c>
      <c r="H168">
        <f>H167+'2026'!T173</f>
        <v>32.5</v>
      </c>
    </row>
    <row r="169" spans="2:8" ht="15.75" thickTop="1" x14ac:dyDescent="0.25">
      <c r="B169" s="73">
        <v>46265</v>
      </c>
      <c r="C169" t="e">
        <f>'2026'!#REF!</f>
        <v>#REF!</v>
      </c>
      <c r="D169">
        <f t="shared" si="2"/>
        <v>0</v>
      </c>
      <c r="E169">
        <f>E168+'2026'!H174</f>
        <v>38</v>
      </c>
      <c r="F169">
        <f>F168+'2026'!L174</f>
        <v>38</v>
      </c>
      <c r="G169">
        <f>G168+'2026'!P174</f>
        <v>38.5</v>
      </c>
      <c r="H169">
        <f>H168+'2026'!T174</f>
        <v>34</v>
      </c>
    </row>
    <row r="170" spans="2:8" x14ac:dyDescent="0.25">
      <c r="B170" s="74">
        <v>46266</v>
      </c>
      <c r="C170" t="e">
        <f>'2026'!#REF!</f>
        <v>#REF!</v>
      </c>
      <c r="D170">
        <f t="shared" si="2"/>
        <v>0</v>
      </c>
      <c r="E170">
        <f>E169+'2026'!H175</f>
        <v>38</v>
      </c>
      <c r="F170">
        <f>F169+'2026'!L175</f>
        <v>38</v>
      </c>
      <c r="G170">
        <f>G169+'2026'!P175</f>
        <v>38.5</v>
      </c>
      <c r="H170">
        <f>H169+'2026'!T175</f>
        <v>35.5</v>
      </c>
    </row>
    <row r="171" spans="2:8" x14ac:dyDescent="0.25">
      <c r="B171" s="74">
        <v>46267</v>
      </c>
      <c r="C171" t="e">
        <f>'2026'!#REF!</f>
        <v>#REF!</v>
      </c>
      <c r="D171">
        <f t="shared" si="2"/>
        <v>0</v>
      </c>
      <c r="E171">
        <f>E170+'2026'!H176</f>
        <v>38.5</v>
      </c>
      <c r="F171">
        <f>F170+'2026'!L176</f>
        <v>38</v>
      </c>
      <c r="G171">
        <f>G170+'2026'!P176</f>
        <v>38.5</v>
      </c>
      <c r="H171">
        <f>H170+'2026'!T176</f>
        <v>35.5</v>
      </c>
    </row>
    <row r="172" spans="2:8" x14ac:dyDescent="0.25">
      <c r="B172" s="74">
        <v>46268</v>
      </c>
      <c r="C172" t="e">
        <f>'2026'!#REF!</f>
        <v>#REF!</v>
      </c>
      <c r="D172">
        <f t="shared" si="2"/>
        <v>0</v>
      </c>
      <c r="E172">
        <f>E171+'2026'!H177</f>
        <v>38.5</v>
      </c>
      <c r="F172">
        <f>F171+'2026'!L177</f>
        <v>38</v>
      </c>
      <c r="G172">
        <f>G171+'2026'!P177</f>
        <v>38.5</v>
      </c>
      <c r="H172">
        <f>H171+'2026'!T177</f>
        <v>35.5</v>
      </c>
    </row>
    <row r="173" spans="2:8" ht="15.75" thickBot="1" x14ac:dyDescent="0.3">
      <c r="B173" s="75">
        <v>46269</v>
      </c>
      <c r="C173" t="e">
        <f>'2026'!#REF!</f>
        <v>#REF!</v>
      </c>
      <c r="D173">
        <f t="shared" si="2"/>
        <v>0</v>
      </c>
      <c r="E173">
        <f>E172+'2026'!H178</f>
        <v>38.5</v>
      </c>
      <c r="F173">
        <f>F172+'2026'!L178</f>
        <v>38</v>
      </c>
      <c r="G173">
        <f>G172+'2026'!P178</f>
        <v>38.5</v>
      </c>
      <c r="H173">
        <f>H172+'2026'!T178</f>
        <v>35.5</v>
      </c>
    </row>
    <row r="174" spans="2:8" ht="15.75" thickTop="1" x14ac:dyDescent="0.25">
      <c r="B174" s="74">
        <v>46272</v>
      </c>
      <c r="C174" t="e">
        <f>'2026'!#REF!</f>
        <v>#REF!</v>
      </c>
      <c r="D174">
        <f t="shared" si="2"/>
        <v>0</v>
      </c>
      <c r="E174">
        <f>E173+'2026'!H179</f>
        <v>38.5</v>
      </c>
      <c r="F174">
        <f>F173+'2026'!L179</f>
        <v>38</v>
      </c>
      <c r="G174">
        <f>G173+'2026'!P179</f>
        <v>38.5</v>
      </c>
      <c r="H174">
        <f>H173+'2026'!T179</f>
        <v>35.5</v>
      </c>
    </row>
    <row r="175" spans="2:8" x14ac:dyDescent="0.25">
      <c r="B175" s="74">
        <v>46273</v>
      </c>
      <c r="C175" t="e">
        <f>'2026'!#REF!</f>
        <v>#REF!</v>
      </c>
      <c r="D175">
        <f t="shared" si="2"/>
        <v>0</v>
      </c>
      <c r="E175">
        <f>E174+'2026'!H180</f>
        <v>39</v>
      </c>
      <c r="F175">
        <f>F174+'2026'!L180</f>
        <v>39</v>
      </c>
      <c r="G175">
        <f>G174+'2026'!P180</f>
        <v>38.5</v>
      </c>
      <c r="H175">
        <f>H174+'2026'!T180</f>
        <v>38.5</v>
      </c>
    </row>
    <row r="176" spans="2:8" x14ac:dyDescent="0.25">
      <c r="B176" s="74">
        <v>46274</v>
      </c>
      <c r="C176" t="e">
        <f>'2026'!#REF!</f>
        <v>#REF!</v>
      </c>
      <c r="D176">
        <f t="shared" si="2"/>
        <v>0</v>
      </c>
      <c r="E176">
        <f>E175+'2026'!H181</f>
        <v>40</v>
      </c>
      <c r="F176">
        <f>F175+'2026'!L181</f>
        <v>40</v>
      </c>
      <c r="G176">
        <f>G175+'2026'!P181</f>
        <v>38.5</v>
      </c>
      <c r="H176">
        <f>H175+'2026'!T181</f>
        <v>38.5</v>
      </c>
    </row>
    <row r="177" spans="2:8" x14ac:dyDescent="0.25">
      <c r="B177" s="74">
        <v>46275</v>
      </c>
      <c r="C177" t="e">
        <f>'2026'!#REF!</f>
        <v>#REF!</v>
      </c>
      <c r="D177">
        <f t="shared" si="2"/>
        <v>0</v>
      </c>
      <c r="E177">
        <f>E176+'2026'!H182</f>
        <v>40</v>
      </c>
      <c r="F177">
        <f>F176+'2026'!L182</f>
        <v>40</v>
      </c>
      <c r="G177">
        <f>G176+'2026'!P182</f>
        <v>38.5</v>
      </c>
      <c r="H177">
        <f>H176+'2026'!T182</f>
        <v>38.5</v>
      </c>
    </row>
    <row r="178" spans="2:8" ht="15.75" thickBot="1" x14ac:dyDescent="0.3">
      <c r="B178" s="117">
        <v>46276</v>
      </c>
      <c r="C178" t="e">
        <f>'2026'!#REF!</f>
        <v>#REF!</v>
      </c>
      <c r="D178">
        <f t="shared" si="2"/>
        <v>0</v>
      </c>
      <c r="E178">
        <f>E177+'2026'!H183</f>
        <v>40</v>
      </c>
      <c r="F178">
        <f>F177+'2026'!L183</f>
        <v>41</v>
      </c>
      <c r="G178">
        <f>G177+'2026'!P183</f>
        <v>38.5</v>
      </c>
      <c r="H178">
        <f>H177+'2026'!T183</f>
        <v>38.5</v>
      </c>
    </row>
    <row r="179" spans="2:8" ht="15.75" thickTop="1" x14ac:dyDescent="0.25">
      <c r="B179" s="73">
        <v>46279</v>
      </c>
      <c r="C179" t="e">
        <f>'2026'!#REF!</f>
        <v>#REF!</v>
      </c>
      <c r="D179">
        <f t="shared" si="2"/>
        <v>0</v>
      </c>
      <c r="E179">
        <f>E178+'2026'!H184</f>
        <v>40</v>
      </c>
      <c r="F179">
        <f>F178+'2026'!L184</f>
        <v>41</v>
      </c>
      <c r="G179">
        <f>G178+'2026'!P184</f>
        <v>38.5</v>
      </c>
      <c r="H179">
        <f>H178+'2026'!T184</f>
        <v>38.5</v>
      </c>
    </row>
    <row r="180" spans="2:8" x14ac:dyDescent="0.25">
      <c r="B180" s="74">
        <v>46280</v>
      </c>
      <c r="C180" t="e">
        <f>'2026'!#REF!</f>
        <v>#REF!</v>
      </c>
      <c r="D180">
        <f t="shared" si="2"/>
        <v>0</v>
      </c>
      <c r="E180">
        <f>E179+'2026'!H185</f>
        <v>40</v>
      </c>
      <c r="F180">
        <f>F179+'2026'!L185</f>
        <v>41</v>
      </c>
      <c r="G180">
        <f>G179+'2026'!P185</f>
        <v>38.5</v>
      </c>
      <c r="H180">
        <f>H179+'2026'!T185</f>
        <v>38.5</v>
      </c>
    </row>
    <row r="181" spans="2:8" x14ac:dyDescent="0.25">
      <c r="B181" s="74">
        <v>46281</v>
      </c>
      <c r="C181" t="e">
        <f>'2026'!#REF!</f>
        <v>#REF!</v>
      </c>
      <c r="D181">
        <f t="shared" si="2"/>
        <v>0</v>
      </c>
      <c r="E181">
        <f>E180+'2026'!H186</f>
        <v>40</v>
      </c>
      <c r="F181">
        <f>F180+'2026'!L186</f>
        <v>41</v>
      </c>
      <c r="G181">
        <f>G180+'2026'!P186</f>
        <v>38.5</v>
      </c>
      <c r="H181">
        <f>H180+'2026'!T186</f>
        <v>39</v>
      </c>
    </row>
    <row r="182" spans="2:8" x14ac:dyDescent="0.25">
      <c r="B182" s="74">
        <v>46282</v>
      </c>
      <c r="C182" t="e">
        <f>'2026'!#REF!</f>
        <v>#REF!</v>
      </c>
      <c r="D182">
        <f t="shared" si="2"/>
        <v>0</v>
      </c>
      <c r="E182">
        <f>E181+'2026'!H187</f>
        <v>40</v>
      </c>
      <c r="F182">
        <f>F181+'2026'!L187</f>
        <v>41</v>
      </c>
      <c r="G182">
        <f>G181+'2026'!P187</f>
        <v>38.5</v>
      </c>
      <c r="H182">
        <f>H181+'2026'!T187</f>
        <v>39</v>
      </c>
    </row>
    <row r="183" spans="2:8" ht="15.75" thickBot="1" x14ac:dyDescent="0.3">
      <c r="B183" s="75">
        <v>46283</v>
      </c>
      <c r="C183" t="e">
        <f>'2026'!#REF!</f>
        <v>#REF!</v>
      </c>
      <c r="D183">
        <f t="shared" si="2"/>
        <v>0</v>
      </c>
      <c r="E183">
        <f>E182+'2026'!H188</f>
        <v>40</v>
      </c>
      <c r="F183">
        <f>F182+'2026'!L188</f>
        <v>41</v>
      </c>
      <c r="G183">
        <f>G182+'2026'!P188</f>
        <v>38.5</v>
      </c>
      <c r="H183">
        <f>H182+'2026'!T188</f>
        <v>39</v>
      </c>
    </row>
    <row r="184" spans="2:8" ht="15.75" thickTop="1" x14ac:dyDescent="0.25">
      <c r="B184" s="74">
        <v>46286</v>
      </c>
      <c r="C184" t="e">
        <f>'2026'!#REF!</f>
        <v>#REF!</v>
      </c>
      <c r="D184">
        <f t="shared" si="2"/>
        <v>0</v>
      </c>
      <c r="E184">
        <f>E183+'2026'!H189</f>
        <v>40</v>
      </c>
      <c r="F184">
        <f>F183+'2026'!L189</f>
        <v>41</v>
      </c>
      <c r="G184">
        <f>G183+'2026'!P189</f>
        <v>39.5</v>
      </c>
      <c r="H184">
        <f>H183+'2026'!T189</f>
        <v>39.5</v>
      </c>
    </row>
    <row r="185" spans="2:8" x14ac:dyDescent="0.25">
      <c r="B185" s="74">
        <v>46287</v>
      </c>
      <c r="C185" t="e">
        <f>'2026'!#REF!</f>
        <v>#REF!</v>
      </c>
      <c r="D185">
        <f t="shared" si="2"/>
        <v>0</v>
      </c>
      <c r="E185">
        <f>E184+'2026'!H190</f>
        <v>40</v>
      </c>
      <c r="F185">
        <f>F184+'2026'!L190</f>
        <v>41</v>
      </c>
      <c r="G185">
        <f>G184+'2026'!P190</f>
        <v>39.5</v>
      </c>
      <c r="H185">
        <f>H184+'2026'!T190</f>
        <v>39.5</v>
      </c>
    </row>
    <row r="186" spans="2:8" x14ac:dyDescent="0.25">
      <c r="B186" s="74">
        <v>46288</v>
      </c>
      <c r="C186" t="e">
        <f>'2026'!#REF!</f>
        <v>#REF!</v>
      </c>
      <c r="D186">
        <f t="shared" si="2"/>
        <v>0</v>
      </c>
      <c r="E186">
        <f>E185+'2026'!H191</f>
        <v>40.5</v>
      </c>
      <c r="F186">
        <f>F185+'2026'!L191</f>
        <v>41</v>
      </c>
      <c r="G186">
        <f>G185+'2026'!P191</f>
        <v>39.5</v>
      </c>
      <c r="H186">
        <f>H185+'2026'!T191</f>
        <v>39.5</v>
      </c>
    </row>
    <row r="187" spans="2:8" x14ac:dyDescent="0.25">
      <c r="B187" s="74">
        <v>46289</v>
      </c>
      <c r="C187" t="e">
        <f>'2026'!#REF!</f>
        <v>#REF!</v>
      </c>
      <c r="D187">
        <f t="shared" si="2"/>
        <v>0</v>
      </c>
      <c r="E187">
        <f>E186+'2026'!H192</f>
        <v>40.5</v>
      </c>
      <c r="F187">
        <f>F186+'2026'!L192</f>
        <v>41</v>
      </c>
      <c r="G187">
        <f>G186+'2026'!P192</f>
        <v>39.5</v>
      </c>
      <c r="H187">
        <f>H186+'2026'!T192</f>
        <v>40</v>
      </c>
    </row>
    <row r="188" spans="2:8" ht="15.75" thickBot="1" x14ac:dyDescent="0.3">
      <c r="B188" s="117">
        <v>46290</v>
      </c>
      <c r="C188" t="e">
        <f>'2026'!#REF!</f>
        <v>#REF!</v>
      </c>
      <c r="D188">
        <f t="shared" si="2"/>
        <v>0</v>
      </c>
      <c r="E188">
        <f>E187+'2026'!H193</f>
        <v>40.5</v>
      </c>
      <c r="F188">
        <f>F187+'2026'!L193</f>
        <v>41</v>
      </c>
      <c r="G188">
        <f>G187+'2026'!P193</f>
        <v>39.5</v>
      </c>
      <c r="H188">
        <f>H187+'2026'!T193</f>
        <v>40</v>
      </c>
    </row>
    <row r="189" spans="2:8" ht="15.75" thickTop="1" x14ac:dyDescent="0.25">
      <c r="B189" s="73">
        <v>46293</v>
      </c>
      <c r="C189" t="e">
        <f>'2026'!#REF!</f>
        <v>#REF!</v>
      </c>
      <c r="D189">
        <f t="shared" si="2"/>
        <v>0</v>
      </c>
      <c r="E189">
        <f>E188+'2026'!H194</f>
        <v>40.5</v>
      </c>
      <c r="F189">
        <f>F188+'2026'!L194</f>
        <v>42</v>
      </c>
      <c r="G189">
        <f>G188+'2026'!P194</f>
        <v>39.5</v>
      </c>
      <c r="H189">
        <f>H188+'2026'!T194</f>
        <v>40</v>
      </c>
    </row>
    <row r="190" spans="2:8" x14ac:dyDescent="0.25">
      <c r="B190" s="74">
        <v>46294</v>
      </c>
      <c r="C190" t="e">
        <f>'2026'!#REF!</f>
        <v>#REF!</v>
      </c>
      <c r="D190">
        <f t="shared" si="2"/>
        <v>0</v>
      </c>
      <c r="E190">
        <f>E189+'2026'!H195</f>
        <v>40.5</v>
      </c>
      <c r="F190">
        <f>F189+'2026'!L195</f>
        <v>42.5</v>
      </c>
      <c r="G190">
        <f>G189+'2026'!P195</f>
        <v>39.5</v>
      </c>
      <c r="H190">
        <f>H189+'2026'!T195</f>
        <v>40</v>
      </c>
    </row>
    <row r="191" spans="2:8" x14ac:dyDescent="0.25">
      <c r="B191" s="74">
        <v>46295</v>
      </c>
      <c r="C191" t="e">
        <f>'2026'!#REF!</f>
        <v>#REF!</v>
      </c>
      <c r="D191">
        <f t="shared" si="2"/>
        <v>0</v>
      </c>
      <c r="E191">
        <f>E190+'2026'!H196</f>
        <v>40.5</v>
      </c>
      <c r="F191">
        <f>F190+'2026'!L196</f>
        <v>42.5</v>
      </c>
      <c r="G191">
        <f>G190+'2026'!P196</f>
        <v>39.5</v>
      </c>
      <c r="H191">
        <f>H190+'2026'!T196</f>
        <v>40</v>
      </c>
    </row>
    <row r="192" spans="2:8" x14ac:dyDescent="0.25">
      <c r="B192" s="74">
        <v>46296</v>
      </c>
      <c r="C192" t="e">
        <f>'2026'!#REF!</f>
        <v>#REF!</v>
      </c>
      <c r="D192">
        <f t="shared" si="2"/>
        <v>0</v>
      </c>
      <c r="E192">
        <f>E191+'2026'!H197</f>
        <v>42</v>
      </c>
      <c r="F192">
        <f>F191+'2026'!L197</f>
        <v>44</v>
      </c>
      <c r="G192">
        <f>G191+'2026'!P197</f>
        <v>39.5</v>
      </c>
      <c r="H192">
        <f>H191+'2026'!T197</f>
        <v>40</v>
      </c>
    </row>
    <row r="193" spans="2:8" ht="15.75" thickBot="1" x14ac:dyDescent="0.3">
      <c r="B193" s="75">
        <v>46297</v>
      </c>
      <c r="C193" t="e">
        <f>'2026'!#REF!</f>
        <v>#REF!</v>
      </c>
      <c r="D193">
        <f t="shared" si="2"/>
        <v>0</v>
      </c>
      <c r="E193">
        <f>E192+'2026'!H198</f>
        <v>42</v>
      </c>
      <c r="F193">
        <f>F192+'2026'!L198</f>
        <v>44</v>
      </c>
      <c r="G193">
        <f>G192+'2026'!P198</f>
        <v>39.5</v>
      </c>
      <c r="H193">
        <f>H192+'2026'!T198</f>
        <v>40</v>
      </c>
    </row>
    <row r="194" spans="2:8" ht="15.75" thickTop="1" x14ac:dyDescent="0.25">
      <c r="B194" s="74">
        <v>46300</v>
      </c>
      <c r="C194" t="e">
        <f>'2026'!#REF!</f>
        <v>#REF!</v>
      </c>
      <c r="D194">
        <f t="shared" si="2"/>
        <v>0</v>
      </c>
      <c r="E194">
        <f>E193+'2026'!H199</f>
        <v>43</v>
      </c>
      <c r="F194">
        <f>F193+'2026'!L199</f>
        <v>44.5</v>
      </c>
      <c r="G194">
        <f>G193+'2026'!P199</f>
        <v>40.5</v>
      </c>
      <c r="H194">
        <f>H193+'2026'!T199</f>
        <v>41</v>
      </c>
    </row>
    <row r="195" spans="2:8" x14ac:dyDescent="0.25">
      <c r="B195" s="74">
        <v>46301</v>
      </c>
      <c r="C195" t="e">
        <f>'2026'!#REF!</f>
        <v>#REF!</v>
      </c>
      <c r="D195">
        <f t="shared" si="2"/>
        <v>0</v>
      </c>
      <c r="E195">
        <f>E194+'2026'!H200</f>
        <v>44</v>
      </c>
      <c r="F195">
        <f>F194+'2026'!L200</f>
        <v>45.5</v>
      </c>
      <c r="G195">
        <f>G194+'2026'!P200</f>
        <v>40.5</v>
      </c>
      <c r="H195">
        <f>H194+'2026'!T200</f>
        <v>41</v>
      </c>
    </row>
    <row r="196" spans="2:8" x14ac:dyDescent="0.25">
      <c r="B196" s="74">
        <v>46302</v>
      </c>
      <c r="C196" t="e">
        <f>'2026'!#REF!</f>
        <v>#REF!</v>
      </c>
      <c r="D196">
        <f t="shared" si="2"/>
        <v>0</v>
      </c>
      <c r="E196">
        <f>E195+'2026'!H201</f>
        <v>44.5</v>
      </c>
      <c r="F196">
        <f>F195+'2026'!L201</f>
        <v>45.5</v>
      </c>
      <c r="G196">
        <f>G195+'2026'!P201</f>
        <v>41.5</v>
      </c>
      <c r="H196">
        <f>H195+'2026'!T201</f>
        <v>41</v>
      </c>
    </row>
    <row r="197" spans="2:8" x14ac:dyDescent="0.25">
      <c r="B197" s="74">
        <v>46303</v>
      </c>
      <c r="C197" t="e">
        <f>'2026'!#REF!</f>
        <v>#REF!</v>
      </c>
      <c r="D197">
        <f t="shared" ref="D197:D224" si="3">IF(ISNUMBER(C197),C197,0)</f>
        <v>0</v>
      </c>
      <c r="E197">
        <f>E196+'2026'!H202</f>
        <v>44.5</v>
      </c>
      <c r="F197">
        <f>F196+'2026'!L202</f>
        <v>45.5</v>
      </c>
      <c r="G197">
        <f>G196+'2026'!P202</f>
        <v>41.5</v>
      </c>
      <c r="H197">
        <f>H196+'2026'!T202</f>
        <v>41</v>
      </c>
    </row>
    <row r="198" spans="2:8" ht="15.75" thickBot="1" x14ac:dyDescent="0.3">
      <c r="B198" s="117">
        <v>46304</v>
      </c>
      <c r="C198" t="e">
        <f>'2026'!#REF!</f>
        <v>#REF!</v>
      </c>
      <c r="D198">
        <f t="shared" si="3"/>
        <v>0</v>
      </c>
      <c r="E198">
        <f>E197+'2026'!H203</f>
        <v>44.5</v>
      </c>
      <c r="F198">
        <f>F197+'2026'!L203</f>
        <v>45.5</v>
      </c>
      <c r="G198">
        <f>G197+'2026'!P203</f>
        <v>41.5</v>
      </c>
      <c r="H198">
        <f>H197+'2026'!T203</f>
        <v>41</v>
      </c>
    </row>
    <row r="199" spans="2:8" ht="15.75" thickTop="1" x14ac:dyDescent="0.25">
      <c r="B199" s="73">
        <v>46307</v>
      </c>
      <c r="C199" t="e">
        <f>'2026'!#REF!</f>
        <v>#REF!</v>
      </c>
      <c r="D199">
        <f t="shared" si="3"/>
        <v>0</v>
      </c>
      <c r="E199">
        <f>E198+'2026'!H204</f>
        <v>44.5</v>
      </c>
      <c r="F199">
        <f>F198+'2026'!L204</f>
        <v>45.5</v>
      </c>
      <c r="G199">
        <f>G198+'2026'!P204</f>
        <v>41.5</v>
      </c>
      <c r="H199">
        <f>H198+'2026'!T204</f>
        <v>41</v>
      </c>
    </row>
    <row r="200" spans="2:8" x14ac:dyDescent="0.25">
      <c r="B200" s="74">
        <v>46308</v>
      </c>
      <c r="C200" t="e">
        <f>'2026'!#REF!</f>
        <v>#REF!</v>
      </c>
      <c r="D200">
        <f t="shared" si="3"/>
        <v>0</v>
      </c>
      <c r="E200">
        <f>E199+'2026'!H205</f>
        <v>44.5</v>
      </c>
      <c r="F200">
        <f>F199+'2026'!L205</f>
        <v>45.5</v>
      </c>
      <c r="G200">
        <f>G199+'2026'!P205</f>
        <v>41.5</v>
      </c>
      <c r="H200">
        <f>H199+'2026'!T205</f>
        <v>41</v>
      </c>
    </row>
    <row r="201" spans="2:8" x14ac:dyDescent="0.25">
      <c r="B201" s="74">
        <v>46309</v>
      </c>
      <c r="C201" t="e">
        <f>'2026'!#REF!</f>
        <v>#REF!</v>
      </c>
      <c r="D201">
        <f t="shared" si="3"/>
        <v>0</v>
      </c>
      <c r="E201">
        <f>E200+'2026'!H206</f>
        <v>44.5</v>
      </c>
      <c r="F201">
        <f>F200+'2026'!L206</f>
        <v>45.5</v>
      </c>
      <c r="G201">
        <f>G200+'2026'!P206</f>
        <v>41.5</v>
      </c>
      <c r="H201">
        <f>H200+'2026'!T206</f>
        <v>41</v>
      </c>
    </row>
    <row r="202" spans="2:8" x14ac:dyDescent="0.25">
      <c r="B202" s="74">
        <v>46310</v>
      </c>
      <c r="C202" t="e">
        <f>'2026'!#REF!</f>
        <v>#REF!</v>
      </c>
      <c r="D202">
        <f t="shared" si="3"/>
        <v>0</v>
      </c>
      <c r="E202">
        <f>E201+'2026'!H207</f>
        <v>44.5</v>
      </c>
      <c r="F202">
        <f>F201+'2026'!L207</f>
        <v>45.5</v>
      </c>
      <c r="G202">
        <f>G201+'2026'!P207</f>
        <v>41.5</v>
      </c>
      <c r="H202">
        <f>H201+'2026'!T207</f>
        <v>41</v>
      </c>
    </row>
    <row r="203" spans="2:8" ht="15.75" thickBot="1" x14ac:dyDescent="0.3">
      <c r="B203" s="75">
        <v>46311</v>
      </c>
      <c r="C203" t="e">
        <f>'2026'!#REF!</f>
        <v>#REF!</v>
      </c>
      <c r="D203">
        <f t="shared" si="3"/>
        <v>0</v>
      </c>
      <c r="E203">
        <f>E202+'2026'!H208</f>
        <v>44.5</v>
      </c>
      <c r="F203">
        <f>F202+'2026'!L208</f>
        <v>45.5</v>
      </c>
      <c r="G203">
        <f>G202+'2026'!P208</f>
        <v>41.5</v>
      </c>
      <c r="H203">
        <f>H202+'2026'!T208</f>
        <v>41</v>
      </c>
    </row>
    <row r="204" spans="2:8" ht="15.75" thickTop="1" x14ac:dyDescent="0.25">
      <c r="B204" s="74">
        <v>46314</v>
      </c>
      <c r="C204" t="e">
        <f>'2026'!#REF!</f>
        <v>#REF!</v>
      </c>
      <c r="D204">
        <f t="shared" si="3"/>
        <v>0</v>
      </c>
      <c r="E204">
        <f>E203+'2026'!H209</f>
        <v>44.5</v>
      </c>
      <c r="F204">
        <f>F203+'2026'!L209</f>
        <v>45.5</v>
      </c>
      <c r="G204">
        <f>G203+'2026'!P209</f>
        <v>41.5</v>
      </c>
      <c r="H204">
        <f>H203+'2026'!T209</f>
        <v>41</v>
      </c>
    </row>
    <row r="205" spans="2:8" x14ac:dyDescent="0.25">
      <c r="B205" s="74">
        <v>46315</v>
      </c>
      <c r="C205" t="e">
        <f>'2026'!#REF!</f>
        <v>#REF!</v>
      </c>
      <c r="D205">
        <f t="shared" si="3"/>
        <v>0</v>
      </c>
      <c r="E205">
        <f>E204+'2026'!H210</f>
        <v>44.5</v>
      </c>
      <c r="F205">
        <f>F204+'2026'!L210</f>
        <v>45.5</v>
      </c>
      <c r="G205">
        <f>G204+'2026'!P210</f>
        <v>41.5</v>
      </c>
      <c r="H205">
        <f>H204+'2026'!T210</f>
        <v>41</v>
      </c>
    </row>
    <row r="206" spans="2:8" x14ac:dyDescent="0.25">
      <c r="B206" s="74">
        <v>46316</v>
      </c>
      <c r="C206" t="e">
        <f>'2026'!#REF!</f>
        <v>#REF!</v>
      </c>
      <c r="D206">
        <f t="shared" si="3"/>
        <v>0</v>
      </c>
      <c r="E206">
        <f>E205+'2026'!H211</f>
        <v>44.5</v>
      </c>
      <c r="F206">
        <f>F205+'2026'!L211</f>
        <v>45.5</v>
      </c>
      <c r="G206">
        <f>G205+'2026'!P211</f>
        <v>41.5</v>
      </c>
      <c r="H206">
        <f>H205+'2026'!T211</f>
        <v>41</v>
      </c>
    </row>
    <row r="207" spans="2:8" x14ac:dyDescent="0.25">
      <c r="B207" s="74">
        <v>46317</v>
      </c>
      <c r="C207" t="e">
        <f>'2026'!#REF!</f>
        <v>#REF!</v>
      </c>
      <c r="D207">
        <f t="shared" si="3"/>
        <v>0</v>
      </c>
      <c r="E207">
        <f>E206+'2026'!H212</f>
        <v>44.5</v>
      </c>
      <c r="F207">
        <f>F206+'2026'!L212</f>
        <v>45.5</v>
      </c>
      <c r="G207">
        <f>G206+'2026'!P212</f>
        <v>41.5</v>
      </c>
      <c r="H207">
        <f>H206+'2026'!T212</f>
        <v>41</v>
      </c>
    </row>
    <row r="208" spans="2:8" ht="15.75" thickBot="1" x14ac:dyDescent="0.3">
      <c r="B208" s="117">
        <v>46318</v>
      </c>
      <c r="C208" t="e">
        <f>'2026'!#REF!</f>
        <v>#REF!</v>
      </c>
      <c r="D208">
        <f t="shared" si="3"/>
        <v>0</v>
      </c>
      <c r="E208">
        <f>E207+'2026'!H213</f>
        <v>44.5</v>
      </c>
      <c r="F208">
        <f>F207+'2026'!L213</f>
        <v>45.5</v>
      </c>
      <c r="G208">
        <f>G207+'2026'!P213</f>
        <v>41.5</v>
      </c>
      <c r="H208">
        <f>H207+'2026'!T213</f>
        <v>41</v>
      </c>
    </row>
    <row r="209" spans="2:8" ht="15.75" thickTop="1" x14ac:dyDescent="0.25">
      <c r="B209" s="73">
        <v>46321</v>
      </c>
      <c r="C209" t="e">
        <f>'2026'!#REF!</f>
        <v>#REF!</v>
      </c>
      <c r="D209">
        <f t="shared" si="3"/>
        <v>0</v>
      </c>
      <c r="E209">
        <f>E208+'2026'!H214</f>
        <v>44.5</v>
      </c>
      <c r="F209">
        <f>F208+'2026'!L214</f>
        <v>45.5</v>
      </c>
      <c r="G209">
        <f>G208+'2026'!P214</f>
        <v>41.5</v>
      </c>
      <c r="H209">
        <f>H208+'2026'!T214</f>
        <v>41</v>
      </c>
    </row>
    <row r="210" spans="2:8" x14ac:dyDescent="0.25">
      <c r="B210" s="74">
        <v>46322</v>
      </c>
      <c r="C210" t="e">
        <f>'2026'!#REF!</f>
        <v>#REF!</v>
      </c>
      <c r="D210">
        <f t="shared" si="3"/>
        <v>0</v>
      </c>
      <c r="E210">
        <f>E209+'2026'!H215</f>
        <v>44.5</v>
      </c>
      <c r="F210">
        <f>F209+'2026'!L215</f>
        <v>45.5</v>
      </c>
      <c r="G210">
        <f>G209+'2026'!P215</f>
        <v>41.5</v>
      </c>
      <c r="H210">
        <f>H209+'2026'!T215</f>
        <v>41</v>
      </c>
    </row>
    <row r="211" spans="2:8" x14ac:dyDescent="0.25">
      <c r="B211" s="74">
        <v>46323</v>
      </c>
      <c r="C211" t="e">
        <f>'2026'!#REF!</f>
        <v>#REF!</v>
      </c>
      <c r="D211">
        <f t="shared" si="3"/>
        <v>0</v>
      </c>
      <c r="E211">
        <f>E210+'2026'!H216</f>
        <v>44.5</v>
      </c>
      <c r="F211">
        <f>F210+'2026'!L216</f>
        <v>45.5</v>
      </c>
      <c r="G211">
        <f>G210+'2026'!P216</f>
        <v>41.5</v>
      </c>
      <c r="H211">
        <f>H210+'2026'!T216</f>
        <v>41</v>
      </c>
    </row>
    <row r="212" spans="2:8" x14ac:dyDescent="0.25">
      <c r="B212" s="74">
        <v>46324</v>
      </c>
      <c r="C212" t="e">
        <f>'2026'!#REF!</f>
        <v>#REF!</v>
      </c>
      <c r="D212">
        <f t="shared" si="3"/>
        <v>0</v>
      </c>
      <c r="E212">
        <f>E211+'2026'!H217</f>
        <v>44.5</v>
      </c>
      <c r="F212">
        <f>F211+'2026'!L217</f>
        <v>45.5</v>
      </c>
      <c r="G212">
        <f>G211+'2026'!P217</f>
        <v>41.5</v>
      </c>
      <c r="H212">
        <f>H211+'2026'!T217</f>
        <v>41</v>
      </c>
    </row>
    <row r="213" spans="2:8" ht="15.75" thickBot="1" x14ac:dyDescent="0.3">
      <c r="B213" s="75">
        <v>46325</v>
      </c>
      <c r="C213" t="e">
        <f>'2026'!#REF!</f>
        <v>#REF!</v>
      </c>
      <c r="D213">
        <f t="shared" si="3"/>
        <v>0</v>
      </c>
      <c r="E213">
        <f>E212+'2026'!H218</f>
        <v>44.5</v>
      </c>
      <c r="F213">
        <f>F212+'2026'!L218</f>
        <v>45.5</v>
      </c>
      <c r="G213">
        <f>G212+'2026'!P218</f>
        <v>41.5</v>
      </c>
      <c r="H213">
        <f>H212+'2026'!T218</f>
        <v>41</v>
      </c>
    </row>
    <row r="214" spans="2:8" ht="15.75" thickTop="1" x14ac:dyDescent="0.25">
      <c r="B214" s="74">
        <v>46328</v>
      </c>
      <c r="C214" t="e">
        <f>'2026'!#REF!</f>
        <v>#REF!</v>
      </c>
      <c r="D214">
        <f t="shared" si="3"/>
        <v>0</v>
      </c>
      <c r="E214">
        <f>E213+'2026'!H219</f>
        <v>44.5</v>
      </c>
      <c r="F214">
        <f>F213+'2026'!L219</f>
        <v>45.5</v>
      </c>
      <c r="G214">
        <f>G213+'2026'!P219</f>
        <v>41.5</v>
      </c>
      <c r="H214">
        <f>H213+'2026'!T219</f>
        <v>41</v>
      </c>
    </row>
    <row r="215" spans="2:8" x14ac:dyDescent="0.25">
      <c r="B215" s="74">
        <v>46329</v>
      </c>
      <c r="C215" t="e">
        <f>'2026'!#REF!</f>
        <v>#REF!</v>
      </c>
      <c r="D215">
        <f t="shared" si="3"/>
        <v>0</v>
      </c>
      <c r="E215">
        <f>E214+'2026'!H220</f>
        <v>44.5</v>
      </c>
      <c r="F215">
        <f>F214+'2026'!L220</f>
        <v>45.5</v>
      </c>
      <c r="G215">
        <f>G214+'2026'!P220</f>
        <v>41.5</v>
      </c>
      <c r="H215">
        <f>H214+'2026'!T220</f>
        <v>41</v>
      </c>
    </row>
    <row r="216" spans="2:8" x14ac:dyDescent="0.25">
      <c r="B216" s="74">
        <v>46330</v>
      </c>
      <c r="C216" t="e">
        <f>'2026'!#REF!</f>
        <v>#REF!</v>
      </c>
      <c r="D216">
        <f t="shared" si="3"/>
        <v>0</v>
      </c>
      <c r="E216">
        <f>E215+'2026'!H221</f>
        <v>44.5</v>
      </c>
      <c r="F216">
        <f>F215+'2026'!L221</f>
        <v>45.5</v>
      </c>
      <c r="G216">
        <f>G215+'2026'!P221</f>
        <v>41.5</v>
      </c>
      <c r="H216">
        <f>H215+'2026'!T221</f>
        <v>41</v>
      </c>
    </row>
    <row r="217" spans="2:8" x14ac:dyDescent="0.25">
      <c r="B217" s="74">
        <v>46331</v>
      </c>
      <c r="C217" t="e">
        <f>'2026'!#REF!</f>
        <v>#REF!</v>
      </c>
      <c r="D217">
        <f t="shared" si="3"/>
        <v>0</v>
      </c>
      <c r="E217">
        <f>E216+'2026'!H222</f>
        <v>44.5</v>
      </c>
      <c r="F217">
        <f>F216+'2026'!L222</f>
        <v>45.5</v>
      </c>
      <c r="G217">
        <f>G216+'2026'!P222</f>
        <v>41.5</v>
      </c>
      <c r="H217">
        <f>H216+'2026'!T222</f>
        <v>41</v>
      </c>
    </row>
    <row r="218" spans="2:8" ht="15.75" thickBot="1" x14ac:dyDescent="0.3">
      <c r="B218" s="117">
        <v>46332</v>
      </c>
      <c r="C218" t="e">
        <f>'2026'!#REF!</f>
        <v>#REF!</v>
      </c>
      <c r="D218">
        <f t="shared" si="3"/>
        <v>0</v>
      </c>
      <c r="E218">
        <f>E217+'2026'!H223</f>
        <v>44.5</v>
      </c>
      <c r="F218">
        <f>F217+'2026'!L223</f>
        <v>45.5</v>
      </c>
      <c r="G218">
        <f>G217+'2026'!P223</f>
        <v>41.5</v>
      </c>
      <c r="H218">
        <f>H217+'2026'!T223</f>
        <v>41</v>
      </c>
    </row>
    <row r="219" spans="2:8" ht="15.75" thickTop="1" x14ac:dyDescent="0.25">
      <c r="B219" s="73">
        <v>46335</v>
      </c>
      <c r="C219" t="e">
        <f>'2026'!#REF!</f>
        <v>#REF!</v>
      </c>
      <c r="D219">
        <f t="shared" si="3"/>
        <v>0</v>
      </c>
      <c r="E219">
        <f>E218+'2026'!H224</f>
        <v>44.5</v>
      </c>
      <c r="F219">
        <f>F218+'2026'!L224</f>
        <v>45.5</v>
      </c>
      <c r="G219">
        <f>G218+'2026'!P224</f>
        <v>41.5</v>
      </c>
      <c r="H219">
        <f>H218+'2026'!T224</f>
        <v>41</v>
      </c>
    </row>
    <row r="220" spans="2:8" x14ac:dyDescent="0.25">
      <c r="B220" s="74">
        <v>46336</v>
      </c>
      <c r="C220" t="e">
        <f>'2026'!#REF!</f>
        <v>#REF!</v>
      </c>
      <c r="D220">
        <f t="shared" si="3"/>
        <v>0</v>
      </c>
      <c r="E220">
        <f>E219+'2026'!H225</f>
        <v>44.5</v>
      </c>
      <c r="F220">
        <f>F219+'2026'!L225</f>
        <v>45.5</v>
      </c>
      <c r="G220">
        <f>G219+'2026'!P225</f>
        <v>41.5</v>
      </c>
      <c r="H220">
        <f>H219+'2026'!T225</f>
        <v>41</v>
      </c>
    </row>
    <row r="221" spans="2:8" x14ac:dyDescent="0.25">
      <c r="B221" s="74">
        <v>46337</v>
      </c>
      <c r="C221" t="e">
        <f>'2026'!#REF!</f>
        <v>#REF!</v>
      </c>
      <c r="D221">
        <f t="shared" si="3"/>
        <v>0</v>
      </c>
      <c r="E221">
        <f>E220+'2026'!H226</f>
        <v>44.5</v>
      </c>
      <c r="F221">
        <f>F220+'2026'!L226</f>
        <v>45.5</v>
      </c>
      <c r="G221">
        <f>G220+'2026'!P226</f>
        <v>41.5</v>
      </c>
      <c r="H221">
        <f>H220+'2026'!T226</f>
        <v>41</v>
      </c>
    </row>
    <row r="222" spans="2:8" x14ac:dyDescent="0.25">
      <c r="B222" s="74">
        <v>46338</v>
      </c>
      <c r="C222" t="e">
        <f>'2026'!#REF!</f>
        <v>#REF!</v>
      </c>
      <c r="D222">
        <f t="shared" si="3"/>
        <v>0</v>
      </c>
      <c r="E222">
        <f>E221+'2026'!H227</f>
        <v>44.5</v>
      </c>
      <c r="F222">
        <f>F221+'2026'!L227</f>
        <v>45.5</v>
      </c>
      <c r="G222">
        <f>G221+'2026'!P227</f>
        <v>41.5</v>
      </c>
      <c r="H222">
        <f>H221+'2026'!T227</f>
        <v>41</v>
      </c>
    </row>
    <row r="223" spans="2:8" ht="15.75" thickBot="1" x14ac:dyDescent="0.3">
      <c r="B223" s="75">
        <v>46339</v>
      </c>
      <c r="C223" t="e">
        <f>'2026'!#REF!</f>
        <v>#REF!</v>
      </c>
      <c r="D223">
        <f t="shared" si="3"/>
        <v>0</v>
      </c>
      <c r="E223">
        <f>E222+'2026'!H228</f>
        <v>44.5</v>
      </c>
      <c r="F223">
        <f>F222+'2026'!L228</f>
        <v>45.5</v>
      </c>
      <c r="G223">
        <f>G222+'2026'!P228</f>
        <v>41.5</v>
      </c>
      <c r="H223">
        <f>H222+'2026'!T228</f>
        <v>41</v>
      </c>
    </row>
    <row r="224" spans="2:8" ht="15.75" thickTop="1" x14ac:dyDescent="0.25">
      <c r="B224" s="74">
        <v>46342</v>
      </c>
      <c r="C224" t="e">
        <f>'2026'!#REF!</f>
        <v>#REF!</v>
      </c>
      <c r="D224">
        <f t="shared" si="3"/>
        <v>0</v>
      </c>
      <c r="E224">
        <f>E223+'2026'!H229</f>
        <v>44.5</v>
      </c>
      <c r="F224">
        <f>F223+'2026'!L229</f>
        <v>45.5</v>
      </c>
      <c r="G224">
        <f>G223+'2026'!P229</f>
        <v>41.5</v>
      </c>
      <c r="H224">
        <f>H223+'2026'!T229</f>
        <v>41</v>
      </c>
    </row>
    <row r="225" spans="2:8" x14ac:dyDescent="0.25">
      <c r="B225" s="74">
        <v>46343</v>
      </c>
      <c r="E225">
        <f>E224+'2026'!H230</f>
        <v>44.5</v>
      </c>
      <c r="F225">
        <f>F224+'2026'!L230</f>
        <v>45.5</v>
      </c>
      <c r="G225">
        <f>G224+'2026'!P230</f>
        <v>41.5</v>
      </c>
      <c r="H225">
        <f>H224+'2026'!T230</f>
        <v>41</v>
      </c>
    </row>
    <row r="226" spans="2:8" x14ac:dyDescent="0.25">
      <c r="B226" s="74">
        <v>46344</v>
      </c>
      <c r="E226">
        <f>E225+'2026'!H231</f>
        <v>44.5</v>
      </c>
      <c r="F226">
        <f>F225+'2026'!L231</f>
        <v>45.5</v>
      </c>
      <c r="G226">
        <f>G225+'2026'!P231</f>
        <v>41.5</v>
      </c>
      <c r="H226">
        <f>H225+'2026'!T231</f>
        <v>41</v>
      </c>
    </row>
    <row r="227" spans="2:8" x14ac:dyDescent="0.25">
      <c r="B227" s="74">
        <v>46345</v>
      </c>
      <c r="E227">
        <f>E226+'2026'!H232</f>
        <v>44.5</v>
      </c>
      <c r="F227">
        <f>F226+'2026'!L232</f>
        <v>45.5</v>
      </c>
      <c r="G227">
        <f>G226+'2026'!P232</f>
        <v>41.5</v>
      </c>
      <c r="H227">
        <f>H226+'2026'!T232</f>
        <v>41</v>
      </c>
    </row>
    <row r="228" spans="2:8" ht="15.75" thickBot="1" x14ac:dyDescent="0.3">
      <c r="B228" s="117">
        <v>46346</v>
      </c>
      <c r="E228">
        <f>E227+'2026'!H233</f>
        <v>44.5</v>
      </c>
      <c r="F228">
        <f>F227+'2026'!L233</f>
        <v>45.5</v>
      </c>
      <c r="G228">
        <f>G227+'2026'!P233</f>
        <v>41.5</v>
      </c>
      <c r="H228">
        <f>H227+'2026'!T233</f>
        <v>41</v>
      </c>
    </row>
    <row r="229" spans="2:8" ht="15.75" thickTop="1" x14ac:dyDescent="0.25">
      <c r="B229" s="73">
        <v>46349</v>
      </c>
      <c r="E229">
        <f>E228+'2026'!H234</f>
        <v>44.5</v>
      </c>
      <c r="F229">
        <f>F228+'2026'!L234</f>
        <v>45.5</v>
      </c>
      <c r="G229">
        <f>G228+'2026'!P234</f>
        <v>41.5</v>
      </c>
      <c r="H229">
        <f>H228+'2026'!T234</f>
        <v>41</v>
      </c>
    </row>
    <row r="230" spans="2:8" x14ac:dyDescent="0.25">
      <c r="B230" s="74">
        <v>46350</v>
      </c>
      <c r="E230">
        <f>E229+'2026'!H235</f>
        <v>44.5</v>
      </c>
      <c r="F230">
        <f>F229+'2026'!L235</f>
        <v>45.5</v>
      </c>
      <c r="G230">
        <f>G229+'2026'!P235</f>
        <v>41.5</v>
      </c>
      <c r="H230">
        <f>H229+'2026'!T235</f>
        <v>41</v>
      </c>
    </row>
    <row r="231" spans="2:8" x14ac:dyDescent="0.25">
      <c r="B231" s="74">
        <v>46351</v>
      </c>
      <c r="E231">
        <f>E230+'2026'!H236</f>
        <v>44.5</v>
      </c>
      <c r="F231">
        <f>F230+'2026'!L236</f>
        <v>45.5</v>
      </c>
      <c r="G231">
        <f>G230+'2026'!P236</f>
        <v>41.5</v>
      </c>
      <c r="H231">
        <f>H230+'2026'!T236</f>
        <v>41</v>
      </c>
    </row>
    <row r="232" spans="2:8" x14ac:dyDescent="0.25">
      <c r="B232" s="74">
        <v>46352</v>
      </c>
      <c r="E232">
        <f>E231+'2026'!H237</f>
        <v>44.5</v>
      </c>
      <c r="F232">
        <f>F231+'2026'!L237</f>
        <v>45.5</v>
      </c>
      <c r="G232">
        <f>G231+'2026'!P237</f>
        <v>41.5</v>
      </c>
      <c r="H232">
        <f>H231+'2026'!T237</f>
        <v>41</v>
      </c>
    </row>
    <row r="233" spans="2:8" ht="15.75" thickBot="1" x14ac:dyDescent="0.3">
      <c r="B233" s="75">
        <v>46353</v>
      </c>
      <c r="E233">
        <f>E232+'2026'!H238</f>
        <v>44.5</v>
      </c>
      <c r="F233">
        <f>F232+'2026'!L238</f>
        <v>45.5</v>
      </c>
      <c r="G233">
        <f>G232+'2026'!P238</f>
        <v>41.5</v>
      </c>
      <c r="H233">
        <f>H232+'2026'!T238</f>
        <v>41</v>
      </c>
    </row>
    <row r="234" spans="2:8" ht="15.75" thickTop="1" x14ac:dyDescent="0.25">
      <c r="B234" s="73">
        <v>46356</v>
      </c>
      <c r="E234">
        <f>E233+'2026'!H239</f>
        <v>44.5</v>
      </c>
      <c r="F234">
        <f>F233+'2026'!L239</f>
        <v>45.5</v>
      </c>
      <c r="G234">
        <f>G233+'2026'!P239</f>
        <v>41.5</v>
      </c>
      <c r="H234">
        <f>H233+'2026'!T239</f>
        <v>41</v>
      </c>
    </row>
    <row r="235" spans="2:8" x14ac:dyDescent="0.25">
      <c r="B235" s="74">
        <v>46357</v>
      </c>
      <c r="E235">
        <f>E234+'2026'!H240</f>
        <v>44.5</v>
      </c>
      <c r="F235">
        <f>F234+'2026'!L240</f>
        <v>45.5</v>
      </c>
      <c r="G235">
        <f>G234+'2026'!P240</f>
        <v>41.5</v>
      </c>
      <c r="H235">
        <f>H234+'2026'!T240</f>
        <v>41</v>
      </c>
    </row>
    <row r="236" spans="2:8" x14ac:dyDescent="0.25">
      <c r="B236" s="74">
        <v>46358</v>
      </c>
      <c r="E236">
        <f>E235+'2026'!H241</f>
        <v>44.5</v>
      </c>
      <c r="F236">
        <f>F235+'2026'!L241</f>
        <v>45.5</v>
      </c>
      <c r="G236">
        <f>G235+'2026'!P241</f>
        <v>41.5</v>
      </c>
      <c r="H236">
        <f>H235+'2026'!T241</f>
        <v>41</v>
      </c>
    </row>
    <row r="237" spans="2:8" x14ac:dyDescent="0.25">
      <c r="B237" s="74">
        <v>46359</v>
      </c>
      <c r="E237">
        <f>E236+'2026'!H242</f>
        <v>44.5</v>
      </c>
      <c r="F237">
        <f>F236+'2026'!L242</f>
        <v>45.5</v>
      </c>
      <c r="G237">
        <f>G236+'2026'!P242</f>
        <v>41.5</v>
      </c>
      <c r="H237">
        <f>H236+'2026'!T242</f>
        <v>41</v>
      </c>
    </row>
    <row r="238" spans="2:8" ht="15.75" thickBot="1" x14ac:dyDescent="0.3">
      <c r="B238" s="75">
        <v>46360</v>
      </c>
      <c r="E238">
        <f>E237+'2026'!H243</f>
        <v>44.5</v>
      </c>
      <c r="F238">
        <f>F237+'2026'!L243</f>
        <v>45.5</v>
      </c>
      <c r="G238">
        <f>G237+'2026'!P243</f>
        <v>41.5</v>
      </c>
      <c r="H238">
        <f>H237+'2026'!T243</f>
        <v>41</v>
      </c>
    </row>
    <row r="239" spans="2:8" ht="15.75" thickTop="1" x14ac:dyDescent="0.25">
      <c r="B239" s="73">
        <v>46363</v>
      </c>
      <c r="E239">
        <f>E238+'2026'!H244</f>
        <v>44.5</v>
      </c>
      <c r="F239">
        <f>F238+'2026'!L244</f>
        <v>45.5</v>
      </c>
      <c r="G239">
        <f>G238+'2026'!P244</f>
        <v>41.5</v>
      </c>
      <c r="H239">
        <f>H238+'2026'!T244</f>
        <v>41</v>
      </c>
    </row>
    <row r="240" spans="2:8" x14ac:dyDescent="0.25">
      <c r="B240" s="74">
        <v>46364</v>
      </c>
      <c r="E240">
        <f>E239+'2026'!H245</f>
        <v>44.5</v>
      </c>
      <c r="F240">
        <f>F239+'2026'!L245</f>
        <v>45.5</v>
      </c>
      <c r="G240">
        <f>G239+'2026'!P245</f>
        <v>41.5</v>
      </c>
      <c r="H240">
        <f>H239+'2026'!T245</f>
        <v>41</v>
      </c>
    </row>
    <row r="241" spans="2:8" x14ac:dyDescent="0.25">
      <c r="B241" s="74">
        <v>46365</v>
      </c>
      <c r="E241">
        <f>E240+'2026'!H246</f>
        <v>44.5</v>
      </c>
      <c r="F241">
        <f>F240+'2026'!L246</f>
        <v>45.5</v>
      </c>
      <c r="G241">
        <f>G240+'2026'!P246</f>
        <v>41.5</v>
      </c>
      <c r="H241">
        <f>H240+'2026'!T246</f>
        <v>41</v>
      </c>
    </row>
    <row r="242" spans="2:8" x14ac:dyDescent="0.25">
      <c r="B242" s="74">
        <v>46366</v>
      </c>
      <c r="E242">
        <f>E241+'2026'!H247</f>
        <v>44.5</v>
      </c>
      <c r="F242">
        <f>F241+'2026'!L247</f>
        <v>45.5</v>
      </c>
      <c r="G242">
        <f>G241+'2026'!P247</f>
        <v>41.5</v>
      </c>
      <c r="H242">
        <f>H241+'2026'!T247</f>
        <v>41</v>
      </c>
    </row>
    <row r="243" spans="2:8" ht="15.75" thickBot="1" x14ac:dyDescent="0.3">
      <c r="B243" s="75">
        <v>46367</v>
      </c>
      <c r="E243">
        <f>E242+'2026'!H248</f>
        <v>44.5</v>
      </c>
      <c r="F243">
        <f>F242+'2026'!L248</f>
        <v>45.5</v>
      </c>
      <c r="G243">
        <f>G242+'2026'!P248</f>
        <v>41.5</v>
      </c>
      <c r="H243">
        <f>H242+'2026'!T248</f>
        <v>41</v>
      </c>
    </row>
    <row r="244" spans="2:8" ht="15.75" thickTop="1" x14ac:dyDescent="0.25">
      <c r="B244" s="73">
        <v>46370</v>
      </c>
      <c r="E244">
        <f>E243+'2026'!H249</f>
        <v>44.5</v>
      </c>
      <c r="F244">
        <f>F243+'2026'!L249</f>
        <v>45.5</v>
      </c>
      <c r="G244">
        <f>G243+'2026'!P249</f>
        <v>41.5</v>
      </c>
      <c r="H244">
        <f>H243+'2026'!T249</f>
        <v>41</v>
      </c>
    </row>
    <row r="245" spans="2:8" x14ac:dyDescent="0.25">
      <c r="B245" s="74">
        <v>46371</v>
      </c>
      <c r="E245">
        <f>E244+'2026'!H250</f>
        <v>44.5</v>
      </c>
      <c r="F245">
        <f>F244+'2026'!L250</f>
        <v>45.5</v>
      </c>
      <c r="G245">
        <f>G244+'2026'!P250</f>
        <v>41.5</v>
      </c>
      <c r="H245">
        <f>H244+'2026'!T250</f>
        <v>41</v>
      </c>
    </row>
    <row r="246" spans="2:8" x14ac:dyDescent="0.25">
      <c r="B246" s="74">
        <v>46372</v>
      </c>
      <c r="E246">
        <f>E245+'2026'!H251</f>
        <v>44.5</v>
      </c>
      <c r="F246">
        <f>F245+'2026'!L251</f>
        <v>45.5</v>
      </c>
      <c r="G246">
        <f>G245+'2026'!P251</f>
        <v>41.5</v>
      </c>
      <c r="H246">
        <f>H245+'2026'!T251</f>
        <v>41</v>
      </c>
    </row>
    <row r="247" spans="2:8" x14ac:dyDescent="0.25">
      <c r="B247" s="74">
        <v>46373</v>
      </c>
      <c r="E247">
        <f>E246+'2026'!H252</f>
        <v>44.5</v>
      </c>
      <c r="F247">
        <f>F246+'2026'!L252</f>
        <v>45.5</v>
      </c>
      <c r="G247">
        <f>G246+'2026'!P252</f>
        <v>41.5</v>
      </c>
      <c r="H247">
        <f>H246+'2026'!T252</f>
        <v>41</v>
      </c>
    </row>
    <row r="248" spans="2:8" ht="15.75" thickBot="1" x14ac:dyDescent="0.3">
      <c r="B248" s="75">
        <v>46374</v>
      </c>
      <c r="E248">
        <f>E247+'2026'!H253</f>
        <v>44.5</v>
      </c>
      <c r="F248">
        <f>F247+'2026'!L253</f>
        <v>45.5</v>
      </c>
      <c r="G248">
        <f>G247+'2026'!P253</f>
        <v>41.5</v>
      </c>
      <c r="H248">
        <f>H247+'2026'!T253</f>
        <v>41</v>
      </c>
    </row>
    <row r="249" spans="2:8" ht="15.75" thickTop="1" x14ac:dyDescent="0.25">
      <c r="B249" s="73">
        <v>46377</v>
      </c>
      <c r="E249">
        <f>E248+'2026'!H254</f>
        <v>44.5</v>
      </c>
      <c r="F249">
        <f>F248+'2026'!L254</f>
        <v>45.5</v>
      </c>
      <c r="G249">
        <f>G248+'2026'!P254</f>
        <v>41.5</v>
      </c>
      <c r="H249">
        <f>H248+'2026'!T254</f>
        <v>41</v>
      </c>
    </row>
    <row r="250" spans="2:8" x14ac:dyDescent="0.25">
      <c r="B250" s="74">
        <v>46378</v>
      </c>
      <c r="E250">
        <f>E249+'2026'!H255</f>
        <v>44.5</v>
      </c>
      <c r="F250">
        <f>F249+'2026'!L255</f>
        <v>45.5</v>
      </c>
      <c r="G250">
        <f>G249+'2026'!P255</f>
        <v>41.5</v>
      </c>
      <c r="H250">
        <f>H249+'2026'!T255</f>
        <v>41</v>
      </c>
    </row>
    <row r="251" spans="2:8" ht="15.75" thickBot="1" x14ac:dyDescent="0.3">
      <c r="B251" s="75">
        <v>46379</v>
      </c>
      <c r="E251">
        <f>E250+'2026'!H256</f>
        <v>44.5</v>
      </c>
      <c r="F251">
        <f>F250+'2026'!L256</f>
        <v>45.5</v>
      </c>
      <c r="G251">
        <f>G250+'2026'!P256</f>
        <v>41.5</v>
      </c>
      <c r="H251">
        <f>H250+'2026'!T256</f>
        <v>41</v>
      </c>
    </row>
    <row r="252" spans="2:8" ht="15.75" thickTop="1" x14ac:dyDescent="0.25"/>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40"/>
  <sheetViews>
    <sheetView zoomScaleNormal="100" workbookViewId="0">
      <pane ySplit="2" topLeftCell="A3" activePane="bottomLeft" state="frozen"/>
      <selection pane="bottomLeft" activeCell="B20" sqref="B20"/>
    </sheetView>
  </sheetViews>
  <sheetFormatPr defaultColWidth="9.140625" defaultRowHeight="15" x14ac:dyDescent="0.25"/>
  <cols>
    <col min="1" max="1" width="29.42578125" style="2" customWidth="1"/>
    <col min="2" max="2" width="15.7109375" style="3" customWidth="1"/>
    <col min="3" max="3" width="17.140625" style="3" customWidth="1"/>
    <col min="4" max="7" width="16.7109375" style="3" customWidth="1"/>
    <col min="8" max="8" width="10.7109375" style="3" customWidth="1"/>
    <col min="9" max="11" width="16.7109375" style="3" customWidth="1"/>
    <col min="12" max="12" width="10.7109375" style="3" customWidth="1"/>
    <col min="13" max="15" width="16.7109375" style="3" customWidth="1"/>
    <col min="16" max="16" width="10.7109375" style="3" customWidth="1"/>
    <col min="17" max="17" width="11.42578125" style="3"/>
    <col min="18" max="18" width="39.7109375" style="3" customWidth="1"/>
    <col min="19" max="1025" width="11.42578125" style="3"/>
  </cols>
  <sheetData>
    <row r="1" spans="1:19" ht="15" customHeight="1" x14ac:dyDescent="0.25">
      <c r="A1" s="176" t="s">
        <v>0</v>
      </c>
      <c r="B1" s="177" t="s">
        <v>1</v>
      </c>
      <c r="C1" s="177" t="s">
        <v>2</v>
      </c>
      <c r="D1" s="180" t="s">
        <v>3</v>
      </c>
      <c r="E1" s="181" t="s">
        <v>4</v>
      </c>
      <c r="F1" s="181"/>
      <c r="G1" s="181"/>
      <c r="H1" s="181"/>
      <c r="I1" s="181" t="s">
        <v>5</v>
      </c>
      <c r="J1" s="181"/>
      <c r="K1" s="181"/>
      <c r="L1" s="181"/>
      <c r="M1" s="183" t="s">
        <v>6</v>
      </c>
      <c r="N1" s="183"/>
      <c r="O1" s="183"/>
      <c r="P1" s="183"/>
    </row>
    <row r="2" spans="1:19" x14ac:dyDescent="0.25">
      <c r="A2" s="176"/>
      <c r="B2" s="177"/>
      <c r="C2" s="177"/>
      <c r="D2" s="180"/>
      <c r="E2" s="4" t="s">
        <v>1</v>
      </c>
      <c r="F2" s="5" t="s">
        <v>2</v>
      </c>
      <c r="G2" s="5" t="s">
        <v>3</v>
      </c>
      <c r="H2" s="6" t="s">
        <v>7</v>
      </c>
      <c r="I2" s="4" t="s">
        <v>1</v>
      </c>
      <c r="J2" s="5" t="s">
        <v>2</v>
      </c>
      <c r="K2" s="5" t="s">
        <v>3</v>
      </c>
      <c r="L2" s="6" t="s">
        <v>7</v>
      </c>
      <c r="M2" s="7" t="s">
        <v>1</v>
      </c>
      <c r="N2" s="5" t="s">
        <v>2</v>
      </c>
      <c r="O2" s="5" t="s">
        <v>3</v>
      </c>
      <c r="P2" s="6" t="s">
        <v>7</v>
      </c>
    </row>
    <row r="3" spans="1:19" s="14" customFormat="1" x14ac:dyDescent="0.25">
      <c r="A3" s="8">
        <v>45590</v>
      </c>
      <c r="B3" s="9" t="s">
        <v>8</v>
      </c>
      <c r="C3" s="9" t="s">
        <v>9</v>
      </c>
      <c r="D3" s="10" t="s">
        <v>9</v>
      </c>
      <c r="E3" s="11" t="s">
        <v>8</v>
      </c>
      <c r="F3" s="9" t="s">
        <v>10</v>
      </c>
      <c r="G3" s="9" t="s">
        <v>11</v>
      </c>
      <c r="H3" s="12">
        <f t="shared" ref="H3:H37" si="0">IF(ISBLANK($B3),$S$12,IF(AND($B3=E3,$C3=F3,$D3=G3),$S$9,IF(AND($B3=E3,OR($C3=F3,$D3=G3)),$S$10+$S$11,IF(OR($B3=E3,AND($C3=F3,$D3=G3)),$S$10,IF(OR($C3=F3,$D3=G3),$S$11)))))</f>
        <v>1</v>
      </c>
      <c r="I3" s="11" t="s">
        <v>8</v>
      </c>
      <c r="J3" s="9" t="s">
        <v>12</v>
      </c>
      <c r="K3" s="9" t="s">
        <v>13</v>
      </c>
      <c r="L3" s="12">
        <f t="shared" ref="L3:L37" si="1">IF(ISBLANK($B3),$S$12,IF(AND($B3=I3,$C3=J3,$D3=K3),$S$9,IF(AND($B3=I3,OR($C3=J3,$D3=K3)),$S$10+$S$11,IF(OR($B3=I3,AND($C3=J3,$D3=K3)),$S$10,IF(OR($C3=J3,$D3=K3),$S$11)))))</f>
        <v>1</v>
      </c>
      <c r="M3" s="13" t="s">
        <v>14</v>
      </c>
      <c r="N3" s="9" t="s">
        <v>15</v>
      </c>
      <c r="O3" s="9" t="s">
        <v>16</v>
      </c>
      <c r="P3" s="12" t="b">
        <f t="shared" ref="P3:P37" si="2">IF(ISBLANK($B3),$S$12,IF(AND($B3=M3,$C3=N3,$D3=O3),$S$9,IF(AND($B3=M3,OR($C3=N3,$D3=O3)),$S$10+$S$11,IF(OR($B3=M3,AND($C3=N3,$D3=O3)),$S$10,IF(OR($C3=N3,$D3=O3),$S$11)))))</f>
        <v>0</v>
      </c>
    </row>
    <row r="4" spans="1:19" s="14" customFormat="1" ht="38.25" x14ac:dyDescent="0.25">
      <c r="A4" s="15">
        <v>45593</v>
      </c>
      <c r="B4" s="16" t="s">
        <v>17</v>
      </c>
      <c r="C4" s="16" t="s">
        <v>18</v>
      </c>
      <c r="D4" s="17" t="s">
        <v>13</v>
      </c>
      <c r="E4" s="16" t="s">
        <v>17</v>
      </c>
      <c r="F4" s="16" t="s">
        <v>18</v>
      </c>
      <c r="G4" s="16" t="s">
        <v>13</v>
      </c>
      <c r="H4" s="12">
        <f t="shared" si="0"/>
        <v>3</v>
      </c>
      <c r="I4" s="18" t="s">
        <v>19</v>
      </c>
      <c r="J4" s="16" t="s">
        <v>20</v>
      </c>
      <c r="K4" s="16" t="s">
        <v>21</v>
      </c>
      <c r="L4" s="12" t="b">
        <f t="shared" si="1"/>
        <v>0</v>
      </c>
      <c r="M4" s="19" t="s">
        <v>22</v>
      </c>
      <c r="N4" s="16" t="s">
        <v>23</v>
      </c>
      <c r="O4" s="16" t="s">
        <v>21</v>
      </c>
      <c r="P4" s="12" t="b">
        <f t="shared" si="2"/>
        <v>0</v>
      </c>
    </row>
    <row r="5" spans="1:19" s="14" customFormat="1" ht="30" x14ac:dyDescent="0.25">
      <c r="A5" s="15">
        <v>45594</v>
      </c>
      <c r="B5" s="20" t="s">
        <v>24</v>
      </c>
      <c r="C5" s="20" t="s">
        <v>12</v>
      </c>
      <c r="D5" s="21" t="s">
        <v>21</v>
      </c>
      <c r="E5" s="22" t="s">
        <v>25</v>
      </c>
      <c r="F5" s="20" t="s">
        <v>26</v>
      </c>
      <c r="G5" s="20" t="s">
        <v>27</v>
      </c>
      <c r="H5" s="12" t="b">
        <f t="shared" si="0"/>
        <v>0</v>
      </c>
      <c r="I5" s="22" t="s">
        <v>28</v>
      </c>
      <c r="J5" s="20" t="s">
        <v>28</v>
      </c>
      <c r="K5" s="20" t="s">
        <v>28</v>
      </c>
      <c r="L5" s="12" t="b">
        <f t="shared" si="1"/>
        <v>0</v>
      </c>
      <c r="M5" s="23" t="s">
        <v>29</v>
      </c>
      <c r="N5" s="20" t="s">
        <v>30</v>
      </c>
      <c r="O5" s="20" t="s">
        <v>31</v>
      </c>
      <c r="P5" s="12" t="b">
        <f t="shared" si="2"/>
        <v>0</v>
      </c>
    </row>
    <row r="6" spans="1:19" s="14" customFormat="1" x14ac:dyDescent="0.25">
      <c r="A6" s="15">
        <v>45595</v>
      </c>
      <c r="B6" s="20" t="s">
        <v>32</v>
      </c>
      <c r="C6" s="20" t="s">
        <v>10</v>
      </c>
      <c r="D6" s="21" t="s">
        <v>11</v>
      </c>
      <c r="E6" s="22" t="s">
        <v>29</v>
      </c>
      <c r="F6" s="20" t="s">
        <v>33</v>
      </c>
      <c r="G6" s="20" t="s">
        <v>34</v>
      </c>
      <c r="H6" s="12" t="b">
        <f t="shared" si="0"/>
        <v>0</v>
      </c>
      <c r="I6" s="22" t="s">
        <v>28</v>
      </c>
      <c r="J6" s="20" t="s">
        <v>28</v>
      </c>
      <c r="K6" s="20" t="s">
        <v>28</v>
      </c>
      <c r="L6" s="12" t="b">
        <f t="shared" si="1"/>
        <v>0</v>
      </c>
      <c r="M6" s="23" t="s">
        <v>35</v>
      </c>
      <c r="N6" s="20" t="s">
        <v>36</v>
      </c>
      <c r="O6" s="20" t="s">
        <v>37</v>
      </c>
      <c r="P6" s="12" t="b">
        <f t="shared" si="2"/>
        <v>0</v>
      </c>
    </row>
    <row r="7" spans="1:19" s="14" customFormat="1" ht="38.25" x14ac:dyDescent="0.25">
      <c r="A7" s="15">
        <v>45596</v>
      </c>
      <c r="B7" s="20" t="s">
        <v>9</v>
      </c>
      <c r="C7" s="20" t="s">
        <v>38</v>
      </c>
      <c r="D7" s="21" t="s">
        <v>16</v>
      </c>
      <c r="E7" s="22" t="s">
        <v>39</v>
      </c>
      <c r="F7" s="20" t="s">
        <v>36</v>
      </c>
      <c r="G7" s="20" t="s">
        <v>37</v>
      </c>
      <c r="H7" s="12" t="b">
        <f t="shared" si="0"/>
        <v>0</v>
      </c>
      <c r="I7" s="22" t="s">
        <v>28</v>
      </c>
      <c r="J7" s="20" t="s">
        <v>28</v>
      </c>
      <c r="K7" s="20" t="s">
        <v>28</v>
      </c>
      <c r="L7" s="12" t="b">
        <f t="shared" si="1"/>
        <v>0</v>
      </c>
      <c r="M7" s="19" t="s">
        <v>40</v>
      </c>
      <c r="N7" s="16" t="s">
        <v>23</v>
      </c>
      <c r="O7" s="16" t="s">
        <v>21</v>
      </c>
      <c r="P7" s="12" t="b">
        <f t="shared" si="2"/>
        <v>0</v>
      </c>
    </row>
    <row r="8" spans="1:19" s="14" customFormat="1" ht="38.25" x14ac:dyDescent="0.25">
      <c r="A8" s="24">
        <v>45607</v>
      </c>
      <c r="B8" s="16" t="s">
        <v>19</v>
      </c>
      <c r="C8" s="16" t="s">
        <v>18</v>
      </c>
      <c r="D8" s="16" t="s">
        <v>21</v>
      </c>
      <c r="E8" s="22" t="s">
        <v>14</v>
      </c>
      <c r="F8" s="20" t="s">
        <v>41</v>
      </c>
      <c r="G8" s="20" t="s">
        <v>27</v>
      </c>
      <c r="H8" s="12" t="b">
        <f t="shared" si="0"/>
        <v>0</v>
      </c>
      <c r="I8" s="22" t="s">
        <v>42</v>
      </c>
      <c r="J8" s="20" t="s">
        <v>12</v>
      </c>
      <c r="K8" s="20" t="s">
        <v>43</v>
      </c>
      <c r="L8" s="12" t="b">
        <f t="shared" si="1"/>
        <v>0</v>
      </c>
      <c r="M8" s="23" t="s">
        <v>35</v>
      </c>
      <c r="N8" s="16" t="s">
        <v>23</v>
      </c>
      <c r="O8" s="16" t="s">
        <v>21</v>
      </c>
      <c r="P8" s="12">
        <f t="shared" si="2"/>
        <v>0.5</v>
      </c>
    </row>
    <row r="9" spans="1:19" s="14" customFormat="1" ht="30" x14ac:dyDescent="0.25">
      <c r="A9" s="15">
        <v>45608</v>
      </c>
      <c r="B9" s="20" t="s">
        <v>14</v>
      </c>
      <c r="C9" s="20" t="s">
        <v>12</v>
      </c>
      <c r="D9" s="21" t="s">
        <v>43</v>
      </c>
      <c r="E9" s="22" t="s">
        <v>39</v>
      </c>
      <c r="F9" s="16" t="s">
        <v>20</v>
      </c>
      <c r="G9" s="16" t="s">
        <v>21</v>
      </c>
      <c r="H9" s="12" t="b">
        <f t="shared" si="0"/>
        <v>0</v>
      </c>
      <c r="I9" s="22" t="s">
        <v>14</v>
      </c>
      <c r="J9" s="23" t="s">
        <v>10</v>
      </c>
      <c r="K9" s="23" t="s">
        <v>11</v>
      </c>
      <c r="L9" s="12">
        <f t="shared" si="1"/>
        <v>1</v>
      </c>
      <c r="M9" s="23" t="s">
        <v>8</v>
      </c>
      <c r="N9" s="23" t="s">
        <v>10</v>
      </c>
      <c r="O9" s="23" t="s">
        <v>11</v>
      </c>
      <c r="P9" s="12" t="b">
        <f t="shared" si="2"/>
        <v>0</v>
      </c>
      <c r="R9" s="14" t="s">
        <v>44</v>
      </c>
      <c r="S9" s="14">
        <v>3</v>
      </c>
    </row>
    <row r="10" spans="1:19" s="14" customFormat="1" ht="30" x14ac:dyDescent="0.25">
      <c r="A10" s="15">
        <v>45609</v>
      </c>
      <c r="B10" s="20" t="s">
        <v>39</v>
      </c>
      <c r="C10" s="20" t="s">
        <v>45</v>
      </c>
      <c r="D10" s="17" t="s">
        <v>13</v>
      </c>
      <c r="E10" s="22" t="s">
        <v>29</v>
      </c>
      <c r="F10" s="20" t="s">
        <v>36</v>
      </c>
      <c r="G10" s="20" t="s">
        <v>37</v>
      </c>
      <c r="H10" s="12" t="b">
        <f t="shared" si="0"/>
        <v>0</v>
      </c>
      <c r="I10" s="22" t="s">
        <v>25</v>
      </c>
      <c r="J10" s="20" t="s">
        <v>45</v>
      </c>
      <c r="K10" s="20" t="s">
        <v>31</v>
      </c>
      <c r="L10" s="12">
        <f t="shared" si="1"/>
        <v>0.5</v>
      </c>
      <c r="M10" s="23" t="s">
        <v>35</v>
      </c>
      <c r="N10" s="20" t="s">
        <v>36</v>
      </c>
      <c r="O10" s="20" t="s">
        <v>37</v>
      </c>
      <c r="P10" s="12" t="b">
        <f t="shared" si="2"/>
        <v>0</v>
      </c>
      <c r="R10" s="14" t="s">
        <v>46</v>
      </c>
      <c r="S10" s="14">
        <v>1</v>
      </c>
    </row>
    <row r="11" spans="1:19" s="14" customFormat="1" ht="30" x14ac:dyDescent="0.25">
      <c r="A11" s="15">
        <v>45610</v>
      </c>
      <c r="B11" s="20" t="s">
        <v>47</v>
      </c>
      <c r="C11" s="20" t="s">
        <v>30</v>
      </c>
      <c r="D11" s="21" t="s">
        <v>27</v>
      </c>
      <c r="E11" s="22" t="s">
        <v>42</v>
      </c>
      <c r="F11" s="20" t="s">
        <v>41</v>
      </c>
      <c r="G11" s="20" t="s">
        <v>27</v>
      </c>
      <c r="H11" s="12">
        <f t="shared" si="0"/>
        <v>0.5</v>
      </c>
      <c r="I11" s="22" t="s">
        <v>48</v>
      </c>
      <c r="J11" s="20" t="s">
        <v>38</v>
      </c>
      <c r="K11" s="20" t="s">
        <v>16</v>
      </c>
      <c r="L11" s="12" t="b">
        <f t="shared" si="1"/>
        <v>0</v>
      </c>
      <c r="M11" s="19" t="s">
        <v>40</v>
      </c>
      <c r="N11" s="20" t="s">
        <v>26</v>
      </c>
      <c r="O11" s="20" t="s">
        <v>27</v>
      </c>
      <c r="P11" s="12">
        <f t="shared" si="2"/>
        <v>0.5</v>
      </c>
      <c r="R11" s="14" t="s">
        <v>49</v>
      </c>
      <c r="S11" s="14">
        <v>0.5</v>
      </c>
    </row>
    <row r="12" spans="1:19" s="14" customFormat="1" ht="38.25" x14ac:dyDescent="0.25">
      <c r="A12" s="15">
        <v>45611</v>
      </c>
      <c r="B12" s="20" t="s">
        <v>50</v>
      </c>
      <c r="C12" s="20" t="s">
        <v>51</v>
      </c>
      <c r="D12" s="21" t="s">
        <v>52</v>
      </c>
      <c r="E12" s="22" t="s">
        <v>53</v>
      </c>
      <c r="F12" s="23" t="s">
        <v>10</v>
      </c>
      <c r="G12" s="23" t="s">
        <v>11</v>
      </c>
      <c r="H12" s="12" t="b">
        <f t="shared" si="0"/>
        <v>0</v>
      </c>
      <c r="I12" s="23" t="s">
        <v>8</v>
      </c>
      <c r="J12" s="20" t="s">
        <v>54</v>
      </c>
      <c r="K12" s="20" t="s">
        <v>11</v>
      </c>
      <c r="L12" s="12" t="b">
        <f t="shared" si="1"/>
        <v>0</v>
      </c>
      <c r="M12" s="23" t="s">
        <v>8</v>
      </c>
      <c r="N12" s="16" t="s">
        <v>23</v>
      </c>
      <c r="O12" s="16" t="s">
        <v>21</v>
      </c>
      <c r="P12" s="12" t="b">
        <f t="shared" si="2"/>
        <v>0</v>
      </c>
      <c r="R12" s="14" t="s">
        <v>55</v>
      </c>
      <c r="S12" s="14">
        <v>0</v>
      </c>
    </row>
    <row r="13" spans="1:19" s="14" customFormat="1" x14ac:dyDescent="0.25">
      <c r="A13" s="15">
        <v>45614</v>
      </c>
      <c r="B13" s="20" t="s">
        <v>56</v>
      </c>
      <c r="C13" s="20" t="s">
        <v>57</v>
      </c>
      <c r="D13" s="21" t="s">
        <v>27</v>
      </c>
      <c r="E13" s="23" t="s">
        <v>42</v>
      </c>
      <c r="F13" s="20" t="s">
        <v>58</v>
      </c>
      <c r="G13" s="20" t="s">
        <v>43</v>
      </c>
      <c r="H13" s="12" t="b">
        <f t="shared" si="0"/>
        <v>0</v>
      </c>
      <c r="I13" s="23" t="s">
        <v>42</v>
      </c>
      <c r="J13" s="20" t="s">
        <v>25</v>
      </c>
      <c r="K13" s="20" t="s">
        <v>33</v>
      </c>
      <c r="L13" s="12" t="b">
        <f t="shared" si="1"/>
        <v>0</v>
      </c>
      <c r="M13" s="23" t="s">
        <v>42</v>
      </c>
      <c r="N13" s="20" t="s">
        <v>36</v>
      </c>
      <c r="O13" s="20" t="s">
        <v>34</v>
      </c>
      <c r="P13" s="12" t="b">
        <f t="shared" si="2"/>
        <v>0</v>
      </c>
    </row>
    <row r="14" spans="1:19" s="14" customFormat="1" ht="30" x14ac:dyDescent="0.25">
      <c r="A14" s="15">
        <v>45615</v>
      </c>
      <c r="B14" s="20" t="s">
        <v>42</v>
      </c>
      <c r="C14" s="20" t="s">
        <v>59</v>
      </c>
      <c r="D14" s="21" t="s">
        <v>60</v>
      </c>
      <c r="E14" s="22" t="s">
        <v>61</v>
      </c>
      <c r="F14" s="20" t="s">
        <v>12</v>
      </c>
      <c r="G14" s="20" t="s">
        <v>21</v>
      </c>
      <c r="H14" s="12" t="b">
        <f t="shared" si="0"/>
        <v>0</v>
      </c>
      <c r="I14" s="22" t="s">
        <v>62</v>
      </c>
      <c r="J14" s="20" t="s">
        <v>63</v>
      </c>
      <c r="K14" s="20" t="s">
        <v>21</v>
      </c>
      <c r="L14" s="12" t="b">
        <f t="shared" si="1"/>
        <v>0</v>
      </c>
      <c r="M14" s="23" t="s">
        <v>35</v>
      </c>
      <c r="N14" s="23" t="s">
        <v>10</v>
      </c>
      <c r="O14" s="23" t="s">
        <v>11</v>
      </c>
      <c r="P14" s="12" t="b">
        <f t="shared" si="2"/>
        <v>0</v>
      </c>
    </row>
    <row r="15" spans="1:19" s="14" customFormat="1" ht="38.25" x14ac:dyDescent="0.25">
      <c r="A15" s="15">
        <v>45616</v>
      </c>
      <c r="B15" s="20" t="s">
        <v>64</v>
      </c>
      <c r="C15" s="20" t="s">
        <v>26</v>
      </c>
      <c r="D15" s="20" t="s">
        <v>27</v>
      </c>
      <c r="E15" s="22" t="s">
        <v>65</v>
      </c>
      <c r="F15" s="20" t="s">
        <v>36</v>
      </c>
      <c r="G15" s="20" t="s">
        <v>34</v>
      </c>
      <c r="H15" s="12" t="b">
        <f t="shared" si="0"/>
        <v>0</v>
      </c>
      <c r="I15" s="22" t="s">
        <v>66</v>
      </c>
      <c r="J15" s="20" t="s">
        <v>26</v>
      </c>
      <c r="K15" s="20" t="s">
        <v>27</v>
      </c>
      <c r="L15" s="12">
        <f t="shared" si="1"/>
        <v>1</v>
      </c>
      <c r="M15" s="16" t="s">
        <v>32</v>
      </c>
      <c r="N15" s="16" t="s">
        <v>23</v>
      </c>
      <c r="O15" s="16" t="s">
        <v>21</v>
      </c>
      <c r="P15" s="12" t="b">
        <f t="shared" si="2"/>
        <v>0</v>
      </c>
    </row>
    <row r="16" spans="1:19" s="14" customFormat="1" ht="45" x14ac:dyDescent="0.25">
      <c r="A16" s="15">
        <v>45617</v>
      </c>
      <c r="B16" s="20" t="s">
        <v>67</v>
      </c>
      <c r="C16" s="20" t="s">
        <v>68</v>
      </c>
      <c r="D16" s="21" t="s">
        <v>69</v>
      </c>
      <c r="E16" s="23" t="s">
        <v>8</v>
      </c>
      <c r="F16" s="20" t="s">
        <v>38</v>
      </c>
      <c r="G16" s="20" t="s">
        <v>31</v>
      </c>
      <c r="H16" s="12" t="b">
        <f t="shared" si="0"/>
        <v>0</v>
      </c>
      <c r="I16" s="22" t="s">
        <v>35</v>
      </c>
      <c r="J16" s="23" t="s">
        <v>10</v>
      </c>
      <c r="K16" s="20" t="s">
        <v>31</v>
      </c>
      <c r="L16" s="12" t="b">
        <f t="shared" si="1"/>
        <v>0</v>
      </c>
      <c r="M16" s="23" t="s">
        <v>17</v>
      </c>
      <c r="N16" s="20" t="s">
        <v>12</v>
      </c>
      <c r="O16" s="20" t="s">
        <v>43</v>
      </c>
      <c r="P16" s="25" t="b">
        <f t="shared" si="2"/>
        <v>0</v>
      </c>
    </row>
    <row r="17" spans="1:16" s="14" customFormat="1" ht="30" x14ac:dyDescent="0.25">
      <c r="A17" s="15">
        <v>45618</v>
      </c>
      <c r="B17" s="20" t="s">
        <v>66</v>
      </c>
      <c r="C17" s="20" t="s">
        <v>70</v>
      </c>
      <c r="D17" s="21" t="s">
        <v>71</v>
      </c>
      <c r="E17" s="22" t="s">
        <v>72</v>
      </c>
      <c r="F17" s="23" t="s">
        <v>10</v>
      </c>
      <c r="G17" s="23" t="s">
        <v>11</v>
      </c>
      <c r="H17" s="12" t="b">
        <f t="shared" si="0"/>
        <v>0</v>
      </c>
      <c r="I17" s="22" t="s">
        <v>66</v>
      </c>
      <c r="J17" s="20" t="s">
        <v>38</v>
      </c>
      <c r="K17" s="20" t="s">
        <v>16</v>
      </c>
      <c r="L17" s="12">
        <f t="shared" si="1"/>
        <v>1</v>
      </c>
      <c r="M17" s="19" t="s">
        <v>40</v>
      </c>
      <c r="N17" s="9" t="s">
        <v>15</v>
      </c>
      <c r="O17" s="9" t="s">
        <v>16</v>
      </c>
      <c r="P17" s="12" t="b">
        <f t="shared" si="2"/>
        <v>0</v>
      </c>
    </row>
    <row r="18" spans="1:16" s="14" customFormat="1" ht="38.25" x14ac:dyDescent="0.25">
      <c r="A18" s="15">
        <v>45621</v>
      </c>
      <c r="B18" s="20" t="s">
        <v>73</v>
      </c>
      <c r="C18" s="16" t="s">
        <v>74</v>
      </c>
      <c r="D18" s="21" t="s">
        <v>31</v>
      </c>
      <c r="E18" s="23" t="s">
        <v>8</v>
      </c>
      <c r="F18" s="23" t="s">
        <v>75</v>
      </c>
      <c r="G18" s="23" t="s">
        <v>21</v>
      </c>
      <c r="H18" s="12" t="b">
        <f t="shared" si="0"/>
        <v>0</v>
      </c>
      <c r="I18" s="22" t="s">
        <v>35</v>
      </c>
      <c r="J18" s="20" t="s">
        <v>63</v>
      </c>
      <c r="K18" s="20" t="s">
        <v>21</v>
      </c>
      <c r="L18" s="12" t="b">
        <f t="shared" si="1"/>
        <v>0</v>
      </c>
      <c r="M18" s="23" t="s">
        <v>76</v>
      </c>
      <c r="N18" s="16" t="s">
        <v>23</v>
      </c>
      <c r="O18" s="16" t="s">
        <v>21</v>
      </c>
      <c r="P18" s="12" t="b">
        <f t="shared" si="2"/>
        <v>0</v>
      </c>
    </row>
    <row r="19" spans="1:16" s="14" customFormat="1" ht="30" x14ac:dyDescent="0.25">
      <c r="A19" s="24">
        <v>45622</v>
      </c>
      <c r="B19" s="20" t="s">
        <v>65</v>
      </c>
      <c r="C19" s="20" t="s">
        <v>77</v>
      </c>
      <c r="D19" s="21" t="s">
        <v>21</v>
      </c>
      <c r="E19" s="22" t="s">
        <v>72</v>
      </c>
      <c r="F19" s="20" t="s">
        <v>12</v>
      </c>
      <c r="G19" s="14" t="s">
        <v>43</v>
      </c>
      <c r="H19" s="12" t="b">
        <f t="shared" si="0"/>
        <v>0</v>
      </c>
      <c r="I19" s="22" t="s">
        <v>28</v>
      </c>
      <c r="J19" s="20" t="s">
        <v>28</v>
      </c>
      <c r="K19" s="20" t="s">
        <v>28</v>
      </c>
      <c r="L19" s="12" t="b">
        <f t="shared" si="1"/>
        <v>0</v>
      </c>
      <c r="M19" s="19" t="s">
        <v>28</v>
      </c>
      <c r="N19" s="9" t="s">
        <v>28</v>
      </c>
      <c r="O19" s="9" t="s">
        <v>28</v>
      </c>
      <c r="P19" s="12" t="b">
        <f t="shared" si="2"/>
        <v>0</v>
      </c>
    </row>
    <row r="20" spans="1:16" s="14" customFormat="1" x14ac:dyDescent="0.25">
      <c r="A20" s="15">
        <v>45623</v>
      </c>
      <c r="B20" s="20" t="s">
        <v>76</v>
      </c>
      <c r="C20" s="20" t="s">
        <v>45</v>
      </c>
      <c r="D20" s="21" t="s">
        <v>13</v>
      </c>
      <c r="E20" s="22" t="s">
        <v>14</v>
      </c>
      <c r="F20" s="23" t="s">
        <v>10</v>
      </c>
      <c r="G20" s="23" t="s">
        <v>11</v>
      </c>
      <c r="H20" s="12" t="b">
        <f t="shared" si="0"/>
        <v>0</v>
      </c>
      <c r="I20" s="22" t="s">
        <v>42</v>
      </c>
      <c r="J20" s="20" t="s">
        <v>25</v>
      </c>
      <c r="K20" s="20" t="s">
        <v>33</v>
      </c>
      <c r="L20" s="12" t="b">
        <f t="shared" si="1"/>
        <v>0</v>
      </c>
      <c r="M20" s="23" t="s">
        <v>35</v>
      </c>
      <c r="N20" s="23" t="s">
        <v>10</v>
      </c>
      <c r="O20" s="23" t="s">
        <v>11</v>
      </c>
      <c r="P20" s="12" t="b">
        <f t="shared" si="2"/>
        <v>0</v>
      </c>
    </row>
    <row r="21" spans="1:16" s="14" customFormat="1" ht="30" x14ac:dyDescent="0.25">
      <c r="A21" s="15">
        <v>45624</v>
      </c>
      <c r="B21" s="20" t="s">
        <v>78</v>
      </c>
      <c r="C21" s="20" t="s">
        <v>12</v>
      </c>
      <c r="D21" s="21" t="s">
        <v>52</v>
      </c>
      <c r="E21" s="22" t="s">
        <v>8</v>
      </c>
      <c r="F21" s="20" t="s">
        <v>30</v>
      </c>
      <c r="G21" s="20" t="s">
        <v>31</v>
      </c>
      <c r="H21" s="25" t="b">
        <f t="shared" si="0"/>
        <v>0</v>
      </c>
      <c r="I21" s="22" t="s">
        <v>28</v>
      </c>
      <c r="J21" s="20" t="s">
        <v>28</v>
      </c>
      <c r="K21" s="20" t="s">
        <v>28</v>
      </c>
      <c r="L21" s="12" t="b">
        <f t="shared" si="1"/>
        <v>0</v>
      </c>
      <c r="M21" s="19" t="s">
        <v>42</v>
      </c>
      <c r="N21" s="20" t="s">
        <v>36</v>
      </c>
      <c r="O21" s="20" t="s">
        <v>34</v>
      </c>
      <c r="P21" s="12" t="b">
        <f t="shared" si="2"/>
        <v>0</v>
      </c>
    </row>
    <row r="22" spans="1:16" s="14" customFormat="1" ht="45" x14ac:dyDescent="0.25">
      <c r="A22" s="15">
        <v>45625</v>
      </c>
      <c r="B22" s="20" t="s">
        <v>79</v>
      </c>
      <c r="C22" s="20" t="s">
        <v>80</v>
      </c>
      <c r="D22" s="21" t="s">
        <v>21</v>
      </c>
      <c r="E22" s="23" t="s">
        <v>35</v>
      </c>
      <c r="F22" s="23" t="s">
        <v>10</v>
      </c>
      <c r="G22" s="23" t="s">
        <v>11</v>
      </c>
      <c r="H22" s="12" t="b">
        <f t="shared" si="0"/>
        <v>0</v>
      </c>
      <c r="I22" s="23" t="s">
        <v>17</v>
      </c>
      <c r="J22" s="20" t="s">
        <v>38</v>
      </c>
      <c r="K22" s="20" t="s">
        <v>16</v>
      </c>
      <c r="L22" s="12" t="b">
        <f t="shared" si="1"/>
        <v>0</v>
      </c>
      <c r="M22" s="19" t="s">
        <v>8</v>
      </c>
      <c r="N22" s="20" t="s">
        <v>38</v>
      </c>
      <c r="O22" s="20" t="s">
        <v>16</v>
      </c>
      <c r="P22" s="25" t="b">
        <f t="shared" si="2"/>
        <v>0</v>
      </c>
    </row>
    <row r="23" spans="1:16" s="14" customFormat="1" ht="38.25" x14ac:dyDescent="0.25">
      <c r="A23" s="15">
        <v>45628</v>
      </c>
      <c r="B23" s="16" t="s">
        <v>22</v>
      </c>
      <c r="C23" s="16" t="s">
        <v>23</v>
      </c>
      <c r="D23" s="16" t="s">
        <v>21</v>
      </c>
      <c r="E23" s="22" t="s">
        <v>47</v>
      </c>
      <c r="F23" s="23" t="s">
        <v>18</v>
      </c>
      <c r="G23" s="23" t="s">
        <v>13</v>
      </c>
      <c r="H23" s="12" t="b">
        <f t="shared" si="0"/>
        <v>0</v>
      </c>
      <c r="I23" s="16" t="s">
        <v>19</v>
      </c>
      <c r="J23" s="20" t="s">
        <v>74</v>
      </c>
      <c r="K23" s="20" t="s">
        <v>27</v>
      </c>
      <c r="L23" s="12" t="b">
        <f t="shared" si="1"/>
        <v>0</v>
      </c>
      <c r="M23" s="19" t="s">
        <v>42</v>
      </c>
      <c r="N23" s="20" t="s">
        <v>36</v>
      </c>
      <c r="O23" s="20" t="s">
        <v>34</v>
      </c>
      <c r="P23" s="12" t="b">
        <f t="shared" si="2"/>
        <v>0</v>
      </c>
    </row>
    <row r="24" spans="1:16" s="14" customFormat="1" ht="30" x14ac:dyDescent="0.25">
      <c r="A24" s="15">
        <v>45629</v>
      </c>
      <c r="B24" s="20" t="s">
        <v>81</v>
      </c>
      <c r="C24" s="20" t="s">
        <v>82</v>
      </c>
      <c r="D24" s="21" t="s">
        <v>43</v>
      </c>
      <c r="E24" s="22" t="s">
        <v>14</v>
      </c>
      <c r="F24" s="23" t="s">
        <v>10</v>
      </c>
      <c r="G24" s="23" t="s">
        <v>11</v>
      </c>
      <c r="H24" s="12" t="b">
        <f t="shared" si="0"/>
        <v>0</v>
      </c>
      <c r="I24" s="22" t="s">
        <v>35</v>
      </c>
      <c r="J24" s="20" t="s">
        <v>68</v>
      </c>
      <c r="K24" s="20" t="s">
        <v>83</v>
      </c>
      <c r="L24" s="12" t="b">
        <f t="shared" si="1"/>
        <v>0</v>
      </c>
      <c r="M24" s="23" t="s">
        <v>8</v>
      </c>
      <c r="N24" s="20" t="s">
        <v>26</v>
      </c>
      <c r="O24" s="20" t="s">
        <v>27</v>
      </c>
      <c r="P24" s="12" t="b">
        <f t="shared" si="2"/>
        <v>0</v>
      </c>
    </row>
    <row r="25" spans="1:16" s="14" customFormat="1" ht="30" x14ac:dyDescent="0.25">
      <c r="A25" s="15">
        <v>45630</v>
      </c>
      <c r="B25" s="20" t="s">
        <v>42</v>
      </c>
      <c r="C25" s="20" t="s">
        <v>10</v>
      </c>
      <c r="D25" s="21" t="s">
        <v>11</v>
      </c>
      <c r="E25" s="22" t="s">
        <v>72</v>
      </c>
      <c r="F25" s="20" t="s">
        <v>54</v>
      </c>
      <c r="G25" s="20" t="s">
        <v>27</v>
      </c>
      <c r="H25" s="12" t="b">
        <f t="shared" si="0"/>
        <v>0</v>
      </c>
      <c r="I25" s="22" t="s">
        <v>14</v>
      </c>
      <c r="J25" s="20" t="s">
        <v>25</v>
      </c>
      <c r="K25" s="20" t="s">
        <v>33</v>
      </c>
      <c r="L25" s="12" t="b">
        <f t="shared" si="1"/>
        <v>0</v>
      </c>
      <c r="M25" s="19" t="s">
        <v>35</v>
      </c>
      <c r="N25" s="16" t="s">
        <v>18</v>
      </c>
      <c r="O25" s="16" t="s">
        <v>13</v>
      </c>
      <c r="P25" s="25" t="b">
        <f t="shared" si="2"/>
        <v>0</v>
      </c>
    </row>
    <row r="26" spans="1:16" s="14" customFormat="1" x14ac:dyDescent="0.25">
      <c r="A26" s="15">
        <v>45631</v>
      </c>
      <c r="B26" s="20" t="s">
        <v>35</v>
      </c>
      <c r="C26" s="20" t="s">
        <v>51</v>
      </c>
      <c r="D26" s="21" t="s">
        <v>13</v>
      </c>
      <c r="E26" s="22" t="s">
        <v>14</v>
      </c>
      <c r="F26" s="20" t="s">
        <v>38</v>
      </c>
      <c r="G26" s="20" t="s">
        <v>16</v>
      </c>
      <c r="H26" s="12" t="b">
        <f t="shared" si="0"/>
        <v>0</v>
      </c>
      <c r="I26" s="22" t="s">
        <v>35</v>
      </c>
      <c r="J26" s="20" t="s">
        <v>54</v>
      </c>
      <c r="K26" s="20" t="s">
        <v>27</v>
      </c>
      <c r="L26" s="12">
        <f t="shared" si="1"/>
        <v>1</v>
      </c>
      <c r="M26" s="19" t="s">
        <v>8</v>
      </c>
      <c r="N26" s="9" t="s">
        <v>51</v>
      </c>
      <c r="O26" s="9" t="s">
        <v>52</v>
      </c>
      <c r="P26" s="12">
        <f t="shared" si="2"/>
        <v>0.5</v>
      </c>
    </row>
    <row r="27" spans="1:16" s="14" customFormat="1" ht="30" x14ac:dyDescent="0.25">
      <c r="A27" s="15">
        <v>45632</v>
      </c>
      <c r="B27" s="20" t="s">
        <v>73</v>
      </c>
      <c r="C27" s="20" t="s">
        <v>36</v>
      </c>
      <c r="D27" s="21" t="s">
        <v>34</v>
      </c>
      <c r="E27" s="22" t="s">
        <v>84</v>
      </c>
      <c r="F27" s="20" t="s">
        <v>41</v>
      </c>
      <c r="G27" s="20" t="s">
        <v>27</v>
      </c>
      <c r="H27" s="12" t="b">
        <f t="shared" si="0"/>
        <v>0</v>
      </c>
      <c r="I27" s="22" t="s">
        <v>62</v>
      </c>
      <c r="J27" s="20" t="s">
        <v>38</v>
      </c>
      <c r="K27" s="20" t="s">
        <v>16</v>
      </c>
      <c r="L27" s="12" t="b">
        <f t="shared" si="1"/>
        <v>0</v>
      </c>
      <c r="M27" s="19" t="s">
        <v>40</v>
      </c>
      <c r="N27" s="20" t="s">
        <v>38</v>
      </c>
      <c r="O27" s="20" t="s">
        <v>16</v>
      </c>
      <c r="P27" s="12" t="b">
        <f t="shared" si="2"/>
        <v>0</v>
      </c>
    </row>
    <row r="28" spans="1:16" s="14" customFormat="1" ht="30" x14ac:dyDescent="0.25">
      <c r="A28" s="15">
        <v>45635</v>
      </c>
      <c r="B28" s="20" t="s">
        <v>29</v>
      </c>
      <c r="C28" s="20" t="s">
        <v>57</v>
      </c>
      <c r="D28" s="21" t="s">
        <v>27</v>
      </c>
      <c r="E28" s="22" t="s">
        <v>65</v>
      </c>
      <c r="F28" s="23" t="s">
        <v>85</v>
      </c>
      <c r="G28" s="23" t="s">
        <v>21</v>
      </c>
      <c r="H28" s="12" t="b">
        <f t="shared" si="0"/>
        <v>0</v>
      </c>
      <c r="I28" s="23" t="s">
        <v>17</v>
      </c>
      <c r="J28" s="20" t="s">
        <v>12</v>
      </c>
      <c r="K28" s="20" t="s">
        <v>21</v>
      </c>
      <c r="L28" s="25" t="b">
        <f t="shared" si="1"/>
        <v>0</v>
      </c>
      <c r="M28" s="23" t="s">
        <v>8</v>
      </c>
      <c r="N28" s="20" t="s">
        <v>57</v>
      </c>
      <c r="O28" s="20" t="s">
        <v>27</v>
      </c>
      <c r="P28" s="25">
        <f t="shared" si="2"/>
        <v>1</v>
      </c>
    </row>
    <row r="29" spans="1:16" s="14" customFormat="1" ht="30" x14ac:dyDescent="0.25">
      <c r="A29" s="15">
        <v>45636</v>
      </c>
      <c r="B29" s="20" t="s">
        <v>86</v>
      </c>
      <c r="C29" s="20" t="s">
        <v>12</v>
      </c>
      <c r="D29" s="21" t="s">
        <v>60</v>
      </c>
      <c r="E29" s="22" t="s">
        <v>14</v>
      </c>
      <c r="F29" s="20" t="s">
        <v>26</v>
      </c>
      <c r="G29" s="9" t="s">
        <v>52</v>
      </c>
      <c r="H29" s="12" t="b">
        <f t="shared" si="0"/>
        <v>0</v>
      </c>
      <c r="I29" s="22" t="s">
        <v>28</v>
      </c>
      <c r="J29" s="20" t="s">
        <v>28</v>
      </c>
      <c r="K29" s="20" t="s">
        <v>28</v>
      </c>
      <c r="L29" s="25" t="b">
        <f t="shared" si="1"/>
        <v>0</v>
      </c>
      <c r="M29" s="22" t="s">
        <v>65</v>
      </c>
      <c r="N29" s="20" t="s">
        <v>30</v>
      </c>
      <c r="O29" s="9" t="s">
        <v>52</v>
      </c>
      <c r="P29" s="25" t="b">
        <f t="shared" si="2"/>
        <v>0</v>
      </c>
    </row>
    <row r="30" spans="1:16" s="14" customFormat="1" ht="30" x14ac:dyDescent="0.25">
      <c r="A30" s="15">
        <v>45637</v>
      </c>
      <c r="B30" s="20" t="s">
        <v>87</v>
      </c>
      <c r="C30" s="20" t="s">
        <v>88</v>
      </c>
      <c r="D30" s="21" t="s">
        <v>21</v>
      </c>
      <c r="E30" s="20" t="s">
        <v>39</v>
      </c>
      <c r="F30" s="23" t="s">
        <v>77</v>
      </c>
      <c r="G30" s="23" t="s">
        <v>21</v>
      </c>
      <c r="H30" s="12">
        <f t="shared" si="0"/>
        <v>0.5</v>
      </c>
      <c r="I30" s="22" t="s">
        <v>14</v>
      </c>
      <c r="J30" s="20" t="s">
        <v>25</v>
      </c>
      <c r="K30" s="20" t="s">
        <v>33</v>
      </c>
      <c r="L30" s="25" t="b">
        <f t="shared" si="1"/>
        <v>0</v>
      </c>
      <c r="M30" s="16" t="s">
        <v>17</v>
      </c>
      <c r="N30" s="20" t="s">
        <v>68</v>
      </c>
      <c r="O30" s="20" t="s">
        <v>69</v>
      </c>
      <c r="P30" s="25" t="b">
        <f t="shared" si="2"/>
        <v>0</v>
      </c>
    </row>
    <row r="31" spans="1:16" s="14" customFormat="1" x14ac:dyDescent="0.25">
      <c r="A31" s="15">
        <v>45638</v>
      </c>
      <c r="B31" s="20" t="s">
        <v>47</v>
      </c>
      <c r="C31" s="20" t="s">
        <v>77</v>
      </c>
      <c r="D31" s="21" t="s">
        <v>13</v>
      </c>
      <c r="E31" s="22" t="s">
        <v>8</v>
      </c>
      <c r="F31" s="20" t="s">
        <v>30</v>
      </c>
      <c r="G31" s="20" t="s">
        <v>31</v>
      </c>
      <c r="H31" s="12" t="b">
        <f t="shared" si="0"/>
        <v>0</v>
      </c>
      <c r="I31" s="22" t="s">
        <v>42</v>
      </c>
      <c r="J31" s="20" t="s">
        <v>54</v>
      </c>
      <c r="K31" s="20" t="s">
        <v>27</v>
      </c>
      <c r="L31" s="25" t="b">
        <f t="shared" si="1"/>
        <v>0</v>
      </c>
      <c r="M31" s="19" t="s">
        <v>8</v>
      </c>
      <c r="N31" s="20" t="s">
        <v>45</v>
      </c>
      <c r="O31" s="20" t="s">
        <v>13</v>
      </c>
      <c r="P31" s="25">
        <f t="shared" si="2"/>
        <v>0.5</v>
      </c>
    </row>
    <row r="32" spans="1:16" s="14" customFormat="1" ht="30" x14ac:dyDescent="0.25">
      <c r="A32" s="15">
        <v>45639</v>
      </c>
      <c r="B32" s="20" t="s">
        <v>66</v>
      </c>
      <c r="C32" s="20" t="s">
        <v>54</v>
      </c>
      <c r="D32" s="23" t="s">
        <v>31</v>
      </c>
      <c r="E32" s="22" t="s">
        <v>39</v>
      </c>
      <c r="F32" s="20" t="s">
        <v>38</v>
      </c>
      <c r="G32" s="23" t="s">
        <v>16</v>
      </c>
      <c r="H32" s="12" t="b">
        <f t="shared" si="0"/>
        <v>0</v>
      </c>
      <c r="I32" s="22" t="s">
        <v>62</v>
      </c>
      <c r="J32" s="20" t="s">
        <v>38</v>
      </c>
      <c r="K32" s="20" t="s">
        <v>31</v>
      </c>
      <c r="L32" s="25">
        <f t="shared" si="1"/>
        <v>0.5</v>
      </c>
      <c r="M32" s="20" t="s">
        <v>50</v>
      </c>
      <c r="N32" s="20" t="s">
        <v>38</v>
      </c>
      <c r="O32" s="20" t="s">
        <v>16</v>
      </c>
      <c r="P32" s="25" t="b">
        <f t="shared" si="2"/>
        <v>0</v>
      </c>
    </row>
    <row r="33" spans="1:16" s="14" customFormat="1" ht="38.25" x14ac:dyDescent="0.25">
      <c r="A33" s="15">
        <v>45642</v>
      </c>
      <c r="B33" s="20" t="s">
        <v>86</v>
      </c>
      <c r="C33" s="16" t="s">
        <v>89</v>
      </c>
      <c r="D33" s="21" t="s">
        <v>21</v>
      </c>
      <c r="E33" s="20" t="s">
        <v>42</v>
      </c>
      <c r="F33" s="20" t="s">
        <v>82</v>
      </c>
      <c r="G33" s="14" t="s">
        <v>43</v>
      </c>
      <c r="H33" s="12" t="b">
        <f t="shared" si="0"/>
        <v>0</v>
      </c>
      <c r="I33" s="22" t="s">
        <v>28</v>
      </c>
      <c r="J33" s="20" t="s">
        <v>28</v>
      </c>
      <c r="K33" s="20" t="s">
        <v>28</v>
      </c>
      <c r="L33" s="25" t="b">
        <f t="shared" si="1"/>
        <v>0</v>
      </c>
      <c r="M33" s="22" t="s">
        <v>28</v>
      </c>
      <c r="N33" s="20" t="s">
        <v>28</v>
      </c>
      <c r="O33" s="20" t="s">
        <v>28</v>
      </c>
      <c r="P33" s="25" t="b">
        <f t="shared" si="2"/>
        <v>0</v>
      </c>
    </row>
    <row r="34" spans="1:16" s="14" customFormat="1" ht="30" x14ac:dyDescent="0.25">
      <c r="A34" s="15">
        <v>45643</v>
      </c>
      <c r="B34" s="20" t="s">
        <v>81</v>
      </c>
      <c r="C34" s="20" t="s">
        <v>30</v>
      </c>
      <c r="D34" s="21" t="s">
        <v>31</v>
      </c>
      <c r="E34" s="22" t="s">
        <v>65</v>
      </c>
      <c r="F34" s="23" t="s">
        <v>85</v>
      </c>
      <c r="G34" s="23" t="s">
        <v>21</v>
      </c>
      <c r="H34" s="12" t="b">
        <f t="shared" si="0"/>
        <v>0</v>
      </c>
      <c r="I34" s="22" t="s">
        <v>35</v>
      </c>
      <c r="J34" s="20" t="s">
        <v>63</v>
      </c>
      <c r="K34" s="20" t="s">
        <v>43</v>
      </c>
      <c r="L34" s="25" t="b">
        <f t="shared" si="1"/>
        <v>0</v>
      </c>
      <c r="M34" s="22" t="s">
        <v>28</v>
      </c>
      <c r="N34" s="20" t="s">
        <v>28</v>
      </c>
      <c r="O34" s="20" t="s">
        <v>28</v>
      </c>
      <c r="P34" s="25" t="b">
        <f t="shared" si="2"/>
        <v>0</v>
      </c>
    </row>
    <row r="35" spans="1:16" s="14" customFormat="1" ht="30" x14ac:dyDescent="0.25">
      <c r="A35" s="15">
        <v>45644</v>
      </c>
      <c r="B35" s="20" t="s">
        <v>22</v>
      </c>
      <c r="C35" s="16" t="s">
        <v>18</v>
      </c>
      <c r="D35" s="21" t="s">
        <v>90</v>
      </c>
      <c r="E35" s="20" t="s">
        <v>76</v>
      </c>
      <c r="F35" s="20" t="s">
        <v>26</v>
      </c>
      <c r="G35" s="20" t="s">
        <v>27</v>
      </c>
      <c r="H35" s="12" t="b">
        <f t="shared" si="0"/>
        <v>0</v>
      </c>
      <c r="I35" s="22" t="s">
        <v>8</v>
      </c>
      <c r="J35" s="20" t="s">
        <v>36</v>
      </c>
      <c r="K35" s="20" t="s">
        <v>34</v>
      </c>
      <c r="L35" s="25" t="b">
        <f t="shared" si="1"/>
        <v>0</v>
      </c>
      <c r="M35" s="22" t="s">
        <v>28</v>
      </c>
      <c r="N35" s="20" t="s">
        <v>28</v>
      </c>
      <c r="O35" s="20" t="s">
        <v>28</v>
      </c>
      <c r="P35" s="25" t="b">
        <f t="shared" si="2"/>
        <v>0</v>
      </c>
    </row>
    <row r="36" spans="1:16" s="14" customFormat="1" ht="30" x14ac:dyDescent="0.25">
      <c r="A36" s="15">
        <v>45645</v>
      </c>
      <c r="B36" s="20" t="s">
        <v>8</v>
      </c>
      <c r="C36" s="20" t="s">
        <v>82</v>
      </c>
      <c r="D36" s="21" t="s">
        <v>13</v>
      </c>
      <c r="E36" s="20" t="s">
        <v>8</v>
      </c>
      <c r="F36" s="20" t="s">
        <v>82</v>
      </c>
      <c r="G36" s="23" t="s">
        <v>43</v>
      </c>
      <c r="H36" s="12">
        <f t="shared" si="0"/>
        <v>1.5</v>
      </c>
      <c r="I36" s="22" t="s">
        <v>66</v>
      </c>
      <c r="J36" s="20" t="s">
        <v>38</v>
      </c>
      <c r="K36" s="20" t="s">
        <v>16</v>
      </c>
      <c r="L36" s="25" t="b">
        <f t="shared" si="1"/>
        <v>0</v>
      </c>
      <c r="M36" s="22" t="s">
        <v>28</v>
      </c>
      <c r="N36" s="20" t="s">
        <v>28</v>
      </c>
      <c r="O36" s="20" t="s">
        <v>28</v>
      </c>
      <c r="P36" s="25" t="b">
        <f t="shared" si="2"/>
        <v>0</v>
      </c>
    </row>
    <row r="37" spans="1:16" s="14" customFormat="1" ht="30" x14ac:dyDescent="0.25">
      <c r="A37" s="15">
        <v>45646</v>
      </c>
      <c r="B37" s="20"/>
      <c r="C37" s="20"/>
      <c r="D37" s="21"/>
      <c r="E37" s="20" t="s">
        <v>91</v>
      </c>
      <c r="F37" s="23" t="s">
        <v>92</v>
      </c>
      <c r="G37" s="23" t="s">
        <v>93</v>
      </c>
      <c r="H37" s="12">
        <f t="shared" si="0"/>
        <v>0</v>
      </c>
      <c r="I37" s="22" t="s">
        <v>42</v>
      </c>
      <c r="J37" s="20" t="s">
        <v>94</v>
      </c>
      <c r="K37" s="20" t="s">
        <v>83</v>
      </c>
      <c r="L37" s="25">
        <f t="shared" si="1"/>
        <v>0</v>
      </c>
      <c r="M37" s="22" t="s">
        <v>95</v>
      </c>
      <c r="N37" s="20" t="s">
        <v>96</v>
      </c>
      <c r="O37" s="20" t="s">
        <v>27</v>
      </c>
      <c r="P37" s="25">
        <f t="shared" si="2"/>
        <v>0</v>
      </c>
    </row>
    <row r="38" spans="1:16" ht="21" x14ac:dyDescent="0.25">
      <c r="A38" s="178" t="s">
        <v>97</v>
      </c>
      <c r="B38" s="178"/>
      <c r="C38" s="178"/>
      <c r="D38" s="178"/>
      <c r="E38" s="179" t="s">
        <v>98</v>
      </c>
      <c r="F38" s="179"/>
      <c r="G38" s="179"/>
      <c r="H38" s="26">
        <f>SUM(H3:H37)</f>
        <v>6.5</v>
      </c>
      <c r="I38" s="179" t="s">
        <v>98</v>
      </c>
      <c r="J38" s="179"/>
      <c r="K38" s="179"/>
      <c r="L38" s="26">
        <f>SUM(L3:L37)</f>
        <v>6</v>
      </c>
      <c r="M38" s="179" t="s">
        <v>98</v>
      </c>
      <c r="N38" s="179"/>
      <c r="O38" s="179"/>
      <c r="P38" s="26">
        <f>SUM(P3:P37)</f>
        <v>3</v>
      </c>
    </row>
    <row r="39" spans="1:16" x14ac:dyDescent="0.25">
      <c r="A39" s="178"/>
      <c r="B39" s="178"/>
      <c r="C39" s="178"/>
      <c r="D39" s="178"/>
      <c r="E39" s="182" t="s">
        <v>99</v>
      </c>
      <c r="F39" s="182"/>
      <c r="G39" s="182"/>
      <c r="H39" s="1">
        <f>COUNTIF(H2:H37,"Falsch")</f>
        <v>29</v>
      </c>
      <c r="I39" s="182" t="s">
        <v>99</v>
      </c>
      <c r="J39" s="182"/>
      <c r="K39" s="182"/>
      <c r="L39" s="1">
        <f>COUNTIF(L2:L37,"Falsch")</f>
        <v>27</v>
      </c>
      <c r="M39" s="182" t="s">
        <v>99</v>
      </c>
      <c r="N39" s="182"/>
      <c r="O39" s="182"/>
      <c r="P39" s="1">
        <f>COUNTIF(P2:P37,"Falsch")</f>
        <v>29</v>
      </c>
    </row>
    <row r="40" spans="1:16" x14ac:dyDescent="0.25">
      <c r="A40" s="178"/>
      <c r="B40" s="178"/>
      <c r="C40" s="178"/>
      <c r="D40" s="178"/>
      <c r="E40" s="182" t="s">
        <v>100</v>
      </c>
      <c r="F40" s="182"/>
      <c r="G40" s="182"/>
      <c r="H40" s="1">
        <f>COUNTIF(H3:H37,"3")</f>
        <v>1</v>
      </c>
      <c r="I40" s="182" t="s">
        <v>100</v>
      </c>
      <c r="J40" s="182"/>
      <c r="K40" s="182"/>
      <c r="L40" s="1">
        <f>COUNTIF(L3:L37,"3")</f>
        <v>0</v>
      </c>
      <c r="M40" s="182" t="s">
        <v>100</v>
      </c>
      <c r="N40" s="182"/>
      <c r="O40" s="182"/>
      <c r="P40" s="1">
        <f>COUNTIF(P3:P37,"3")</f>
        <v>0</v>
      </c>
    </row>
  </sheetData>
  <mergeCells count="17">
    <mergeCell ref="M40:O40"/>
    <mergeCell ref="M1:P1"/>
    <mergeCell ref="M38:O38"/>
    <mergeCell ref="E39:G39"/>
    <mergeCell ref="M39:O39"/>
    <mergeCell ref="A1:A2"/>
    <mergeCell ref="B1:B2"/>
    <mergeCell ref="A38:D40"/>
    <mergeCell ref="E38:G38"/>
    <mergeCell ref="I38:K38"/>
    <mergeCell ref="C1:C2"/>
    <mergeCell ref="D1:D2"/>
    <mergeCell ref="E1:H1"/>
    <mergeCell ref="I1:L1"/>
    <mergeCell ref="I39:K39"/>
    <mergeCell ref="E40:G40"/>
    <mergeCell ref="I40:K40"/>
  </mergeCells>
  <pageMargins left="0.7" right="0.7" top="0.78749999999999998" bottom="0.78749999999999998"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DFC8C-693A-4992-A013-A74FCDF40C3F}">
  <dimension ref="A1:AMK230"/>
  <sheetViews>
    <sheetView zoomScale="85" zoomScaleNormal="85" workbookViewId="0">
      <pane ySplit="8" topLeftCell="A213" activePane="bottomLeft" state="frozen"/>
      <selection pane="bottomLeft" activeCell="G220" sqref="G220"/>
    </sheetView>
  </sheetViews>
  <sheetFormatPr defaultColWidth="9.140625" defaultRowHeight="15" x14ac:dyDescent="0.25"/>
  <cols>
    <col min="1" max="1" width="29.42578125" style="2" customWidth="1"/>
    <col min="2" max="2" width="15.7109375" style="3" customWidth="1"/>
    <col min="3" max="3" width="17.140625" style="3" customWidth="1"/>
    <col min="4" max="7" width="16.7109375" style="3" customWidth="1"/>
    <col min="8" max="8" width="10.7109375" style="3" customWidth="1"/>
    <col min="9" max="11" width="16.7109375" style="3" customWidth="1"/>
    <col min="12" max="12" width="10.7109375" style="3" customWidth="1"/>
    <col min="13" max="15" width="16.7109375" style="3" customWidth="1"/>
    <col min="16" max="16" width="10.7109375" style="3" customWidth="1"/>
    <col min="17" max="17" width="19" style="3" customWidth="1"/>
    <col min="18" max="18" width="39.7109375" style="3" customWidth="1"/>
    <col min="19" max="19" width="17.85546875" style="3" customWidth="1"/>
    <col min="20" max="1025" width="9.140625" style="3" customWidth="1"/>
  </cols>
  <sheetData>
    <row r="1" spans="1:19" ht="15" customHeight="1" thickTop="1" thickBot="1" x14ac:dyDescent="0.3">
      <c r="A1" s="178" t="s">
        <v>172</v>
      </c>
      <c r="B1" s="178"/>
      <c r="C1" s="178"/>
      <c r="D1" s="178"/>
      <c r="E1" s="178" t="s">
        <v>4</v>
      </c>
      <c r="F1" s="178"/>
      <c r="G1" s="178"/>
      <c r="H1" s="178"/>
      <c r="I1" s="178" t="s">
        <v>5</v>
      </c>
      <c r="J1" s="178"/>
      <c r="K1" s="178"/>
      <c r="L1" s="178"/>
      <c r="M1" s="178" t="s">
        <v>6</v>
      </c>
      <c r="N1" s="178"/>
      <c r="O1" s="178"/>
      <c r="P1" s="178"/>
    </row>
    <row r="2" spans="1:19" ht="16.5" thickTop="1" thickBot="1" x14ac:dyDescent="0.3">
      <c r="A2" s="178"/>
      <c r="B2" s="178"/>
      <c r="C2" s="178"/>
      <c r="D2" s="178"/>
      <c r="E2" s="178"/>
      <c r="F2" s="178"/>
      <c r="G2" s="178"/>
      <c r="H2" s="178"/>
      <c r="I2" s="178"/>
      <c r="J2" s="178"/>
      <c r="K2" s="178"/>
      <c r="L2" s="178"/>
      <c r="M2" s="178"/>
      <c r="N2" s="178"/>
      <c r="O2" s="178"/>
      <c r="P2" s="178"/>
    </row>
    <row r="3" spans="1:19" ht="22.5" thickTop="1" thickBot="1" x14ac:dyDescent="0.3">
      <c r="A3" s="190" t="s">
        <v>221</v>
      </c>
      <c r="B3" s="191"/>
      <c r="C3" s="191"/>
      <c r="D3" s="192"/>
      <c r="E3" s="179" t="s">
        <v>7</v>
      </c>
      <c r="F3" s="179"/>
      <c r="G3" s="179"/>
      <c r="H3" s="26">
        <f>SUM(H9:H229)</f>
        <v>47</v>
      </c>
      <c r="I3" s="179" t="s">
        <v>7</v>
      </c>
      <c r="J3" s="179"/>
      <c r="K3" s="179"/>
      <c r="L3" s="26">
        <f>SUM(L9:L229)</f>
        <v>42.5</v>
      </c>
      <c r="M3" s="179" t="s">
        <v>7</v>
      </c>
      <c r="N3" s="179"/>
      <c r="O3" s="179"/>
      <c r="P3" s="26">
        <f>SUM(P9:P229)</f>
        <v>51.5</v>
      </c>
    </row>
    <row r="4" spans="1:19" ht="24.95" customHeight="1" thickTop="1" thickBot="1" x14ac:dyDescent="0.3">
      <c r="A4" s="193"/>
      <c r="B4" s="194"/>
      <c r="C4" s="194"/>
      <c r="D4" s="195"/>
      <c r="E4" s="199" t="s">
        <v>189</v>
      </c>
      <c r="F4" s="200"/>
      <c r="G4" s="201"/>
      <c r="H4" s="96">
        <f>(100/(3*COUNTIF($A$9:$A$229,"&lt;&gt;")))*H3</f>
        <v>7.0889894419306181</v>
      </c>
      <c r="I4" s="199" t="s">
        <v>189</v>
      </c>
      <c r="J4" s="200"/>
      <c r="K4" s="201"/>
      <c r="L4" s="96">
        <f>(100/(3*COUNTIF($A$9:$A$229,"&lt;&gt;")))*L3</f>
        <v>6.4102564102564097</v>
      </c>
      <c r="M4" s="199" t="s">
        <v>189</v>
      </c>
      <c r="N4" s="200"/>
      <c r="O4" s="201"/>
      <c r="P4" s="96">
        <f>(100/(3*COUNTIF($A$9:$A$229,"&lt;&gt;")))*P3</f>
        <v>7.7677224736048265</v>
      </c>
    </row>
    <row r="5" spans="1:19" ht="24.95" customHeight="1" thickTop="1" thickBot="1" x14ac:dyDescent="0.3">
      <c r="A5" s="193"/>
      <c r="B5" s="194"/>
      <c r="C5" s="194"/>
      <c r="D5" s="195"/>
      <c r="E5" s="184" t="s">
        <v>99</v>
      </c>
      <c r="F5" s="185"/>
      <c r="G5" s="186"/>
      <c r="H5" s="1">
        <f>COUNTIF(H9:H229,"Falsch")</f>
        <v>160</v>
      </c>
      <c r="I5" s="184" t="s">
        <v>99</v>
      </c>
      <c r="J5" s="185"/>
      <c r="K5" s="186"/>
      <c r="L5" s="1">
        <f>COUNTIF(L9:L229,"Falsch")</f>
        <v>169</v>
      </c>
      <c r="M5" s="184" t="s">
        <v>99</v>
      </c>
      <c r="N5" s="185"/>
      <c r="O5" s="186"/>
      <c r="P5" s="1">
        <f>COUNTIF(P9:P229,"Falsch")</f>
        <v>158</v>
      </c>
    </row>
    <row r="6" spans="1:19" ht="24.95" customHeight="1" thickTop="1" thickBot="1" x14ac:dyDescent="0.3">
      <c r="A6" s="193"/>
      <c r="B6" s="194"/>
      <c r="C6" s="194"/>
      <c r="D6" s="195"/>
      <c r="E6" s="187"/>
      <c r="F6" s="188"/>
      <c r="G6" s="189"/>
      <c r="H6" s="96">
        <f>(100/COUNTIF($A$9:$A$229,"&lt;&gt;"))*H5</f>
        <v>72.398190045248867</v>
      </c>
      <c r="I6" s="187"/>
      <c r="J6" s="188"/>
      <c r="K6" s="189"/>
      <c r="L6" s="96">
        <f>(100/COUNTIF($A$9:$A$229,"&lt;&gt;"))*L5</f>
        <v>76.470588235294116</v>
      </c>
      <c r="M6" s="187"/>
      <c r="N6" s="188"/>
      <c r="O6" s="189"/>
      <c r="P6" s="96">
        <f>(100/COUNTIF($A$9:$A$229,"&lt;&gt;"))*P5</f>
        <v>71.49321266968326</v>
      </c>
    </row>
    <row r="7" spans="1:19" ht="24.95" customHeight="1" thickTop="1" thickBot="1" x14ac:dyDescent="0.3">
      <c r="A7" s="196"/>
      <c r="B7" s="197"/>
      <c r="C7" s="197"/>
      <c r="D7" s="198"/>
      <c r="E7" s="182" t="s">
        <v>100</v>
      </c>
      <c r="F7" s="182"/>
      <c r="G7" s="182"/>
      <c r="H7" s="1">
        <f>COUNTIF(H9:H229,"3")</f>
        <v>1</v>
      </c>
      <c r="I7" s="182" t="s">
        <v>100</v>
      </c>
      <c r="J7" s="182"/>
      <c r="K7" s="182"/>
      <c r="L7" s="1">
        <f>COUNTIF(L9:L229,"3")-1</f>
        <v>1</v>
      </c>
      <c r="M7" s="182" t="s">
        <v>100</v>
      </c>
      <c r="N7" s="182"/>
      <c r="O7" s="182"/>
      <c r="P7" s="1">
        <f>COUNTIF(P9:P229,"3")</f>
        <v>1</v>
      </c>
    </row>
    <row r="8" spans="1:19" ht="16.5" thickTop="1" thickBot="1" x14ac:dyDescent="0.3">
      <c r="A8" s="27" t="s">
        <v>0</v>
      </c>
      <c r="B8" s="28" t="s">
        <v>1</v>
      </c>
      <c r="C8" s="29" t="s">
        <v>2</v>
      </c>
      <c r="D8" s="29" t="s">
        <v>3</v>
      </c>
      <c r="E8" s="30" t="s">
        <v>1</v>
      </c>
      <c r="F8" s="29" t="s">
        <v>2</v>
      </c>
      <c r="G8" s="29" t="s">
        <v>3</v>
      </c>
      <c r="H8" s="31" t="s">
        <v>7</v>
      </c>
      <c r="I8" s="30" t="s">
        <v>1</v>
      </c>
      <c r="J8" s="29" t="s">
        <v>2</v>
      </c>
      <c r="K8" s="29" t="s">
        <v>3</v>
      </c>
      <c r="L8" s="31" t="s">
        <v>7</v>
      </c>
      <c r="M8" s="32" t="s">
        <v>1</v>
      </c>
      <c r="N8" s="29" t="s">
        <v>2</v>
      </c>
      <c r="O8" s="29" t="s">
        <v>3</v>
      </c>
      <c r="P8" s="31" t="s">
        <v>7</v>
      </c>
    </row>
    <row r="9" spans="1:19" s="14" customFormat="1" ht="15.75" thickTop="1" x14ac:dyDescent="0.25">
      <c r="A9" s="33">
        <v>45670</v>
      </c>
      <c r="B9" s="34" t="s">
        <v>22</v>
      </c>
      <c r="C9" s="34" t="s">
        <v>57</v>
      </c>
      <c r="D9" s="34" t="s">
        <v>21</v>
      </c>
      <c r="E9" s="35" t="s">
        <v>14</v>
      </c>
      <c r="F9" s="34" t="s">
        <v>45</v>
      </c>
      <c r="G9" s="34" t="s">
        <v>27</v>
      </c>
      <c r="H9" s="36" t="b">
        <f t="shared" ref="H9:H72" si="0">IF(ISBLANK($B9),$S$18,IF(AND($B9=E9,$C9=F9,$D9=G9),$S$15,IF(AND($B9=E9,OR($C9=F9,$D9=G9)),$S$16+$S$17,IF(OR($B9=E9,AND($C9=F9,$D9=G9)),$S$16,IF(OR($C9=F9,$D9=G9),$S$17)))))</f>
        <v>0</v>
      </c>
      <c r="I9" s="35" t="s">
        <v>42</v>
      </c>
      <c r="J9" s="34" t="s">
        <v>57</v>
      </c>
      <c r="K9" s="34" t="s">
        <v>31</v>
      </c>
      <c r="L9" s="36">
        <f t="shared" ref="L9:L72" si="1">IF(ISBLANK($B9),$S$18,IF(AND($B9=I9,$C9=J9,$D9=K9),$S$15,IF(AND($B9=I9,OR($C9=J9,$D9=K9)),$S$16+$S$17,IF(OR($B9=I9,AND($C9=J9,$D9=K9)),$S$16,IF(OR($C9=J9,$D9=K9),$S$17)))))</f>
        <v>0.5</v>
      </c>
      <c r="M9" s="37" t="s">
        <v>42</v>
      </c>
      <c r="N9" s="34" t="s">
        <v>57</v>
      </c>
      <c r="O9" s="34" t="s">
        <v>21</v>
      </c>
      <c r="P9" s="36">
        <f t="shared" ref="P9:P72" si="2">IF(ISBLANK($B9),$S$18,IF(AND($B9=M9,$C9=N9,$D9=O9),$S$15,IF(AND($B9=M9,OR($C9=N9,$D9=O9)),$S$16+$S$17,IF(OR($B9=M9,AND($C9=N9,$D9=O9)),$S$16,IF(OR($C9=N9,$D9=O9),$S$17)))))</f>
        <v>1</v>
      </c>
    </row>
    <row r="10" spans="1:19" s="14" customFormat="1" ht="25.5" x14ac:dyDescent="0.25">
      <c r="A10" s="8">
        <v>45671</v>
      </c>
      <c r="B10" s="16" t="s">
        <v>101</v>
      </c>
      <c r="C10" s="16" t="s">
        <v>10</v>
      </c>
      <c r="D10" s="17" t="s">
        <v>31</v>
      </c>
      <c r="E10" s="16" t="s">
        <v>101</v>
      </c>
      <c r="F10" s="16" t="s">
        <v>102</v>
      </c>
      <c r="G10" s="16" t="s">
        <v>168</v>
      </c>
      <c r="H10" s="12">
        <f t="shared" si="0"/>
        <v>1</v>
      </c>
      <c r="I10" s="18" t="s">
        <v>66</v>
      </c>
      <c r="J10" s="16" t="s">
        <v>63</v>
      </c>
      <c r="K10" s="16" t="s">
        <v>168</v>
      </c>
      <c r="L10" s="12" t="b">
        <f t="shared" si="1"/>
        <v>0</v>
      </c>
      <c r="M10" s="19" t="s">
        <v>8</v>
      </c>
      <c r="N10" s="20" t="s">
        <v>45</v>
      </c>
      <c r="O10" s="16" t="s">
        <v>13</v>
      </c>
      <c r="P10" s="25" t="b">
        <f t="shared" si="2"/>
        <v>0</v>
      </c>
    </row>
    <row r="11" spans="1:19" s="14" customFormat="1" ht="45" x14ac:dyDescent="0.25">
      <c r="A11" s="8">
        <v>45672</v>
      </c>
      <c r="B11" s="20" t="s">
        <v>103</v>
      </c>
      <c r="C11" s="20" t="s">
        <v>45</v>
      </c>
      <c r="D11" s="21" t="s">
        <v>104</v>
      </c>
      <c r="E11" s="22" t="s">
        <v>105</v>
      </c>
      <c r="F11" s="38" t="s">
        <v>106</v>
      </c>
      <c r="G11" s="20" t="s">
        <v>13</v>
      </c>
      <c r="H11" s="12" t="b">
        <f t="shared" si="0"/>
        <v>0</v>
      </c>
      <c r="I11" s="22" t="s">
        <v>35</v>
      </c>
      <c r="J11" s="20" t="s">
        <v>25</v>
      </c>
      <c r="K11" s="20" t="s">
        <v>33</v>
      </c>
      <c r="L11" s="12" t="b">
        <f t="shared" si="1"/>
        <v>0</v>
      </c>
      <c r="M11" s="23" t="s">
        <v>47</v>
      </c>
      <c r="N11" s="16" t="s">
        <v>12</v>
      </c>
      <c r="O11" s="20" t="s">
        <v>168</v>
      </c>
      <c r="P11" s="12" t="b">
        <f t="shared" si="2"/>
        <v>0</v>
      </c>
    </row>
    <row r="12" spans="1:19" s="14" customFormat="1" ht="30" x14ac:dyDescent="0.25">
      <c r="A12" s="8">
        <v>45673</v>
      </c>
      <c r="B12" s="20" t="s">
        <v>76</v>
      </c>
      <c r="C12" s="20" t="s">
        <v>77</v>
      </c>
      <c r="D12" s="21" t="s">
        <v>107</v>
      </c>
      <c r="E12" s="19" t="s">
        <v>8</v>
      </c>
      <c r="F12" s="20" t="s">
        <v>26</v>
      </c>
      <c r="G12" s="20" t="s">
        <v>27</v>
      </c>
      <c r="H12" s="12" t="b">
        <f t="shared" si="0"/>
        <v>0</v>
      </c>
      <c r="I12" s="22" t="s">
        <v>42</v>
      </c>
      <c r="J12" s="16" t="s">
        <v>63</v>
      </c>
      <c r="K12" s="16" t="s">
        <v>168</v>
      </c>
      <c r="L12" s="12" t="b">
        <f t="shared" si="1"/>
        <v>0</v>
      </c>
      <c r="M12" s="23" t="s">
        <v>35</v>
      </c>
      <c r="N12" s="20" t="s">
        <v>25</v>
      </c>
      <c r="O12" s="20" t="s">
        <v>33</v>
      </c>
      <c r="P12" s="12" t="b">
        <f t="shared" si="2"/>
        <v>0</v>
      </c>
    </row>
    <row r="13" spans="1:19" s="14" customFormat="1" ht="30.75" thickBot="1" x14ac:dyDescent="0.3">
      <c r="A13" s="39">
        <v>45674</v>
      </c>
      <c r="B13" s="40" t="s">
        <v>108</v>
      </c>
      <c r="C13" s="40" t="s">
        <v>36</v>
      </c>
      <c r="D13" s="41" t="s">
        <v>34</v>
      </c>
      <c r="E13" s="42" t="s">
        <v>50</v>
      </c>
      <c r="F13" s="40" t="s">
        <v>38</v>
      </c>
      <c r="G13" s="40" t="s">
        <v>16</v>
      </c>
      <c r="H13" s="43" t="b">
        <f t="shared" si="0"/>
        <v>0</v>
      </c>
      <c r="I13" s="42" t="s">
        <v>66</v>
      </c>
      <c r="J13" s="40" t="s">
        <v>38</v>
      </c>
      <c r="K13" s="40" t="s">
        <v>16</v>
      </c>
      <c r="L13" s="43" t="b">
        <f t="shared" si="1"/>
        <v>0</v>
      </c>
      <c r="M13" s="44" t="s">
        <v>8</v>
      </c>
      <c r="N13" s="40" t="s">
        <v>68</v>
      </c>
      <c r="O13" s="40" t="s">
        <v>69</v>
      </c>
      <c r="P13" s="45" t="b">
        <f t="shared" si="2"/>
        <v>0</v>
      </c>
    </row>
    <row r="14" spans="1:19" s="14" customFormat="1" ht="30.75" thickTop="1" x14ac:dyDescent="0.25">
      <c r="A14" s="46">
        <v>45677</v>
      </c>
      <c r="B14" s="34" t="s">
        <v>47</v>
      </c>
      <c r="C14" s="34" t="s">
        <v>51</v>
      </c>
      <c r="D14" s="34" t="s">
        <v>21</v>
      </c>
      <c r="E14" s="47" t="s">
        <v>42</v>
      </c>
      <c r="F14" s="48" t="s">
        <v>82</v>
      </c>
      <c r="G14" s="48" t="s">
        <v>168</v>
      </c>
      <c r="H14" s="36" t="b">
        <f t="shared" si="0"/>
        <v>0</v>
      </c>
      <c r="I14" s="47" t="s">
        <v>42</v>
      </c>
      <c r="J14" s="48" t="s">
        <v>57</v>
      </c>
      <c r="K14" s="48" t="s">
        <v>27</v>
      </c>
      <c r="L14" s="36" t="b">
        <f t="shared" si="1"/>
        <v>0</v>
      </c>
      <c r="M14" s="49" t="s">
        <v>35</v>
      </c>
      <c r="N14" s="48" t="s">
        <v>26</v>
      </c>
      <c r="O14" s="48" t="s">
        <v>27</v>
      </c>
      <c r="P14" s="36" t="b">
        <f t="shared" si="2"/>
        <v>0</v>
      </c>
    </row>
    <row r="15" spans="1:19" s="14" customFormat="1" ht="45" x14ac:dyDescent="0.25">
      <c r="A15" s="24">
        <v>45678</v>
      </c>
      <c r="B15" s="20" t="s">
        <v>109</v>
      </c>
      <c r="C15" s="16" t="s">
        <v>68</v>
      </c>
      <c r="D15" s="16" t="s">
        <v>69</v>
      </c>
      <c r="E15" s="22" t="s">
        <v>105</v>
      </c>
      <c r="F15" s="16" t="s">
        <v>68</v>
      </c>
      <c r="G15" s="16" t="s">
        <v>69</v>
      </c>
      <c r="H15" s="12">
        <f t="shared" si="0"/>
        <v>1</v>
      </c>
      <c r="I15" s="22" t="s">
        <v>8</v>
      </c>
      <c r="J15" s="23" t="s">
        <v>25</v>
      </c>
      <c r="K15" s="23" t="s">
        <v>33</v>
      </c>
      <c r="L15" s="12" t="b">
        <f t="shared" si="1"/>
        <v>0</v>
      </c>
      <c r="M15" s="23" t="s">
        <v>42</v>
      </c>
      <c r="N15" s="23" t="s">
        <v>110</v>
      </c>
      <c r="O15" s="23" t="s">
        <v>104</v>
      </c>
      <c r="P15" s="12" t="b">
        <f t="shared" si="2"/>
        <v>0</v>
      </c>
      <c r="R15" s="14" t="s">
        <v>44</v>
      </c>
      <c r="S15" s="14">
        <v>3</v>
      </c>
    </row>
    <row r="16" spans="1:19" s="14" customFormat="1" ht="30" x14ac:dyDescent="0.25">
      <c r="A16" s="24">
        <v>45679</v>
      </c>
      <c r="B16" s="20" t="s">
        <v>87</v>
      </c>
      <c r="C16" s="20" t="s">
        <v>111</v>
      </c>
      <c r="D16" s="17" t="s">
        <v>168</v>
      </c>
      <c r="E16" s="22" t="s">
        <v>112</v>
      </c>
      <c r="F16" s="20" t="s">
        <v>26</v>
      </c>
      <c r="G16" s="20" t="s">
        <v>27</v>
      </c>
      <c r="H16" s="12" t="b">
        <f t="shared" si="0"/>
        <v>0</v>
      </c>
      <c r="I16" s="22" t="s">
        <v>35</v>
      </c>
      <c r="J16" s="20" t="s">
        <v>12</v>
      </c>
      <c r="K16" s="20" t="s">
        <v>168</v>
      </c>
      <c r="L16" s="12">
        <f t="shared" si="1"/>
        <v>0.5</v>
      </c>
      <c r="M16" s="23" t="s">
        <v>73</v>
      </c>
      <c r="N16" s="20" t="s">
        <v>57</v>
      </c>
      <c r="O16" s="20" t="s">
        <v>13</v>
      </c>
      <c r="P16" s="12" t="b">
        <f t="shared" si="2"/>
        <v>0</v>
      </c>
      <c r="R16" s="14" t="s">
        <v>46</v>
      </c>
      <c r="S16" s="14">
        <v>1</v>
      </c>
    </row>
    <row r="17" spans="1:19" s="14" customFormat="1" ht="30" x14ac:dyDescent="0.25">
      <c r="A17" s="24">
        <v>45680</v>
      </c>
      <c r="B17" s="20" t="s">
        <v>113</v>
      </c>
      <c r="C17" s="20" t="s">
        <v>74</v>
      </c>
      <c r="D17" s="21" t="s">
        <v>13</v>
      </c>
      <c r="E17" s="22" t="s">
        <v>8</v>
      </c>
      <c r="F17" s="20" t="s">
        <v>38</v>
      </c>
      <c r="G17" s="20" t="s">
        <v>16</v>
      </c>
      <c r="H17" s="12" t="b">
        <f t="shared" si="0"/>
        <v>0</v>
      </c>
      <c r="I17" s="22" t="s">
        <v>42</v>
      </c>
      <c r="J17" s="20" t="s">
        <v>82</v>
      </c>
      <c r="K17" s="20" t="s">
        <v>21</v>
      </c>
      <c r="L17" s="12" t="b">
        <f t="shared" si="1"/>
        <v>0</v>
      </c>
      <c r="M17" s="19" t="s">
        <v>8</v>
      </c>
      <c r="N17" s="20" t="s">
        <v>12</v>
      </c>
      <c r="O17" s="20" t="s">
        <v>90</v>
      </c>
      <c r="P17" s="12" t="b">
        <f t="shared" si="2"/>
        <v>0</v>
      </c>
      <c r="R17" s="14" t="s">
        <v>49</v>
      </c>
      <c r="S17" s="14">
        <v>0.5</v>
      </c>
    </row>
    <row r="18" spans="1:19" s="14" customFormat="1" ht="15.75" thickBot="1" x14ac:dyDescent="0.3">
      <c r="A18" s="50">
        <v>45681</v>
      </c>
      <c r="B18" s="40" t="s">
        <v>114</v>
      </c>
      <c r="C18" s="40" t="s">
        <v>25</v>
      </c>
      <c r="D18" s="41" t="s">
        <v>33</v>
      </c>
      <c r="E18" s="42" t="s">
        <v>17</v>
      </c>
      <c r="F18" s="51" t="s">
        <v>15</v>
      </c>
      <c r="G18" s="51" t="s">
        <v>69</v>
      </c>
      <c r="H18" s="43" t="b">
        <f t="shared" si="0"/>
        <v>0</v>
      </c>
      <c r="I18" s="42" t="s">
        <v>35</v>
      </c>
      <c r="J18" s="40" t="s">
        <v>15</v>
      </c>
      <c r="K18" s="40" t="s">
        <v>16</v>
      </c>
      <c r="L18" s="43" t="b">
        <f t="shared" si="1"/>
        <v>0</v>
      </c>
      <c r="M18" s="51" t="s">
        <v>35</v>
      </c>
      <c r="N18" s="40" t="s">
        <v>38</v>
      </c>
      <c r="O18" s="40" t="s">
        <v>16</v>
      </c>
      <c r="P18" s="43" t="b">
        <f t="shared" si="2"/>
        <v>0</v>
      </c>
      <c r="R18" s="14" t="s">
        <v>55</v>
      </c>
      <c r="S18" s="14">
        <v>0</v>
      </c>
    </row>
    <row r="19" spans="1:19" s="14" customFormat="1" ht="30.75" thickTop="1" x14ac:dyDescent="0.25">
      <c r="A19" s="33">
        <v>45684</v>
      </c>
      <c r="B19" s="48" t="s">
        <v>8</v>
      </c>
      <c r="C19" s="48" t="s">
        <v>82</v>
      </c>
      <c r="D19" s="36" t="s">
        <v>60</v>
      </c>
      <c r="E19" s="47" t="s">
        <v>17</v>
      </c>
      <c r="F19" s="48" t="s">
        <v>77</v>
      </c>
      <c r="G19" s="48" t="s">
        <v>21</v>
      </c>
      <c r="H19" s="36" t="b">
        <f t="shared" si="0"/>
        <v>0</v>
      </c>
      <c r="I19" s="49" t="s">
        <v>42</v>
      </c>
      <c r="J19" s="34" t="s">
        <v>57</v>
      </c>
      <c r="K19" s="48" t="s">
        <v>27</v>
      </c>
      <c r="L19" s="36" t="b">
        <f t="shared" si="1"/>
        <v>0</v>
      </c>
      <c r="M19" s="49" t="s">
        <v>35</v>
      </c>
      <c r="N19" s="34" t="s">
        <v>57</v>
      </c>
      <c r="O19" s="34" t="s">
        <v>21</v>
      </c>
      <c r="P19" s="36" t="b">
        <f t="shared" si="2"/>
        <v>0</v>
      </c>
    </row>
    <row r="20" spans="1:19" s="14" customFormat="1" x14ac:dyDescent="0.25">
      <c r="A20" s="15">
        <v>45685</v>
      </c>
      <c r="B20" s="23" t="s">
        <v>76</v>
      </c>
      <c r="C20" s="38" t="s">
        <v>106</v>
      </c>
      <c r="D20" s="21" t="s">
        <v>21</v>
      </c>
      <c r="E20" s="16" t="s">
        <v>101</v>
      </c>
      <c r="F20" s="38" t="s">
        <v>106</v>
      </c>
      <c r="G20" s="20" t="s">
        <v>13</v>
      </c>
      <c r="H20" s="12">
        <f t="shared" si="0"/>
        <v>0.5</v>
      </c>
      <c r="I20" s="22" t="s">
        <v>14</v>
      </c>
      <c r="J20" s="20" t="s">
        <v>30</v>
      </c>
      <c r="K20" s="20" t="s">
        <v>31</v>
      </c>
      <c r="L20" s="12" t="b">
        <f t="shared" si="1"/>
        <v>0</v>
      </c>
      <c r="M20" s="23" t="s">
        <v>76</v>
      </c>
      <c r="N20" s="23" t="s">
        <v>36</v>
      </c>
      <c r="O20" s="23" t="s">
        <v>34</v>
      </c>
      <c r="P20" s="12">
        <f t="shared" si="2"/>
        <v>1</v>
      </c>
    </row>
    <row r="21" spans="1:19" s="14" customFormat="1" ht="33.75" x14ac:dyDescent="0.25">
      <c r="A21" s="15">
        <v>45686</v>
      </c>
      <c r="B21" s="38" t="s">
        <v>115</v>
      </c>
      <c r="C21" s="20" t="s">
        <v>45</v>
      </c>
      <c r="D21" s="20" t="s">
        <v>90</v>
      </c>
      <c r="E21" s="22" t="s">
        <v>14</v>
      </c>
      <c r="F21" s="16" t="s">
        <v>33</v>
      </c>
      <c r="G21" s="16" t="s">
        <v>34</v>
      </c>
      <c r="H21" s="12" t="b">
        <f t="shared" si="0"/>
        <v>0</v>
      </c>
      <c r="I21" s="22" t="s">
        <v>66</v>
      </c>
      <c r="J21" s="20" t="s">
        <v>26</v>
      </c>
      <c r="K21" s="20" t="s">
        <v>27</v>
      </c>
      <c r="L21" s="12" t="b">
        <f t="shared" si="1"/>
        <v>0</v>
      </c>
      <c r="M21" s="16" t="s">
        <v>42</v>
      </c>
      <c r="N21" s="16" t="s">
        <v>10</v>
      </c>
      <c r="O21" s="16" t="s">
        <v>11</v>
      </c>
      <c r="P21" s="12" t="b">
        <f t="shared" si="2"/>
        <v>0</v>
      </c>
    </row>
    <row r="22" spans="1:19" s="14" customFormat="1" ht="30" x14ac:dyDescent="0.25">
      <c r="A22" s="15">
        <v>45687</v>
      </c>
      <c r="B22" s="20" t="s">
        <v>22</v>
      </c>
      <c r="C22" s="20" t="s">
        <v>77</v>
      </c>
      <c r="D22" s="21" t="s">
        <v>52</v>
      </c>
      <c r="E22" s="23" t="s">
        <v>35</v>
      </c>
      <c r="F22" s="16" t="s">
        <v>10</v>
      </c>
      <c r="G22" s="16" t="s">
        <v>11</v>
      </c>
      <c r="H22" s="12" t="b">
        <f t="shared" si="0"/>
        <v>0</v>
      </c>
      <c r="I22" s="22" t="s">
        <v>35</v>
      </c>
      <c r="J22" s="23" t="s">
        <v>25</v>
      </c>
      <c r="K22" s="20" t="s">
        <v>33</v>
      </c>
      <c r="L22" s="12" t="b">
        <f t="shared" si="1"/>
        <v>0</v>
      </c>
      <c r="M22" s="23" t="s">
        <v>35</v>
      </c>
      <c r="N22" s="20" t="s">
        <v>57</v>
      </c>
      <c r="O22" s="20" t="s">
        <v>13</v>
      </c>
      <c r="P22" s="25" t="b">
        <f t="shared" si="2"/>
        <v>0</v>
      </c>
    </row>
    <row r="23" spans="1:19" s="14" customFormat="1" ht="30.75" thickBot="1" x14ac:dyDescent="0.3">
      <c r="A23" s="52">
        <v>45688</v>
      </c>
      <c r="B23" s="40" t="s">
        <v>116</v>
      </c>
      <c r="C23" s="40" t="s">
        <v>117</v>
      </c>
      <c r="D23" s="41" t="s">
        <v>13</v>
      </c>
      <c r="E23" s="42" t="s">
        <v>105</v>
      </c>
      <c r="F23" s="51" t="s">
        <v>38</v>
      </c>
      <c r="G23" s="51" t="s">
        <v>31</v>
      </c>
      <c r="H23" s="43" t="b">
        <f t="shared" si="0"/>
        <v>0</v>
      </c>
      <c r="I23" s="42" t="s">
        <v>66</v>
      </c>
      <c r="J23" s="40" t="s">
        <v>38</v>
      </c>
      <c r="K23" s="40" t="s">
        <v>31</v>
      </c>
      <c r="L23" s="43" t="b">
        <f t="shared" si="1"/>
        <v>0</v>
      </c>
      <c r="M23" s="44" t="s">
        <v>42</v>
      </c>
      <c r="N23" s="53" t="s">
        <v>38</v>
      </c>
      <c r="O23" s="53" t="s">
        <v>16</v>
      </c>
      <c r="P23" s="43" t="b">
        <f t="shared" si="2"/>
        <v>0</v>
      </c>
    </row>
    <row r="24" spans="1:19" s="14" customFormat="1" ht="30.75" thickTop="1" x14ac:dyDescent="0.25">
      <c r="A24" s="33">
        <v>45691</v>
      </c>
      <c r="B24" s="48" t="s">
        <v>42</v>
      </c>
      <c r="C24" s="34" t="s">
        <v>12</v>
      </c>
      <c r="D24" s="36" t="s">
        <v>21</v>
      </c>
      <c r="E24" s="49" t="s">
        <v>42</v>
      </c>
      <c r="F24" s="49" t="s">
        <v>102</v>
      </c>
      <c r="G24" s="49" t="s">
        <v>168</v>
      </c>
      <c r="H24" s="36">
        <f t="shared" si="0"/>
        <v>1</v>
      </c>
      <c r="I24" s="47" t="s">
        <v>42</v>
      </c>
      <c r="J24" s="48" t="s">
        <v>82</v>
      </c>
      <c r="K24" s="48" t="s">
        <v>168</v>
      </c>
      <c r="L24" s="36">
        <f t="shared" si="1"/>
        <v>1</v>
      </c>
      <c r="M24" s="49" t="s">
        <v>42</v>
      </c>
      <c r="N24" s="34" t="s">
        <v>57</v>
      </c>
      <c r="O24" s="34" t="s">
        <v>21</v>
      </c>
      <c r="P24" s="36">
        <f t="shared" si="2"/>
        <v>1.5</v>
      </c>
    </row>
    <row r="25" spans="1:19" s="14" customFormat="1" ht="30" x14ac:dyDescent="0.25">
      <c r="A25" s="15">
        <v>45692</v>
      </c>
      <c r="B25" s="20" t="s">
        <v>14</v>
      </c>
      <c r="C25" s="20" t="s">
        <v>118</v>
      </c>
      <c r="D25" s="21" t="s">
        <v>168</v>
      </c>
      <c r="E25" s="22" t="s">
        <v>87</v>
      </c>
      <c r="F25" s="20" t="s">
        <v>30</v>
      </c>
      <c r="G25" s="14" t="s">
        <v>27</v>
      </c>
      <c r="H25" s="12" t="b">
        <f t="shared" si="0"/>
        <v>0</v>
      </c>
      <c r="I25" s="22" t="s">
        <v>66</v>
      </c>
      <c r="J25" s="20" t="s">
        <v>26</v>
      </c>
      <c r="K25" s="20" t="s">
        <v>27</v>
      </c>
      <c r="L25" s="12" t="b">
        <f t="shared" si="1"/>
        <v>0</v>
      </c>
      <c r="M25" s="19" t="s">
        <v>32</v>
      </c>
      <c r="N25" s="9" t="s">
        <v>51</v>
      </c>
      <c r="O25" s="9" t="s">
        <v>13</v>
      </c>
      <c r="P25" s="12" t="b">
        <f t="shared" si="2"/>
        <v>0</v>
      </c>
    </row>
    <row r="26" spans="1:19" s="14" customFormat="1" ht="30" x14ac:dyDescent="0.25">
      <c r="A26" s="15">
        <v>45693</v>
      </c>
      <c r="B26" s="20" t="s">
        <v>73</v>
      </c>
      <c r="C26" s="20" t="s">
        <v>38</v>
      </c>
      <c r="D26" s="21" t="s">
        <v>31</v>
      </c>
      <c r="E26" s="22" t="s">
        <v>35</v>
      </c>
      <c r="F26" s="23" t="s">
        <v>26</v>
      </c>
      <c r="G26" s="23" t="s">
        <v>31</v>
      </c>
      <c r="H26" s="12">
        <f t="shared" si="0"/>
        <v>0.5</v>
      </c>
      <c r="I26" s="22" t="s">
        <v>73</v>
      </c>
      <c r="J26" s="20" t="s">
        <v>10</v>
      </c>
      <c r="K26" s="20" t="s">
        <v>31</v>
      </c>
      <c r="L26" s="12">
        <f t="shared" si="1"/>
        <v>1.5</v>
      </c>
      <c r="M26" s="23" t="s">
        <v>17</v>
      </c>
      <c r="N26" s="23" t="s">
        <v>57</v>
      </c>
      <c r="O26" s="23" t="s">
        <v>27</v>
      </c>
      <c r="P26" s="12" t="b">
        <f t="shared" si="2"/>
        <v>0</v>
      </c>
    </row>
    <row r="27" spans="1:19" s="14" customFormat="1" ht="30" x14ac:dyDescent="0.25">
      <c r="A27" s="15">
        <v>45694</v>
      </c>
      <c r="B27" s="20" t="s">
        <v>35</v>
      </c>
      <c r="C27" s="20" t="s">
        <v>30</v>
      </c>
      <c r="D27" s="21" t="s">
        <v>31</v>
      </c>
      <c r="E27" s="22" t="s">
        <v>66</v>
      </c>
      <c r="F27" s="20" t="s">
        <v>54</v>
      </c>
      <c r="G27" s="20" t="s">
        <v>27</v>
      </c>
      <c r="H27" s="25" t="b">
        <f t="shared" si="0"/>
        <v>0</v>
      </c>
      <c r="I27" s="22" t="s">
        <v>66</v>
      </c>
      <c r="J27" s="20" t="s">
        <v>26</v>
      </c>
      <c r="K27" s="20" t="s">
        <v>27</v>
      </c>
      <c r="L27" s="12" t="b">
        <f t="shared" si="1"/>
        <v>0</v>
      </c>
      <c r="M27" s="19" t="s">
        <v>35</v>
      </c>
      <c r="N27" s="20" t="s">
        <v>36</v>
      </c>
      <c r="O27" s="20" t="s">
        <v>34</v>
      </c>
      <c r="P27" s="12">
        <f t="shared" si="2"/>
        <v>1</v>
      </c>
    </row>
    <row r="28" spans="1:19" s="14" customFormat="1" ht="15.75" thickBot="1" x14ac:dyDescent="0.3">
      <c r="A28" s="52">
        <v>45695</v>
      </c>
      <c r="B28" s="40" t="s">
        <v>66</v>
      </c>
      <c r="C28" s="40" t="s">
        <v>119</v>
      </c>
      <c r="D28" s="41" t="s">
        <v>21</v>
      </c>
      <c r="E28" s="51" t="s">
        <v>120</v>
      </c>
      <c r="F28" s="51" t="s">
        <v>121</v>
      </c>
      <c r="G28" s="51" t="s">
        <v>69</v>
      </c>
      <c r="H28" s="43" t="b">
        <f t="shared" si="0"/>
        <v>0</v>
      </c>
      <c r="I28" s="51" t="s">
        <v>62</v>
      </c>
      <c r="J28" s="40" t="s">
        <v>15</v>
      </c>
      <c r="K28" s="40" t="s">
        <v>69</v>
      </c>
      <c r="L28" s="43" t="b">
        <f t="shared" si="1"/>
        <v>0</v>
      </c>
      <c r="M28" s="44" t="s">
        <v>87</v>
      </c>
      <c r="N28" s="40" t="s">
        <v>51</v>
      </c>
      <c r="O28" s="40" t="s">
        <v>90</v>
      </c>
      <c r="P28" s="45" t="b">
        <f t="shared" si="2"/>
        <v>0</v>
      </c>
    </row>
    <row r="29" spans="1:19" s="14" customFormat="1" ht="30.75" thickTop="1" x14ac:dyDescent="0.25">
      <c r="A29" s="33">
        <v>45698</v>
      </c>
      <c r="B29" s="48" t="s">
        <v>113</v>
      </c>
      <c r="C29" s="34" t="s">
        <v>57</v>
      </c>
      <c r="D29" s="34" t="s">
        <v>27</v>
      </c>
      <c r="E29" s="47" t="s">
        <v>28</v>
      </c>
      <c r="F29" s="49" t="s">
        <v>28</v>
      </c>
      <c r="G29" s="49" t="s">
        <v>28</v>
      </c>
      <c r="H29" s="36" t="b">
        <f t="shared" si="0"/>
        <v>0</v>
      </c>
      <c r="I29" s="34" t="s">
        <v>17</v>
      </c>
      <c r="J29" s="48" t="s">
        <v>10</v>
      </c>
      <c r="K29" s="48" t="s">
        <v>27</v>
      </c>
      <c r="L29" s="36">
        <f t="shared" si="1"/>
        <v>0.5</v>
      </c>
      <c r="M29" s="37" t="s">
        <v>8</v>
      </c>
      <c r="N29" s="48" t="s">
        <v>57</v>
      </c>
      <c r="O29" s="48" t="s">
        <v>21</v>
      </c>
      <c r="P29" s="36">
        <f t="shared" si="2"/>
        <v>0.5</v>
      </c>
    </row>
    <row r="30" spans="1:19" s="14" customFormat="1" ht="45" x14ac:dyDescent="0.25">
      <c r="A30" s="15">
        <v>45699</v>
      </c>
      <c r="B30" s="20" t="s">
        <v>122</v>
      </c>
      <c r="C30" s="20" t="s">
        <v>123</v>
      </c>
      <c r="D30" s="21" t="s">
        <v>21</v>
      </c>
      <c r="E30" s="22" t="s">
        <v>101</v>
      </c>
      <c r="F30" s="23" t="s">
        <v>68</v>
      </c>
      <c r="G30" s="23" t="s">
        <v>69</v>
      </c>
      <c r="H30" s="12" t="b">
        <f t="shared" si="0"/>
        <v>0</v>
      </c>
      <c r="I30" s="22" t="s">
        <v>14</v>
      </c>
      <c r="J30" s="20" t="s">
        <v>63</v>
      </c>
      <c r="K30" s="20" t="s">
        <v>21</v>
      </c>
      <c r="L30" s="12">
        <f t="shared" si="1"/>
        <v>0.5</v>
      </c>
      <c r="M30" s="23" t="s">
        <v>17</v>
      </c>
      <c r="N30" s="20" t="s">
        <v>51</v>
      </c>
      <c r="O30" s="20" t="s">
        <v>13</v>
      </c>
      <c r="P30" s="12" t="b">
        <f t="shared" si="2"/>
        <v>0</v>
      </c>
    </row>
    <row r="31" spans="1:19" s="14" customFormat="1" ht="30" x14ac:dyDescent="0.25">
      <c r="A31" s="15">
        <v>45700</v>
      </c>
      <c r="B31" s="20" t="s">
        <v>124</v>
      </c>
      <c r="C31" s="20" t="s">
        <v>125</v>
      </c>
      <c r="D31" s="21" t="s">
        <v>31</v>
      </c>
      <c r="E31" s="22" t="s">
        <v>14</v>
      </c>
      <c r="F31" s="20" t="s">
        <v>102</v>
      </c>
      <c r="G31" s="20" t="s">
        <v>168</v>
      </c>
      <c r="H31" s="12" t="b">
        <f t="shared" si="0"/>
        <v>0</v>
      </c>
      <c r="I31" s="22" t="s">
        <v>76</v>
      </c>
      <c r="J31" s="20" t="s">
        <v>10</v>
      </c>
      <c r="K31" s="20" t="s">
        <v>11</v>
      </c>
      <c r="L31" s="12" t="b">
        <f t="shared" si="1"/>
        <v>0</v>
      </c>
      <c r="M31" s="19" t="s">
        <v>22</v>
      </c>
      <c r="N31" s="16" t="s">
        <v>45</v>
      </c>
      <c r="O31" s="16" t="s">
        <v>168</v>
      </c>
      <c r="P31" s="25" t="b">
        <f t="shared" si="2"/>
        <v>0</v>
      </c>
    </row>
    <row r="32" spans="1:19" s="14" customFormat="1" ht="30" x14ac:dyDescent="0.25">
      <c r="A32" s="15">
        <v>45701</v>
      </c>
      <c r="B32" s="20" t="s">
        <v>101</v>
      </c>
      <c r="C32" s="20" t="s">
        <v>77</v>
      </c>
      <c r="D32" s="21" t="s">
        <v>90</v>
      </c>
      <c r="E32" s="22" t="s">
        <v>8</v>
      </c>
      <c r="F32" s="20" t="s">
        <v>25</v>
      </c>
      <c r="G32" s="20" t="s">
        <v>33</v>
      </c>
      <c r="H32" s="12" t="b">
        <f t="shared" si="0"/>
        <v>0</v>
      </c>
      <c r="I32" s="22" t="s">
        <v>22</v>
      </c>
      <c r="J32" s="20" t="s">
        <v>82</v>
      </c>
      <c r="K32" s="20" t="s">
        <v>168</v>
      </c>
      <c r="L32" s="12" t="b">
        <f t="shared" si="1"/>
        <v>0</v>
      </c>
      <c r="M32" s="19" t="s">
        <v>42</v>
      </c>
      <c r="N32" s="9" t="s">
        <v>51</v>
      </c>
      <c r="O32" s="9" t="s">
        <v>13</v>
      </c>
      <c r="P32" s="12" t="b">
        <f t="shared" si="2"/>
        <v>0</v>
      </c>
    </row>
    <row r="33" spans="1:16" s="14" customFormat="1" ht="45.75" thickBot="1" x14ac:dyDescent="0.3">
      <c r="A33" s="52">
        <v>45702</v>
      </c>
      <c r="B33" s="40" t="s">
        <v>126</v>
      </c>
      <c r="C33" s="40" t="s">
        <v>51</v>
      </c>
      <c r="D33" s="41" t="s">
        <v>52</v>
      </c>
      <c r="E33" s="42" t="s">
        <v>32</v>
      </c>
      <c r="F33" s="40" t="s">
        <v>10</v>
      </c>
      <c r="G33" s="40" t="s">
        <v>11</v>
      </c>
      <c r="H33" s="43" t="b">
        <f t="shared" si="0"/>
        <v>0</v>
      </c>
      <c r="I33" s="42" t="s">
        <v>87</v>
      </c>
      <c r="J33" s="40" t="s">
        <v>15</v>
      </c>
      <c r="K33" s="40" t="s">
        <v>69</v>
      </c>
      <c r="L33" s="43" t="b">
        <f t="shared" si="1"/>
        <v>0</v>
      </c>
      <c r="M33" s="44" t="s">
        <v>8</v>
      </c>
      <c r="N33" s="40" t="s">
        <v>38</v>
      </c>
      <c r="O33" s="40" t="s">
        <v>16</v>
      </c>
      <c r="P33" s="43" t="b">
        <f t="shared" si="2"/>
        <v>0</v>
      </c>
    </row>
    <row r="34" spans="1:16" s="14" customFormat="1" ht="30.75" thickTop="1" x14ac:dyDescent="0.25">
      <c r="A34" s="33">
        <v>45705</v>
      </c>
      <c r="B34" s="48" t="s">
        <v>22</v>
      </c>
      <c r="C34" s="48" t="s">
        <v>106</v>
      </c>
      <c r="D34" s="36" t="s">
        <v>168</v>
      </c>
      <c r="E34" s="47" t="s">
        <v>17</v>
      </c>
      <c r="F34" s="49" t="s">
        <v>82</v>
      </c>
      <c r="G34" s="49" t="s">
        <v>168</v>
      </c>
      <c r="H34" s="36">
        <f t="shared" si="0"/>
        <v>0.5</v>
      </c>
      <c r="I34" s="49" t="s">
        <v>42</v>
      </c>
      <c r="J34" s="48" t="s">
        <v>82</v>
      </c>
      <c r="K34" s="48" t="s">
        <v>168</v>
      </c>
      <c r="L34" s="54">
        <f t="shared" si="1"/>
        <v>0.5</v>
      </c>
      <c r="M34" s="49" t="s">
        <v>42</v>
      </c>
      <c r="N34" s="48" t="s">
        <v>57</v>
      </c>
      <c r="O34" s="48" t="s">
        <v>21</v>
      </c>
      <c r="P34" s="54" t="b">
        <f t="shared" si="2"/>
        <v>0</v>
      </c>
    </row>
    <row r="35" spans="1:16" s="14" customFormat="1" ht="30" x14ac:dyDescent="0.25">
      <c r="A35" s="15">
        <v>45706</v>
      </c>
      <c r="B35" s="20" t="s">
        <v>127</v>
      </c>
      <c r="C35" s="20" t="s">
        <v>82</v>
      </c>
      <c r="D35" s="21" t="s">
        <v>21</v>
      </c>
      <c r="E35" s="22" t="s">
        <v>105</v>
      </c>
      <c r="F35" s="20" t="s">
        <v>30</v>
      </c>
      <c r="G35" s="9" t="s">
        <v>31</v>
      </c>
      <c r="H35" s="12" t="b">
        <f t="shared" si="0"/>
        <v>0</v>
      </c>
      <c r="I35" s="22" t="s">
        <v>14</v>
      </c>
      <c r="J35" s="20" t="s">
        <v>57</v>
      </c>
      <c r="K35" s="20" t="s">
        <v>31</v>
      </c>
      <c r="L35" s="25" t="b">
        <f t="shared" si="1"/>
        <v>0</v>
      </c>
      <c r="M35" s="22" t="s">
        <v>76</v>
      </c>
      <c r="N35" s="20" t="s">
        <v>36</v>
      </c>
      <c r="O35" s="9" t="s">
        <v>34</v>
      </c>
      <c r="P35" s="25" t="b">
        <f t="shared" si="2"/>
        <v>0</v>
      </c>
    </row>
    <row r="36" spans="1:16" s="14" customFormat="1" ht="30" x14ac:dyDescent="0.25">
      <c r="A36" s="15">
        <v>45707</v>
      </c>
      <c r="B36" s="20" t="s">
        <v>47</v>
      </c>
      <c r="C36" s="20" t="s">
        <v>38</v>
      </c>
      <c r="D36" s="21" t="s">
        <v>16</v>
      </c>
      <c r="E36" s="20" t="s">
        <v>101</v>
      </c>
      <c r="F36" s="23" t="s">
        <v>10</v>
      </c>
      <c r="G36" s="23" t="s">
        <v>11</v>
      </c>
      <c r="H36" s="12" t="b">
        <f t="shared" si="0"/>
        <v>0</v>
      </c>
      <c r="I36" s="22" t="s">
        <v>42</v>
      </c>
      <c r="J36" s="20" t="s">
        <v>10</v>
      </c>
      <c r="K36" s="20" t="s">
        <v>27</v>
      </c>
      <c r="L36" s="25" t="b">
        <f t="shared" si="1"/>
        <v>0</v>
      </c>
      <c r="M36" s="16" t="s">
        <v>73</v>
      </c>
      <c r="N36" s="20" t="s">
        <v>51</v>
      </c>
      <c r="O36" s="20" t="s">
        <v>13</v>
      </c>
      <c r="P36" s="25" t="b">
        <f t="shared" si="2"/>
        <v>0</v>
      </c>
    </row>
    <row r="37" spans="1:16" s="14" customFormat="1" x14ac:dyDescent="0.25">
      <c r="A37" s="15">
        <v>45708</v>
      </c>
      <c r="B37" s="20" t="s">
        <v>29</v>
      </c>
      <c r="C37" s="20" t="s">
        <v>54</v>
      </c>
      <c r="D37" s="21" t="s">
        <v>31</v>
      </c>
      <c r="E37" s="22" t="s">
        <v>120</v>
      </c>
      <c r="F37" s="20" t="s">
        <v>54</v>
      </c>
      <c r="G37" s="20" t="s">
        <v>27</v>
      </c>
      <c r="H37" s="12">
        <f t="shared" si="0"/>
        <v>0.5</v>
      </c>
      <c r="I37" s="22" t="s">
        <v>14</v>
      </c>
      <c r="J37" s="20" t="s">
        <v>33</v>
      </c>
      <c r="K37" s="20" t="s">
        <v>34</v>
      </c>
      <c r="L37" s="25" t="b">
        <f t="shared" si="1"/>
        <v>0</v>
      </c>
      <c r="M37" s="19" t="s">
        <v>42</v>
      </c>
      <c r="N37" s="20" t="s">
        <v>77</v>
      </c>
      <c r="O37" s="20" t="s">
        <v>52</v>
      </c>
      <c r="P37" s="25" t="b">
        <f t="shared" si="2"/>
        <v>0</v>
      </c>
    </row>
    <row r="38" spans="1:16" s="14" customFormat="1" ht="45.75" thickBot="1" x14ac:dyDescent="0.3">
      <c r="A38" s="52">
        <v>45709</v>
      </c>
      <c r="B38" s="40" t="s">
        <v>128</v>
      </c>
      <c r="C38" s="40" t="s">
        <v>12</v>
      </c>
      <c r="D38" s="51" t="s">
        <v>13</v>
      </c>
      <c r="E38" s="42" t="s">
        <v>87</v>
      </c>
      <c r="F38" s="40" t="s">
        <v>33</v>
      </c>
      <c r="G38" s="51" t="s">
        <v>34</v>
      </c>
      <c r="H38" s="43" t="b">
        <f t="shared" si="0"/>
        <v>0</v>
      </c>
      <c r="I38" s="42" t="s">
        <v>87</v>
      </c>
      <c r="J38" s="40" t="s">
        <v>15</v>
      </c>
      <c r="K38" s="40" t="s">
        <v>69</v>
      </c>
      <c r="L38" s="45" t="b">
        <f t="shared" si="1"/>
        <v>0</v>
      </c>
      <c r="M38" s="40" t="s">
        <v>35</v>
      </c>
      <c r="N38" s="40" t="s">
        <v>51</v>
      </c>
      <c r="O38" s="40" t="s">
        <v>13</v>
      </c>
      <c r="P38" s="45">
        <f t="shared" si="2"/>
        <v>0.5</v>
      </c>
    </row>
    <row r="39" spans="1:16" s="14" customFormat="1" ht="30.75" thickTop="1" x14ac:dyDescent="0.25">
      <c r="A39" s="33">
        <v>45712</v>
      </c>
      <c r="B39" s="48" t="s">
        <v>66</v>
      </c>
      <c r="C39" s="34" t="s">
        <v>74</v>
      </c>
      <c r="D39" s="36" t="s">
        <v>27</v>
      </c>
      <c r="E39" s="48" t="s">
        <v>113</v>
      </c>
      <c r="F39" s="48" t="s">
        <v>129</v>
      </c>
      <c r="G39" s="49" t="s">
        <v>31</v>
      </c>
      <c r="H39" s="36" t="b">
        <f t="shared" si="0"/>
        <v>0</v>
      </c>
      <c r="I39" s="47" t="s">
        <v>42</v>
      </c>
      <c r="J39" s="48" t="s">
        <v>63</v>
      </c>
      <c r="K39" s="48" t="s">
        <v>21</v>
      </c>
      <c r="L39" s="54" t="b">
        <f t="shared" si="1"/>
        <v>0</v>
      </c>
      <c r="M39" s="47" t="s">
        <v>42</v>
      </c>
      <c r="N39" s="48" t="s">
        <v>57</v>
      </c>
      <c r="O39" s="48" t="s">
        <v>21</v>
      </c>
      <c r="P39" s="54" t="b">
        <f t="shared" si="2"/>
        <v>0</v>
      </c>
    </row>
    <row r="40" spans="1:16" s="14" customFormat="1" ht="30" x14ac:dyDescent="0.25">
      <c r="A40" s="15">
        <v>45713</v>
      </c>
      <c r="B40" s="20" t="s">
        <v>73</v>
      </c>
      <c r="C40" s="16" t="s">
        <v>119</v>
      </c>
      <c r="D40" s="21" t="s">
        <v>21</v>
      </c>
      <c r="E40" s="23" t="s">
        <v>101</v>
      </c>
      <c r="F40" s="23" t="s">
        <v>10</v>
      </c>
      <c r="G40" s="23" t="s">
        <v>21</v>
      </c>
      <c r="H40" s="12">
        <f t="shared" si="0"/>
        <v>0.5</v>
      </c>
      <c r="I40" s="22" t="s">
        <v>19</v>
      </c>
      <c r="J40" s="20" t="s">
        <v>10</v>
      </c>
      <c r="K40" s="20" t="s">
        <v>31</v>
      </c>
      <c r="L40" s="25" t="b">
        <f t="shared" si="1"/>
        <v>0</v>
      </c>
      <c r="M40" s="22" t="s">
        <v>76</v>
      </c>
      <c r="N40" s="20" t="s">
        <v>82</v>
      </c>
      <c r="O40" s="20" t="s">
        <v>168</v>
      </c>
      <c r="P40" s="25" t="b">
        <f t="shared" si="2"/>
        <v>0</v>
      </c>
    </row>
    <row r="41" spans="1:16" s="14" customFormat="1" ht="30" x14ac:dyDescent="0.25">
      <c r="A41" s="15">
        <v>45714</v>
      </c>
      <c r="B41" s="20" t="s">
        <v>14</v>
      </c>
      <c r="C41" s="16" t="s">
        <v>45</v>
      </c>
      <c r="D41" s="21" t="s">
        <v>168</v>
      </c>
      <c r="E41" s="23" t="s">
        <v>87</v>
      </c>
      <c r="F41" s="23" t="s">
        <v>33</v>
      </c>
      <c r="G41" s="23" t="s">
        <v>168</v>
      </c>
      <c r="H41" s="12">
        <f t="shared" si="0"/>
        <v>0.5</v>
      </c>
      <c r="I41" s="22" t="s">
        <v>76</v>
      </c>
      <c r="J41" s="20" t="s">
        <v>82</v>
      </c>
      <c r="K41" s="20" t="s">
        <v>168</v>
      </c>
      <c r="L41" s="25">
        <f t="shared" si="1"/>
        <v>0.5</v>
      </c>
      <c r="M41" s="22" t="s">
        <v>65</v>
      </c>
      <c r="N41" s="20" t="s">
        <v>51</v>
      </c>
      <c r="O41" s="20" t="s">
        <v>13</v>
      </c>
      <c r="P41" s="25" t="b">
        <f t="shared" si="2"/>
        <v>0</v>
      </c>
    </row>
    <row r="42" spans="1:16" s="14" customFormat="1" ht="30" x14ac:dyDescent="0.25">
      <c r="A42" s="15">
        <v>45715</v>
      </c>
      <c r="B42" s="20" t="s">
        <v>47</v>
      </c>
      <c r="C42" s="38" t="s">
        <v>130</v>
      </c>
      <c r="D42" s="21" t="s">
        <v>90</v>
      </c>
      <c r="E42" s="23" t="s">
        <v>105</v>
      </c>
      <c r="F42" s="23" t="s">
        <v>125</v>
      </c>
      <c r="G42" s="23" t="s">
        <v>31</v>
      </c>
      <c r="H42" s="12" t="b">
        <f t="shared" si="0"/>
        <v>0</v>
      </c>
      <c r="I42" s="22" t="s">
        <v>42</v>
      </c>
      <c r="J42" s="20" t="s">
        <v>30</v>
      </c>
      <c r="K42" s="20" t="s">
        <v>31</v>
      </c>
      <c r="L42" s="25" t="b">
        <f t="shared" si="1"/>
        <v>0</v>
      </c>
      <c r="M42" s="22" t="s">
        <v>8</v>
      </c>
      <c r="N42" s="20" t="s">
        <v>10</v>
      </c>
      <c r="O42" s="20" t="s">
        <v>11</v>
      </c>
      <c r="P42" s="25" t="b">
        <f t="shared" si="2"/>
        <v>0</v>
      </c>
    </row>
    <row r="43" spans="1:16" s="14" customFormat="1" ht="30.75" thickBot="1" x14ac:dyDescent="0.3">
      <c r="A43" s="52">
        <v>45716</v>
      </c>
      <c r="B43" s="40" t="s">
        <v>64</v>
      </c>
      <c r="C43" s="55" t="s">
        <v>51</v>
      </c>
      <c r="D43" s="41" t="s">
        <v>13</v>
      </c>
      <c r="E43" s="51" t="s">
        <v>113</v>
      </c>
      <c r="F43" s="51" t="s">
        <v>30</v>
      </c>
      <c r="G43" s="51" t="s">
        <v>27</v>
      </c>
      <c r="H43" s="43" t="b">
        <f t="shared" si="0"/>
        <v>0</v>
      </c>
      <c r="I43" s="42" t="s">
        <v>35</v>
      </c>
      <c r="J43" s="40" t="s">
        <v>15</v>
      </c>
      <c r="K43" s="40" t="s">
        <v>69</v>
      </c>
      <c r="L43" s="45" t="b">
        <f t="shared" si="1"/>
        <v>0</v>
      </c>
      <c r="M43" s="42" t="s">
        <v>35</v>
      </c>
      <c r="N43" s="40" t="s">
        <v>38</v>
      </c>
      <c r="O43" s="40" t="s">
        <v>16</v>
      </c>
      <c r="P43" s="45" t="b">
        <f t="shared" si="2"/>
        <v>0</v>
      </c>
    </row>
    <row r="44" spans="1:16" s="14" customFormat="1" ht="45.75" thickTop="1" x14ac:dyDescent="0.25">
      <c r="A44" s="33">
        <v>45719</v>
      </c>
      <c r="B44" s="48" t="s">
        <v>67</v>
      </c>
      <c r="C44" s="34" t="s">
        <v>106</v>
      </c>
      <c r="D44" s="36" t="s">
        <v>21</v>
      </c>
      <c r="E44" s="49" t="s">
        <v>42</v>
      </c>
      <c r="F44" s="49" t="s">
        <v>33</v>
      </c>
      <c r="G44" s="49" t="s">
        <v>21</v>
      </c>
      <c r="H44" s="36">
        <f t="shared" si="0"/>
        <v>0.5</v>
      </c>
      <c r="I44" s="47" t="s">
        <v>42</v>
      </c>
      <c r="J44" s="48" t="s">
        <v>82</v>
      </c>
      <c r="K44" s="48" t="s">
        <v>168</v>
      </c>
      <c r="L44" s="54" t="b">
        <f t="shared" si="1"/>
        <v>0</v>
      </c>
      <c r="M44" s="47" t="s">
        <v>8</v>
      </c>
      <c r="N44" s="48" t="s">
        <v>57</v>
      </c>
      <c r="O44" s="48" t="s">
        <v>21</v>
      </c>
      <c r="P44" s="54">
        <f t="shared" si="2"/>
        <v>0.5</v>
      </c>
    </row>
    <row r="45" spans="1:16" s="14" customFormat="1" ht="30" x14ac:dyDescent="0.25">
      <c r="A45" s="15">
        <v>45720</v>
      </c>
      <c r="B45" s="20" t="s">
        <v>42</v>
      </c>
      <c r="C45" s="16" t="s">
        <v>77</v>
      </c>
      <c r="D45" s="21" t="s">
        <v>52</v>
      </c>
      <c r="E45" s="20" t="s">
        <v>29</v>
      </c>
      <c r="F45" s="23" t="s">
        <v>57</v>
      </c>
      <c r="G45" s="23" t="s">
        <v>31</v>
      </c>
      <c r="H45" s="12" t="b">
        <f t="shared" si="0"/>
        <v>0</v>
      </c>
      <c r="I45" s="22" t="s">
        <v>62</v>
      </c>
      <c r="J45" s="20" t="s">
        <v>38</v>
      </c>
      <c r="K45" s="20" t="s">
        <v>31</v>
      </c>
      <c r="L45" s="25" t="b">
        <f t="shared" si="1"/>
        <v>0</v>
      </c>
      <c r="M45" s="22" t="s">
        <v>42</v>
      </c>
      <c r="N45" s="20" t="s">
        <v>38</v>
      </c>
      <c r="O45" s="20" t="s">
        <v>16</v>
      </c>
      <c r="P45" s="25">
        <f t="shared" si="2"/>
        <v>1</v>
      </c>
    </row>
    <row r="46" spans="1:16" s="14" customFormat="1" ht="30" x14ac:dyDescent="0.25">
      <c r="A46" s="15">
        <v>45721</v>
      </c>
      <c r="B46" s="20" t="s">
        <v>101</v>
      </c>
      <c r="C46" s="16" t="s">
        <v>131</v>
      </c>
      <c r="D46" s="21" t="s">
        <v>34</v>
      </c>
      <c r="E46" s="20" t="s">
        <v>101</v>
      </c>
      <c r="F46" s="23" t="s">
        <v>132</v>
      </c>
      <c r="G46" s="23" t="s">
        <v>16</v>
      </c>
      <c r="H46" s="12">
        <f t="shared" si="0"/>
        <v>1</v>
      </c>
      <c r="I46" s="22" t="s">
        <v>76</v>
      </c>
      <c r="J46" s="20" t="s">
        <v>133</v>
      </c>
      <c r="K46" s="20" t="s">
        <v>69</v>
      </c>
      <c r="L46" s="25" t="b">
        <f t="shared" si="1"/>
        <v>0</v>
      </c>
      <c r="M46" s="22" t="s">
        <v>101</v>
      </c>
      <c r="N46" s="20" t="s">
        <v>134</v>
      </c>
      <c r="O46" s="20" t="s">
        <v>69</v>
      </c>
      <c r="P46" s="25">
        <f t="shared" si="2"/>
        <v>1</v>
      </c>
    </row>
    <row r="47" spans="1:16" s="14" customFormat="1" ht="30" x14ac:dyDescent="0.25">
      <c r="A47" s="15">
        <v>45722</v>
      </c>
      <c r="B47" s="20" t="s">
        <v>19</v>
      </c>
      <c r="C47" s="16" t="s">
        <v>70</v>
      </c>
      <c r="D47" s="21" t="s">
        <v>21</v>
      </c>
      <c r="E47" s="23" t="s">
        <v>8</v>
      </c>
      <c r="F47" s="23" t="s">
        <v>38</v>
      </c>
      <c r="G47" s="23" t="s">
        <v>31</v>
      </c>
      <c r="H47" s="12" t="b">
        <f t="shared" si="0"/>
        <v>0</v>
      </c>
      <c r="I47" s="22" t="s">
        <v>35</v>
      </c>
      <c r="J47" s="20" t="s">
        <v>68</v>
      </c>
      <c r="K47" s="20" t="s">
        <v>27</v>
      </c>
      <c r="L47" s="25" t="b">
        <f t="shared" si="1"/>
        <v>0</v>
      </c>
      <c r="M47" s="22" t="s">
        <v>8</v>
      </c>
      <c r="N47" s="20" t="s">
        <v>51</v>
      </c>
      <c r="O47" s="20" t="s">
        <v>13</v>
      </c>
      <c r="P47" s="25" t="b">
        <f t="shared" si="2"/>
        <v>0</v>
      </c>
    </row>
    <row r="48" spans="1:16" s="14" customFormat="1" ht="30.75" thickBot="1" x14ac:dyDescent="0.3">
      <c r="A48" s="52">
        <v>45723</v>
      </c>
      <c r="B48" s="40" t="s">
        <v>73</v>
      </c>
      <c r="C48" s="55" t="s">
        <v>10</v>
      </c>
      <c r="D48" s="41" t="s">
        <v>11</v>
      </c>
      <c r="E48" s="51" t="s">
        <v>135</v>
      </c>
      <c r="F48" s="51" t="s">
        <v>134</v>
      </c>
      <c r="G48" s="51" t="s">
        <v>31</v>
      </c>
      <c r="H48" s="43" t="b">
        <f t="shared" si="0"/>
        <v>0</v>
      </c>
      <c r="I48" s="42" t="s">
        <v>8</v>
      </c>
      <c r="J48" s="40" t="s">
        <v>134</v>
      </c>
      <c r="K48" s="40" t="s">
        <v>69</v>
      </c>
      <c r="L48" s="45" t="b">
        <f t="shared" si="1"/>
        <v>0</v>
      </c>
      <c r="M48" s="42" t="s">
        <v>64</v>
      </c>
      <c r="N48" s="40" t="s">
        <v>134</v>
      </c>
      <c r="O48" s="40" t="s">
        <v>69</v>
      </c>
      <c r="P48" s="45" t="b">
        <f t="shared" si="2"/>
        <v>0</v>
      </c>
    </row>
    <row r="49" spans="1:16" s="14" customFormat="1" ht="30.75" thickTop="1" x14ac:dyDescent="0.25">
      <c r="A49" s="33">
        <v>45726</v>
      </c>
      <c r="B49" s="48" t="s">
        <v>47</v>
      </c>
      <c r="C49" s="34" t="s">
        <v>57</v>
      </c>
      <c r="D49" s="36" t="s">
        <v>31</v>
      </c>
      <c r="E49" s="49" t="s">
        <v>14</v>
      </c>
      <c r="F49" s="49" t="s">
        <v>45</v>
      </c>
      <c r="G49" s="49" t="s">
        <v>52</v>
      </c>
      <c r="H49" s="36" t="b">
        <f t="shared" si="0"/>
        <v>0</v>
      </c>
      <c r="I49" s="47" t="s">
        <v>28</v>
      </c>
      <c r="J49" s="48" t="s">
        <v>28</v>
      </c>
      <c r="K49" s="48" t="s">
        <v>28</v>
      </c>
      <c r="L49" s="54" t="b">
        <f t="shared" si="1"/>
        <v>0</v>
      </c>
      <c r="M49" s="47" t="s">
        <v>8</v>
      </c>
      <c r="N49" s="48" t="s">
        <v>57</v>
      </c>
      <c r="O49" s="48" t="s">
        <v>21</v>
      </c>
      <c r="P49" s="54">
        <f t="shared" si="2"/>
        <v>0.5</v>
      </c>
    </row>
    <row r="50" spans="1:16" s="14" customFormat="1" ht="30" x14ac:dyDescent="0.25">
      <c r="A50" s="15">
        <v>45727</v>
      </c>
      <c r="B50" s="20" t="s">
        <v>29</v>
      </c>
      <c r="C50" s="16" t="s">
        <v>82</v>
      </c>
      <c r="D50" s="21" t="s">
        <v>168</v>
      </c>
      <c r="E50" s="23" t="s">
        <v>35</v>
      </c>
      <c r="F50" s="23" t="s">
        <v>33</v>
      </c>
      <c r="G50" s="23" t="s">
        <v>21</v>
      </c>
      <c r="H50" s="12" t="b">
        <f t="shared" si="0"/>
        <v>0</v>
      </c>
      <c r="I50" s="22" t="s">
        <v>14</v>
      </c>
      <c r="J50" s="20" t="s">
        <v>82</v>
      </c>
      <c r="K50" s="20" t="s">
        <v>168</v>
      </c>
      <c r="L50" s="25">
        <f t="shared" si="1"/>
        <v>1</v>
      </c>
      <c r="M50" s="22" t="s">
        <v>66</v>
      </c>
      <c r="N50" s="20" t="s">
        <v>51</v>
      </c>
      <c r="O50" s="20" t="s">
        <v>13</v>
      </c>
      <c r="P50" s="25" t="b">
        <f t="shared" si="2"/>
        <v>0</v>
      </c>
    </row>
    <row r="51" spans="1:16" s="14" customFormat="1" ht="30" x14ac:dyDescent="0.25">
      <c r="A51" s="15">
        <v>45728</v>
      </c>
      <c r="B51" s="20" t="s">
        <v>124</v>
      </c>
      <c r="C51" s="16" t="s">
        <v>117</v>
      </c>
      <c r="D51" s="21" t="s">
        <v>21</v>
      </c>
      <c r="E51" s="23" t="s">
        <v>14</v>
      </c>
      <c r="F51" s="20" t="s">
        <v>51</v>
      </c>
      <c r="G51" s="23" t="s">
        <v>27</v>
      </c>
      <c r="H51" s="12" t="b">
        <f t="shared" si="0"/>
        <v>0</v>
      </c>
      <c r="I51" s="22" t="s">
        <v>42</v>
      </c>
      <c r="J51" s="38" t="s">
        <v>130</v>
      </c>
      <c r="K51" s="20" t="s">
        <v>21</v>
      </c>
      <c r="L51" s="25">
        <f t="shared" si="1"/>
        <v>0.5</v>
      </c>
      <c r="M51" s="22" t="s">
        <v>42</v>
      </c>
      <c r="N51" s="20" t="s">
        <v>45</v>
      </c>
      <c r="O51" s="20" t="s">
        <v>90</v>
      </c>
      <c r="P51" s="25" t="b">
        <f t="shared" si="2"/>
        <v>0</v>
      </c>
    </row>
    <row r="52" spans="1:16" s="14" customFormat="1" ht="30" x14ac:dyDescent="0.25">
      <c r="A52" s="15">
        <v>45729</v>
      </c>
      <c r="B52" s="20" t="s">
        <v>22</v>
      </c>
      <c r="C52" s="16" t="s">
        <v>51</v>
      </c>
      <c r="D52" s="21" t="s">
        <v>90</v>
      </c>
      <c r="E52" s="23" t="s">
        <v>105</v>
      </c>
      <c r="F52" s="23" t="s">
        <v>125</v>
      </c>
      <c r="G52" s="23" t="s">
        <v>31</v>
      </c>
      <c r="H52" s="12" t="b">
        <f t="shared" si="0"/>
        <v>0</v>
      </c>
      <c r="I52" s="22" t="s">
        <v>17</v>
      </c>
      <c r="J52" s="20" t="s">
        <v>38</v>
      </c>
      <c r="K52" s="20" t="s">
        <v>31</v>
      </c>
      <c r="L52" s="25" t="b">
        <f t="shared" si="1"/>
        <v>0</v>
      </c>
      <c r="M52" s="22" t="s">
        <v>17</v>
      </c>
      <c r="N52" s="20" t="s">
        <v>119</v>
      </c>
      <c r="O52" s="20" t="s">
        <v>21</v>
      </c>
      <c r="P52" s="25" t="b">
        <f t="shared" si="2"/>
        <v>0</v>
      </c>
    </row>
    <row r="53" spans="1:16" s="14" customFormat="1" ht="30.75" thickBot="1" x14ac:dyDescent="0.3">
      <c r="A53" s="52">
        <v>45730</v>
      </c>
      <c r="B53" s="40" t="s">
        <v>136</v>
      </c>
      <c r="C53" s="55" t="s">
        <v>137</v>
      </c>
      <c r="D53" s="41" t="s">
        <v>69</v>
      </c>
      <c r="E53" s="40" t="s">
        <v>35</v>
      </c>
      <c r="F53" s="40" t="s">
        <v>134</v>
      </c>
      <c r="G53" s="40" t="s">
        <v>69</v>
      </c>
      <c r="H53" s="43">
        <f t="shared" si="0"/>
        <v>0.5</v>
      </c>
      <c r="I53" s="40" t="s">
        <v>76</v>
      </c>
      <c r="J53" s="40" t="s">
        <v>134</v>
      </c>
      <c r="K53" s="40" t="s">
        <v>69</v>
      </c>
      <c r="L53" s="45">
        <f t="shared" si="1"/>
        <v>0.5</v>
      </c>
      <c r="M53" s="42" t="s">
        <v>64</v>
      </c>
      <c r="N53" s="40" t="s">
        <v>134</v>
      </c>
      <c r="O53" s="40" t="s">
        <v>69</v>
      </c>
      <c r="P53" s="45">
        <f t="shared" si="2"/>
        <v>0.5</v>
      </c>
    </row>
    <row r="54" spans="1:16" s="14" customFormat="1" ht="30.75" thickTop="1" x14ac:dyDescent="0.25">
      <c r="A54" s="33">
        <v>45733</v>
      </c>
      <c r="B54" s="48" t="s">
        <v>76</v>
      </c>
      <c r="C54" s="34" t="s">
        <v>130</v>
      </c>
      <c r="D54" s="36" t="s">
        <v>21</v>
      </c>
      <c r="E54" s="49" t="s">
        <v>101</v>
      </c>
      <c r="F54" s="49" t="s">
        <v>102</v>
      </c>
      <c r="G54" s="49" t="s">
        <v>168</v>
      </c>
      <c r="H54" s="36" t="b">
        <f t="shared" si="0"/>
        <v>0</v>
      </c>
      <c r="I54" s="47" t="s">
        <v>42</v>
      </c>
      <c r="J54" s="48" t="s">
        <v>45</v>
      </c>
      <c r="K54" s="48" t="s">
        <v>27</v>
      </c>
      <c r="L54" s="54" t="b">
        <f t="shared" si="1"/>
        <v>0</v>
      </c>
      <c r="M54" s="47" t="s">
        <v>8</v>
      </c>
      <c r="N54" s="48" t="s">
        <v>77</v>
      </c>
      <c r="O54" s="48" t="s">
        <v>52</v>
      </c>
      <c r="P54" s="54" t="b">
        <f t="shared" si="2"/>
        <v>0</v>
      </c>
    </row>
    <row r="55" spans="1:16" s="14" customFormat="1" ht="30" x14ac:dyDescent="0.25">
      <c r="A55" s="15">
        <v>45734</v>
      </c>
      <c r="B55" s="20" t="s">
        <v>87</v>
      </c>
      <c r="C55" s="16" t="s">
        <v>12</v>
      </c>
      <c r="D55" s="21" t="s">
        <v>52</v>
      </c>
      <c r="E55" s="23" t="s">
        <v>105</v>
      </c>
      <c r="F55" s="23" t="s">
        <v>77</v>
      </c>
      <c r="G55" s="23" t="s">
        <v>31</v>
      </c>
      <c r="H55" s="12" t="b">
        <f t="shared" si="0"/>
        <v>0</v>
      </c>
      <c r="I55" s="22" t="s">
        <v>14</v>
      </c>
      <c r="J55" s="20" t="s">
        <v>30</v>
      </c>
      <c r="K55" s="20" t="s">
        <v>31</v>
      </c>
      <c r="L55" s="25" t="b">
        <f t="shared" si="1"/>
        <v>0</v>
      </c>
      <c r="M55" s="22" t="s">
        <v>42</v>
      </c>
      <c r="N55" s="20" t="s">
        <v>10</v>
      </c>
      <c r="O55" s="20" t="s">
        <v>11</v>
      </c>
      <c r="P55" s="25" t="b">
        <f t="shared" si="2"/>
        <v>0</v>
      </c>
    </row>
    <row r="56" spans="1:16" s="14" customFormat="1" x14ac:dyDescent="0.25">
      <c r="A56" s="15">
        <v>45735</v>
      </c>
      <c r="B56" s="20" t="s">
        <v>14</v>
      </c>
      <c r="C56" s="16" t="s">
        <v>118</v>
      </c>
      <c r="D56" s="21" t="s">
        <v>168</v>
      </c>
      <c r="E56" s="23" t="s">
        <v>14</v>
      </c>
      <c r="F56" s="23" t="s">
        <v>54</v>
      </c>
      <c r="G56" s="23" t="s">
        <v>27</v>
      </c>
      <c r="H56" s="12">
        <f t="shared" si="0"/>
        <v>1</v>
      </c>
      <c r="I56" s="22" t="s">
        <v>62</v>
      </c>
      <c r="J56" s="20" t="s">
        <v>45</v>
      </c>
      <c r="K56" s="20" t="s">
        <v>27</v>
      </c>
      <c r="L56" s="25" t="b">
        <f t="shared" si="1"/>
        <v>0</v>
      </c>
      <c r="M56" s="22" t="s">
        <v>66</v>
      </c>
      <c r="N56" s="20" t="s">
        <v>51</v>
      </c>
      <c r="O56" s="20" t="s">
        <v>90</v>
      </c>
      <c r="P56" s="25" t="b">
        <f t="shared" si="2"/>
        <v>0</v>
      </c>
    </row>
    <row r="57" spans="1:16" s="14" customFormat="1" ht="30" x14ac:dyDescent="0.25">
      <c r="A57" s="15">
        <v>45736</v>
      </c>
      <c r="B57" s="20" t="s">
        <v>138</v>
      </c>
      <c r="C57" s="16" t="s">
        <v>77</v>
      </c>
      <c r="D57" s="21" t="s">
        <v>13</v>
      </c>
      <c r="E57" s="23" t="s">
        <v>8</v>
      </c>
      <c r="F57" s="23" t="s">
        <v>30</v>
      </c>
      <c r="G57" s="23" t="s">
        <v>31</v>
      </c>
      <c r="H57" s="12" t="b">
        <f t="shared" si="0"/>
        <v>0</v>
      </c>
      <c r="I57" s="22" t="s">
        <v>42</v>
      </c>
      <c r="J57" s="20" t="s">
        <v>10</v>
      </c>
      <c r="K57" s="20" t="s">
        <v>31</v>
      </c>
      <c r="L57" s="25" t="b">
        <f t="shared" si="1"/>
        <v>0</v>
      </c>
      <c r="M57" s="22" t="s">
        <v>42</v>
      </c>
      <c r="N57" s="20" t="s">
        <v>10</v>
      </c>
      <c r="O57" s="20" t="s">
        <v>11</v>
      </c>
      <c r="P57" s="25" t="b">
        <f t="shared" si="2"/>
        <v>0</v>
      </c>
    </row>
    <row r="58" spans="1:16" s="14" customFormat="1" ht="30.75" thickBot="1" x14ac:dyDescent="0.3">
      <c r="A58" s="52">
        <v>45737</v>
      </c>
      <c r="B58" s="40" t="s">
        <v>101</v>
      </c>
      <c r="C58" s="55" t="s">
        <v>139</v>
      </c>
      <c r="D58" s="41" t="s">
        <v>69</v>
      </c>
      <c r="E58" s="51" t="s">
        <v>84</v>
      </c>
      <c r="F58" s="51" t="s">
        <v>131</v>
      </c>
      <c r="G58" s="51" t="s">
        <v>34</v>
      </c>
      <c r="H58" s="43" t="b">
        <f t="shared" si="0"/>
        <v>0</v>
      </c>
      <c r="I58" s="42" t="s">
        <v>73</v>
      </c>
      <c r="J58" s="40" t="s">
        <v>131</v>
      </c>
      <c r="K58" s="40" t="s">
        <v>34</v>
      </c>
      <c r="L58" s="45" t="b">
        <f t="shared" si="1"/>
        <v>0</v>
      </c>
      <c r="M58" s="42" t="s">
        <v>64</v>
      </c>
      <c r="N58" s="40" t="s">
        <v>131</v>
      </c>
      <c r="O58" s="40" t="s">
        <v>34</v>
      </c>
      <c r="P58" s="45" t="b">
        <f t="shared" si="2"/>
        <v>0</v>
      </c>
    </row>
    <row r="59" spans="1:16" s="14" customFormat="1" ht="30.75" thickTop="1" x14ac:dyDescent="0.25">
      <c r="A59" s="33">
        <v>45740</v>
      </c>
      <c r="B59" s="48" t="s">
        <v>19</v>
      </c>
      <c r="C59" s="34" t="s">
        <v>140</v>
      </c>
      <c r="D59" s="36" t="s">
        <v>27</v>
      </c>
      <c r="E59" s="49" t="s">
        <v>22</v>
      </c>
      <c r="F59" s="49" t="s">
        <v>57</v>
      </c>
      <c r="G59" s="49" t="s">
        <v>27</v>
      </c>
      <c r="H59" s="36">
        <f t="shared" si="0"/>
        <v>0.5</v>
      </c>
      <c r="I59" s="47" t="s">
        <v>42</v>
      </c>
      <c r="J59" s="48" t="s">
        <v>82</v>
      </c>
      <c r="K59" s="48" t="s">
        <v>168</v>
      </c>
      <c r="L59" s="54" t="b">
        <f t="shared" si="1"/>
        <v>0</v>
      </c>
      <c r="M59" s="47" t="s">
        <v>42</v>
      </c>
      <c r="N59" s="48" t="s">
        <v>57</v>
      </c>
      <c r="O59" s="48" t="s">
        <v>21</v>
      </c>
      <c r="P59" s="54" t="b">
        <f t="shared" si="2"/>
        <v>0</v>
      </c>
    </row>
    <row r="60" spans="1:16" s="14" customFormat="1" x14ac:dyDescent="0.25">
      <c r="A60" s="15">
        <v>45741</v>
      </c>
      <c r="B60" s="16" t="s">
        <v>81</v>
      </c>
      <c r="C60" s="16" t="s">
        <v>57</v>
      </c>
      <c r="D60" s="21" t="s">
        <v>31</v>
      </c>
      <c r="E60" s="23" t="s">
        <v>35</v>
      </c>
      <c r="F60" s="23" t="s">
        <v>102</v>
      </c>
      <c r="G60" s="23" t="s">
        <v>168</v>
      </c>
      <c r="H60" s="12" t="b">
        <f t="shared" si="0"/>
        <v>0</v>
      </c>
      <c r="I60" s="22" t="s">
        <v>66</v>
      </c>
      <c r="J60" s="20" t="s">
        <v>12</v>
      </c>
      <c r="K60" s="20" t="s">
        <v>21</v>
      </c>
      <c r="L60" s="25" t="b">
        <f t="shared" si="1"/>
        <v>0</v>
      </c>
      <c r="M60" s="22" t="s">
        <v>8</v>
      </c>
      <c r="N60" s="20" t="s">
        <v>10</v>
      </c>
      <c r="O60" s="20" t="s">
        <v>11</v>
      </c>
      <c r="P60" s="25" t="b">
        <f t="shared" si="2"/>
        <v>0</v>
      </c>
    </row>
    <row r="61" spans="1:16" s="14" customFormat="1" ht="30" x14ac:dyDescent="0.25">
      <c r="A61" s="15">
        <v>45742</v>
      </c>
      <c r="B61" s="20" t="s">
        <v>113</v>
      </c>
      <c r="C61" s="16" t="s">
        <v>45</v>
      </c>
      <c r="D61" s="21" t="s">
        <v>90</v>
      </c>
      <c r="E61" s="23" t="s">
        <v>66</v>
      </c>
      <c r="F61" s="23" t="s">
        <v>117</v>
      </c>
      <c r="G61" s="23" t="s">
        <v>21</v>
      </c>
      <c r="H61" s="12" t="b">
        <f t="shared" si="0"/>
        <v>0</v>
      </c>
      <c r="I61" s="22" t="s">
        <v>42</v>
      </c>
      <c r="J61" s="20" t="s">
        <v>33</v>
      </c>
      <c r="K61" s="20" t="s">
        <v>168</v>
      </c>
      <c r="L61" s="25" t="b">
        <f t="shared" si="1"/>
        <v>0</v>
      </c>
      <c r="M61" s="22" t="s">
        <v>101</v>
      </c>
      <c r="N61" s="38" t="s">
        <v>106</v>
      </c>
      <c r="O61" s="20" t="s">
        <v>13</v>
      </c>
      <c r="P61" s="25" t="b">
        <f t="shared" si="2"/>
        <v>0</v>
      </c>
    </row>
    <row r="62" spans="1:16" s="14" customFormat="1" ht="30" x14ac:dyDescent="0.25">
      <c r="A62" s="15">
        <v>45743</v>
      </c>
      <c r="B62" s="20" t="s">
        <v>66</v>
      </c>
      <c r="C62" s="16" t="s">
        <v>111</v>
      </c>
      <c r="D62" s="21" t="s">
        <v>21</v>
      </c>
      <c r="E62" s="23" t="s">
        <v>112</v>
      </c>
      <c r="F62" s="23" t="s">
        <v>10</v>
      </c>
      <c r="G62" s="23" t="s">
        <v>11</v>
      </c>
      <c r="H62" s="12" t="b">
        <f t="shared" si="0"/>
        <v>0</v>
      </c>
      <c r="I62" s="22" t="s">
        <v>28</v>
      </c>
      <c r="J62" s="20" t="s">
        <v>28</v>
      </c>
      <c r="K62" s="20" t="s">
        <v>28</v>
      </c>
      <c r="L62" s="25" t="b">
        <f t="shared" si="1"/>
        <v>0</v>
      </c>
      <c r="M62" s="22" t="s">
        <v>42</v>
      </c>
      <c r="N62" s="38" t="s">
        <v>130</v>
      </c>
      <c r="O62" s="20" t="s">
        <v>21</v>
      </c>
      <c r="P62" s="25">
        <f t="shared" si="2"/>
        <v>0.5</v>
      </c>
    </row>
    <row r="63" spans="1:16" s="14" customFormat="1" ht="30.75" thickBot="1" x14ac:dyDescent="0.3">
      <c r="A63" s="52">
        <v>45744</v>
      </c>
      <c r="B63" s="40" t="s">
        <v>95</v>
      </c>
      <c r="C63" s="55" t="s">
        <v>131</v>
      </c>
      <c r="D63" s="41" t="s">
        <v>34</v>
      </c>
      <c r="E63" s="51" t="s">
        <v>141</v>
      </c>
      <c r="F63" s="51" t="s">
        <v>131</v>
      </c>
      <c r="G63" s="51" t="s">
        <v>34</v>
      </c>
      <c r="H63" s="43">
        <f t="shared" si="0"/>
        <v>1</v>
      </c>
      <c r="I63" s="42" t="s">
        <v>28</v>
      </c>
      <c r="J63" s="40" t="s">
        <v>28</v>
      </c>
      <c r="K63" s="40" t="s">
        <v>28</v>
      </c>
      <c r="L63" s="45" t="b">
        <f t="shared" si="1"/>
        <v>0</v>
      </c>
      <c r="M63" s="42" t="s">
        <v>73</v>
      </c>
      <c r="N63" s="40" t="s">
        <v>131</v>
      </c>
      <c r="O63" s="40" t="s">
        <v>34</v>
      </c>
      <c r="P63" s="45">
        <f t="shared" si="2"/>
        <v>1</v>
      </c>
    </row>
    <row r="64" spans="1:16" s="14" customFormat="1" ht="30.75" thickTop="1" x14ac:dyDescent="0.25">
      <c r="A64" s="33">
        <v>45747</v>
      </c>
      <c r="B64" s="48" t="s">
        <v>35</v>
      </c>
      <c r="C64" s="34" t="s">
        <v>51</v>
      </c>
      <c r="D64" s="36" t="s">
        <v>21</v>
      </c>
      <c r="E64" s="49" t="s">
        <v>17</v>
      </c>
      <c r="F64" s="49" t="s">
        <v>82</v>
      </c>
      <c r="G64" s="49" t="s">
        <v>168</v>
      </c>
      <c r="H64" s="36" t="b">
        <f t="shared" si="0"/>
        <v>0</v>
      </c>
      <c r="I64" s="47" t="s">
        <v>42</v>
      </c>
      <c r="J64" s="48" t="s">
        <v>82</v>
      </c>
      <c r="K64" s="48" t="s">
        <v>168</v>
      </c>
      <c r="L64" s="54" t="b">
        <f t="shared" si="1"/>
        <v>0</v>
      </c>
      <c r="M64" s="47" t="s">
        <v>42</v>
      </c>
      <c r="N64" s="48" t="s">
        <v>57</v>
      </c>
      <c r="O64" s="48" t="s">
        <v>21</v>
      </c>
      <c r="P64" s="54">
        <f t="shared" si="2"/>
        <v>0.5</v>
      </c>
    </row>
    <row r="65" spans="1:16" s="14" customFormat="1" ht="30" x14ac:dyDescent="0.25">
      <c r="A65" s="15">
        <v>45748</v>
      </c>
      <c r="B65" s="20" t="s">
        <v>105</v>
      </c>
      <c r="C65" s="16" t="s">
        <v>12</v>
      </c>
      <c r="D65" s="21" t="s">
        <v>168</v>
      </c>
      <c r="E65" s="23" t="s">
        <v>14</v>
      </c>
      <c r="F65" s="23" t="s">
        <v>10</v>
      </c>
      <c r="G65" s="23" t="s">
        <v>11</v>
      </c>
      <c r="H65" s="12" t="b">
        <f t="shared" si="0"/>
        <v>0</v>
      </c>
      <c r="I65" s="22" t="s">
        <v>8</v>
      </c>
      <c r="J65" s="20" t="s">
        <v>38</v>
      </c>
      <c r="K65" s="20" t="s">
        <v>31</v>
      </c>
      <c r="L65" s="25" t="b">
        <f t="shared" si="1"/>
        <v>0</v>
      </c>
      <c r="M65" s="22" t="s">
        <v>47</v>
      </c>
      <c r="N65" s="20" t="s">
        <v>77</v>
      </c>
      <c r="O65" s="20" t="s">
        <v>13</v>
      </c>
      <c r="P65" s="25" t="b">
        <f t="shared" si="2"/>
        <v>0</v>
      </c>
    </row>
    <row r="66" spans="1:16" s="14" customFormat="1" ht="30" x14ac:dyDescent="0.25">
      <c r="A66" s="15">
        <v>45749</v>
      </c>
      <c r="B66" s="20" t="s">
        <v>29</v>
      </c>
      <c r="C66" s="16" t="s">
        <v>130</v>
      </c>
      <c r="D66" s="21" t="s">
        <v>13</v>
      </c>
      <c r="E66" s="23" t="s">
        <v>101</v>
      </c>
      <c r="F66" s="23" t="s">
        <v>38</v>
      </c>
      <c r="G66" s="23" t="s">
        <v>31</v>
      </c>
      <c r="H66" s="12" t="b">
        <f t="shared" si="0"/>
        <v>0</v>
      </c>
      <c r="I66" s="22" t="s">
        <v>28</v>
      </c>
      <c r="J66" s="20" t="s">
        <v>28</v>
      </c>
      <c r="K66" s="20" t="s">
        <v>28</v>
      </c>
      <c r="L66" s="25" t="b">
        <f t="shared" si="1"/>
        <v>0</v>
      </c>
      <c r="M66" s="22" t="s">
        <v>8</v>
      </c>
      <c r="N66" s="20" t="s">
        <v>10</v>
      </c>
      <c r="O66" s="20" t="s">
        <v>11</v>
      </c>
      <c r="P66" s="25" t="b">
        <f t="shared" si="2"/>
        <v>0</v>
      </c>
    </row>
    <row r="67" spans="1:16" s="14" customFormat="1" ht="30" x14ac:dyDescent="0.25">
      <c r="A67" s="15">
        <v>45750</v>
      </c>
      <c r="B67" s="20" t="s">
        <v>8</v>
      </c>
      <c r="C67" s="16" t="s">
        <v>33</v>
      </c>
      <c r="D67" s="21" t="s">
        <v>34</v>
      </c>
      <c r="E67" s="23" t="s">
        <v>87</v>
      </c>
      <c r="F67" s="23" t="s">
        <v>10</v>
      </c>
      <c r="G67" s="23" t="s">
        <v>16</v>
      </c>
      <c r="H67" s="12" t="b">
        <f t="shared" si="0"/>
        <v>0</v>
      </c>
      <c r="I67" s="22" t="s">
        <v>8</v>
      </c>
      <c r="J67" s="20" t="s">
        <v>30</v>
      </c>
      <c r="K67" s="20" t="s">
        <v>31</v>
      </c>
      <c r="L67" s="25">
        <f t="shared" si="1"/>
        <v>1</v>
      </c>
      <c r="M67" s="22" t="s">
        <v>32</v>
      </c>
      <c r="N67" s="20" t="s">
        <v>68</v>
      </c>
      <c r="O67" s="20" t="s">
        <v>69</v>
      </c>
      <c r="P67" s="25" t="b">
        <f t="shared" si="2"/>
        <v>0</v>
      </c>
    </row>
    <row r="68" spans="1:16" s="14" customFormat="1" ht="30.75" thickBot="1" x14ac:dyDescent="0.3">
      <c r="A68" s="52">
        <v>45751</v>
      </c>
      <c r="B68" s="40" t="s">
        <v>22</v>
      </c>
      <c r="C68" s="55" t="s">
        <v>134</v>
      </c>
      <c r="D68" s="41" t="s">
        <v>16</v>
      </c>
      <c r="E68" s="51" t="s">
        <v>142</v>
      </c>
      <c r="F68" s="51" t="s">
        <v>134</v>
      </c>
      <c r="G68" s="51" t="s">
        <v>69</v>
      </c>
      <c r="H68" s="43">
        <f t="shared" si="0"/>
        <v>0.5</v>
      </c>
      <c r="I68" s="42" t="s">
        <v>73</v>
      </c>
      <c r="J68" s="40" t="s">
        <v>143</v>
      </c>
      <c r="K68" s="40" t="s">
        <v>69</v>
      </c>
      <c r="L68" s="45" t="b">
        <f t="shared" si="1"/>
        <v>0</v>
      </c>
      <c r="M68" s="42" t="s">
        <v>50</v>
      </c>
      <c r="N68" s="40" t="s">
        <v>134</v>
      </c>
      <c r="O68" s="40" t="s">
        <v>16</v>
      </c>
      <c r="P68" s="45">
        <f t="shared" si="2"/>
        <v>1</v>
      </c>
    </row>
    <row r="69" spans="1:16" s="14" customFormat="1" ht="30.75" thickTop="1" x14ac:dyDescent="0.25">
      <c r="A69" s="33">
        <v>45754</v>
      </c>
      <c r="B69" s="48" t="s">
        <v>76</v>
      </c>
      <c r="C69" s="34" t="s">
        <v>57</v>
      </c>
      <c r="D69" s="36" t="s">
        <v>27</v>
      </c>
      <c r="E69" s="49" t="s">
        <v>17</v>
      </c>
      <c r="F69" s="49" t="s">
        <v>102</v>
      </c>
      <c r="G69" s="49" t="s">
        <v>168</v>
      </c>
      <c r="H69" s="36" t="b">
        <f t="shared" si="0"/>
        <v>0</v>
      </c>
      <c r="I69" s="47" t="s">
        <v>42</v>
      </c>
      <c r="J69" s="48" t="s">
        <v>74</v>
      </c>
      <c r="K69" s="48" t="s">
        <v>31</v>
      </c>
      <c r="L69" s="54" t="b">
        <f t="shared" si="1"/>
        <v>0</v>
      </c>
      <c r="M69" s="47" t="s">
        <v>42</v>
      </c>
      <c r="N69" s="48" t="s">
        <v>57</v>
      </c>
      <c r="O69" s="48" t="s">
        <v>21</v>
      </c>
      <c r="P69" s="54">
        <f t="shared" si="2"/>
        <v>0.5</v>
      </c>
    </row>
    <row r="70" spans="1:16" s="14" customFormat="1" ht="30" x14ac:dyDescent="0.25">
      <c r="A70" s="15">
        <v>45755</v>
      </c>
      <c r="B70" s="20" t="s">
        <v>144</v>
      </c>
      <c r="C70" s="16" t="s">
        <v>125</v>
      </c>
      <c r="D70" s="21" t="s">
        <v>31</v>
      </c>
      <c r="E70" s="23" t="s">
        <v>42</v>
      </c>
      <c r="F70" s="23" t="s">
        <v>77</v>
      </c>
      <c r="G70" s="23" t="s">
        <v>52</v>
      </c>
      <c r="H70" s="12" t="b">
        <f t="shared" si="0"/>
        <v>0</v>
      </c>
      <c r="I70" s="22" t="s">
        <v>62</v>
      </c>
      <c r="J70" s="20" t="s">
        <v>30</v>
      </c>
      <c r="K70" s="20" t="s">
        <v>21</v>
      </c>
      <c r="L70" s="25" t="b">
        <f t="shared" si="1"/>
        <v>0</v>
      </c>
      <c r="M70" s="22" t="s">
        <v>17</v>
      </c>
      <c r="N70" s="20" t="s">
        <v>111</v>
      </c>
      <c r="O70" s="20" t="s">
        <v>168</v>
      </c>
      <c r="P70" s="25" t="b">
        <f t="shared" si="2"/>
        <v>0</v>
      </c>
    </row>
    <row r="71" spans="1:16" s="14" customFormat="1" ht="30" x14ac:dyDescent="0.25">
      <c r="A71" s="15">
        <v>45756</v>
      </c>
      <c r="B71" s="20" t="s">
        <v>47</v>
      </c>
      <c r="C71" s="16" t="s">
        <v>88</v>
      </c>
      <c r="D71" s="21" t="s">
        <v>21</v>
      </c>
      <c r="E71" s="23" t="s">
        <v>47</v>
      </c>
      <c r="F71" s="23" t="s">
        <v>51</v>
      </c>
      <c r="G71" s="23" t="s">
        <v>21</v>
      </c>
      <c r="H71" s="12">
        <f t="shared" si="0"/>
        <v>1.5</v>
      </c>
      <c r="I71" s="22" t="s">
        <v>42</v>
      </c>
      <c r="J71" s="20" t="s">
        <v>106</v>
      </c>
      <c r="K71" s="20" t="s">
        <v>168</v>
      </c>
      <c r="L71" s="25" t="b">
        <f t="shared" si="1"/>
        <v>0</v>
      </c>
      <c r="M71" s="22" t="s">
        <v>42</v>
      </c>
      <c r="N71" s="20" t="s">
        <v>106</v>
      </c>
      <c r="O71" s="20" t="s">
        <v>21</v>
      </c>
      <c r="P71" s="25">
        <f t="shared" si="2"/>
        <v>0.5</v>
      </c>
    </row>
    <row r="72" spans="1:16" s="14" customFormat="1" ht="30" x14ac:dyDescent="0.25">
      <c r="A72" s="15">
        <v>45757</v>
      </c>
      <c r="B72" s="20" t="s">
        <v>64</v>
      </c>
      <c r="C72" s="16" t="s">
        <v>38</v>
      </c>
      <c r="D72" s="21" t="s">
        <v>16</v>
      </c>
      <c r="E72" s="23" t="s">
        <v>112</v>
      </c>
      <c r="F72" s="23" t="s">
        <v>10</v>
      </c>
      <c r="G72" s="23" t="s">
        <v>11</v>
      </c>
      <c r="H72" s="12" t="b">
        <f t="shared" si="0"/>
        <v>0</v>
      </c>
      <c r="I72" s="22" t="s">
        <v>66</v>
      </c>
      <c r="J72" s="20" t="s">
        <v>26</v>
      </c>
      <c r="K72" s="20" t="s">
        <v>13</v>
      </c>
      <c r="L72" s="25" t="b">
        <f t="shared" si="1"/>
        <v>0</v>
      </c>
      <c r="M72" s="22" t="s">
        <v>17</v>
      </c>
      <c r="N72" s="20" t="s">
        <v>111</v>
      </c>
      <c r="O72" s="20" t="s">
        <v>168</v>
      </c>
      <c r="P72" s="25" t="b">
        <f t="shared" si="2"/>
        <v>0</v>
      </c>
    </row>
    <row r="73" spans="1:16" s="14" customFormat="1" ht="15.75" thickBot="1" x14ac:dyDescent="0.3">
      <c r="A73" s="52">
        <v>45758</v>
      </c>
      <c r="B73" s="40" t="s">
        <v>141</v>
      </c>
      <c r="C73" s="55" t="s">
        <v>10</v>
      </c>
      <c r="D73" s="41" t="s">
        <v>11</v>
      </c>
      <c r="E73" s="51" t="s">
        <v>145</v>
      </c>
      <c r="F73" s="51" t="s">
        <v>146</v>
      </c>
      <c r="G73" s="51" t="s">
        <v>69</v>
      </c>
      <c r="H73" s="43" t="b">
        <f t="shared" ref="H73:H136" si="3">IF(ISBLANK($B73),$S$18,IF(AND($B73=E73,$C73=F73,$D73=G73),$S$15,IF(AND($B73=E73,OR($C73=F73,$D73=G73)),$S$16+$S$17,IF(OR($B73=E73,AND($C73=F73,$D73=G73)),$S$16,IF(OR($C73=F73,$D73=G73),$S$17)))))</f>
        <v>0</v>
      </c>
      <c r="I73" s="42" t="s">
        <v>147</v>
      </c>
      <c r="J73" s="40" t="s">
        <v>133</v>
      </c>
      <c r="K73" s="40" t="s">
        <v>69</v>
      </c>
      <c r="L73" s="45" t="b">
        <f t="shared" ref="L73:L136" si="4">IF(ISBLANK($B73),$S$18,IF(AND($B73=I73,$C73=J73,$D73=K73),$S$15,IF(AND($B73=I73,OR($C73=J73,$D73=K73)),$S$16+$S$17,IF(OR($B73=I73,AND($C73=J73,$D73=K73)),$S$16,IF(OR($C73=J73,$D73=K73),$S$17)))))</f>
        <v>0</v>
      </c>
      <c r="M73" s="42" t="s">
        <v>66</v>
      </c>
      <c r="N73" s="40" t="s">
        <v>131</v>
      </c>
      <c r="O73" s="40" t="s">
        <v>34</v>
      </c>
      <c r="P73" s="45" t="b">
        <f t="shared" ref="P73:P136" si="5">IF(ISBLANK($B73),$S$18,IF(AND($B73=M73,$C73=N73,$D73=O73),$S$15,IF(AND($B73=M73,OR($C73=N73,$D73=O73)),$S$16+$S$17,IF(OR($B73=M73,AND($C73=N73,$D73=O73)),$S$16,IF(OR($C73=N73,$D73=O73),$S$17)))))</f>
        <v>0</v>
      </c>
    </row>
    <row r="74" spans="1:16" s="14" customFormat="1" ht="30.75" thickTop="1" x14ac:dyDescent="0.25">
      <c r="A74" s="33">
        <v>45761</v>
      </c>
      <c r="B74" s="48" t="s">
        <v>19</v>
      </c>
      <c r="C74" s="34" t="s">
        <v>12</v>
      </c>
      <c r="D74" s="36" t="s">
        <v>13</v>
      </c>
      <c r="E74" s="49" t="s">
        <v>29</v>
      </c>
      <c r="F74" s="49" t="s">
        <v>130</v>
      </c>
      <c r="G74" s="49" t="s">
        <v>21</v>
      </c>
      <c r="H74" s="36" t="b">
        <f t="shared" si="3"/>
        <v>0</v>
      </c>
      <c r="I74" s="47" t="s">
        <v>42</v>
      </c>
      <c r="J74" s="48" t="s">
        <v>30</v>
      </c>
      <c r="K74" s="48" t="s">
        <v>31</v>
      </c>
      <c r="L74" s="54" t="b">
        <f t="shared" si="4"/>
        <v>0</v>
      </c>
      <c r="M74" s="47" t="s">
        <v>42</v>
      </c>
      <c r="N74" s="48" t="s">
        <v>51</v>
      </c>
      <c r="O74" s="48" t="s">
        <v>13</v>
      </c>
      <c r="P74" s="54">
        <f t="shared" si="5"/>
        <v>0.5</v>
      </c>
    </row>
    <row r="75" spans="1:16" s="14" customFormat="1" ht="45" x14ac:dyDescent="0.25">
      <c r="A75" s="15">
        <v>45762</v>
      </c>
      <c r="B75" s="20" t="s">
        <v>148</v>
      </c>
      <c r="C75" s="16" t="s">
        <v>130</v>
      </c>
      <c r="D75" s="21" t="s">
        <v>90</v>
      </c>
      <c r="E75" s="23" t="s">
        <v>105</v>
      </c>
      <c r="F75" s="23" t="s">
        <v>30</v>
      </c>
      <c r="G75" s="23" t="s">
        <v>27</v>
      </c>
      <c r="H75" s="21" t="b">
        <f t="shared" si="3"/>
        <v>0</v>
      </c>
      <c r="I75" s="22" t="s">
        <v>35</v>
      </c>
      <c r="J75" s="20" t="s">
        <v>45</v>
      </c>
      <c r="K75" s="20" t="s">
        <v>90</v>
      </c>
      <c r="L75" s="56">
        <f t="shared" si="4"/>
        <v>0.5</v>
      </c>
      <c r="M75" s="22" t="s">
        <v>14</v>
      </c>
      <c r="N75" s="20" t="s">
        <v>119</v>
      </c>
      <c r="O75" s="20" t="s">
        <v>21</v>
      </c>
      <c r="P75" s="56" t="b">
        <f t="shared" si="5"/>
        <v>0</v>
      </c>
    </row>
    <row r="76" spans="1:16" s="14" customFormat="1" ht="30" x14ac:dyDescent="0.25">
      <c r="A76" s="15">
        <v>45763</v>
      </c>
      <c r="B76" s="20" t="s">
        <v>14</v>
      </c>
      <c r="C76" s="16" t="s">
        <v>119</v>
      </c>
      <c r="D76" s="21" t="s">
        <v>21</v>
      </c>
      <c r="E76" s="23" t="s">
        <v>101</v>
      </c>
      <c r="F76" s="23" t="s">
        <v>51</v>
      </c>
      <c r="G76" s="23" t="s">
        <v>31</v>
      </c>
      <c r="H76" s="21" t="b">
        <f t="shared" si="3"/>
        <v>0</v>
      </c>
      <c r="I76" s="22" t="s">
        <v>66</v>
      </c>
      <c r="J76" s="20" t="s">
        <v>30</v>
      </c>
      <c r="K76" s="20" t="s">
        <v>31</v>
      </c>
      <c r="L76" s="56" t="b">
        <f t="shared" si="4"/>
        <v>0</v>
      </c>
      <c r="M76" s="22" t="s">
        <v>42</v>
      </c>
      <c r="N76" s="20" t="s">
        <v>111</v>
      </c>
      <c r="O76" s="20" t="s">
        <v>168</v>
      </c>
      <c r="P76" s="56" t="b">
        <f t="shared" si="5"/>
        <v>0</v>
      </c>
    </row>
    <row r="77" spans="1:16" s="14" customFormat="1" ht="30.75" thickBot="1" x14ac:dyDescent="0.3">
      <c r="A77" s="52">
        <v>45764</v>
      </c>
      <c r="B77" s="40" t="s">
        <v>149</v>
      </c>
      <c r="C77" s="55" t="s">
        <v>51</v>
      </c>
      <c r="D77" s="41" t="s">
        <v>52</v>
      </c>
      <c r="E77" s="51" t="s">
        <v>8</v>
      </c>
      <c r="F77" s="51" t="s">
        <v>77</v>
      </c>
      <c r="G77" s="51" t="s">
        <v>52</v>
      </c>
      <c r="H77" s="41">
        <f t="shared" si="3"/>
        <v>0.5</v>
      </c>
      <c r="I77" s="42" t="s">
        <v>42</v>
      </c>
      <c r="J77" s="40" t="s">
        <v>26</v>
      </c>
      <c r="K77" s="40" t="s">
        <v>27</v>
      </c>
      <c r="L77" s="57" t="b">
        <f t="shared" si="4"/>
        <v>0</v>
      </c>
      <c r="M77" s="42" t="s">
        <v>35</v>
      </c>
      <c r="N77" s="40" t="s">
        <v>54</v>
      </c>
      <c r="O77" s="40" t="s">
        <v>27</v>
      </c>
      <c r="P77" s="57" t="b">
        <f t="shared" si="5"/>
        <v>0</v>
      </c>
    </row>
    <row r="78" spans="1:16" s="14" customFormat="1" ht="30.75" thickTop="1" x14ac:dyDescent="0.25">
      <c r="A78" s="33">
        <v>45782</v>
      </c>
      <c r="B78" s="48" t="s">
        <v>101</v>
      </c>
      <c r="C78" s="34" t="s">
        <v>130</v>
      </c>
      <c r="D78" s="36" t="s">
        <v>21</v>
      </c>
      <c r="E78" s="49" t="s">
        <v>47</v>
      </c>
      <c r="F78" s="49" t="s">
        <v>130</v>
      </c>
      <c r="G78" s="49" t="s">
        <v>21</v>
      </c>
      <c r="H78" s="36">
        <f t="shared" si="3"/>
        <v>1</v>
      </c>
      <c r="I78" s="47" t="s">
        <v>42</v>
      </c>
      <c r="J78" s="48" t="s">
        <v>30</v>
      </c>
      <c r="K78" s="48" t="s">
        <v>27</v>
      </c>
      <c r="L78" s="54" t="b">
        <f t="shared" si="4"/>
        <v>0</v>
      </c>
      <c r="M78" s="47" t="s">
        <v>42</v>
      </c>
      <c r="N78" s="48" t="s">
        <v>57</v>
      </c>
      <c r="O78" s="48" t="s">
        <v>21</v>
      </c>
      <c r="P78" s="54">
        <f t="shared" si="5"/>
        <v>0.5</v>
      </c>
    </row>
    <row r="79" spans="1:16" s="14" customFormat="1" ht="30" x14ac:dyDescent="0.25">
      <c r="A79" s="15">
        <v>45783</v>
      </c>
      <c r="B79" s="20" t="s">
        <v>8</v>
      </c>
      <c r="C79" s="16" t="s">
        <v>82</v>
      </c>
      <c r="D79" s="21" t="s">
        <v>168</v>
      </c>
      <c r="E79" s="23" t="s">
        <v>8</v>
      </c>
      <c r="F79" s="23" t="s">
        <v>10</v>
      </c>
      <c r="G79" s="23" t="s">
        <v>31</v>
      </c>
      <c r="H79" s="12">
        <f t="shared" si="3"/>
        <v>1</v>
      </c>
      <c r="I79" s="22" t="s">
        <v>14</v>
      </c>
      <c r="J79" s="20" t="s">
        <v>106</v>
      </c>
      <c r="K79" s="20" t="s">
        <v>90</v>
      </c>
      <c r="L79" s="25" t="b">
        <f t="shared" si="4"/>
        <v>0</v>
      </c>
      <c r="M79" s="22" t="s">
        <v>8</v>
      </c>
      <c r="N79" s="20" t="s">
        <v>77</v>
      </c>
      <c r="O79" s="20" t="s">
        <v>90</v>
      </c>
      <c r="P79" s="25">
        <f t="shared" si="5"/>
        <v>1</v>
      </c>
    </row>
    <row r="80" spans="1:16" s="14" customFormat="1" ht="30" x14ac:dyDescent="0.25">
      <c r="A80" s="15">
        <v>45784</v>
      </c>
      <c r="B80" s="20" t="s">
        <v>73</v>
      </c>
      <c r="C80" s="16" t="s">
        <v>117</v>
      </c>
      <c r="D80" s="21" t="s">
        <v>13</v>
      </c>
      <c r="E80" s="23" t="s">
        <v>29</v>
      </c>
      <c r="F80" s="23" t="s">
        <v>51</v>
      </c>
      <c r="G80" s="23" t="s">
        <v>52</v>
      </c>
      <c r="H80" s="12" t="b">
        <f t="shared" si="3"/>
        <v>0</v>
      </c>
      <c r="I80" s="22" t="s">
        <v>62</v>
      </c>
      <c r="J80" s="20" t="s">
        <v>30</v>
      </c>
      <c r="K80" s="20" t="s">
        <v>31</v>
      </c>
      <c r="L80" s="25" t="b">
        <f t="shared" si="4"/>
        <v>0</v>
      </c>
      <c r="M80" s="22" t="s">
        <v>19</v>
      </c>
      <c r="N80" s="20" t="s">
        <v>51</v>
      </c>
      <c r="O80" s="20" t="s">
        <v>13</v>
      </c>
      <c r="P80" s="25">
        <f t="shared" si="5"/>
        <v>0.5</v>
      </c>
    </row>
    <row r="81" spans="1:16" s="14" customFormat="1" ht="30" x14ac:dyDescent="0.25">
      <c r="A81" s="15">
        <v>45785</v>
      </c>
      <c r="B81" s="20" t="s">
        <v>105</v>
      </c>
      <c r="C81" s="16" t="s">
        <v>45</v>
      </c>
      <c r="D81" s="21" t="s">
        <v>27</v>
      </c>
      <c r="E81" s="23" t="s">
        <v>87</v>
      </c>
      <c r="F81" s="23" t="s">
        <v>125</v>
      </c>
      <c r="G81" s="23" t="s">
        <v>31</v>
      </c>
      <c r="H81" s="12" t="b">
        <f t="shared" si="3"/>
        <v>0</v>
      </c>
      <c r="I81" s="22" t="s">
        <v>28</v>
      </c>
      <c r="J81" s="20" t="s">
        <v>28</v>
      </c>
      <c r="K81" s="20" t="s">
        <v>28</v>
      </c>
      <c r="L81" s="25" t="b">
        <f t="shared" si="4"/>
        <v>0</v>
      </c>
      <c r="M81" s="22" t="s">
        <v>42</v>
      </c>
      <c r="N81" s="20" t="s">
        <v>77</v>
      </c>
      <c r="O81" s="20" t="s">
        <v>52</v>
      </c>
      <c r="P81" s="25" t="b">
        <f t="shared" si="5"/>
        <v>0</v>
      </c>
    </row>
    <row r="82" spans="1:16" s="14" customFormat="1" ht="15.75" thickBot="1" x14ac:dyDescent="0.3">
      <c r="A82" s="52">
        <v>45786</v>
      </c>
      <c r="B82" s="40" t="s">
        <v>141</v>
      </c>
      <c r="C82" s="55" t="s">
        <v>57</v>
      </c>
      <c r="D82" s="41" t="s">
        <v>31</v>
      </c>
      <c r="E82" s="51" t="s">
        <v>50</v>
      </c>
      <c r="F82" s="51" t="s">
        <v>33</v>
      </c>
      <c r="G82" s="51" t="s">
        <v>34</v>
      </c>
      <c r="H82" s="43" t="b">
        <f t="shared" si="3"/>
        <v>0</v>
      </c>
      <c r="I82" s="42" t="s">
        <v>66</v>
      </c>
      <c r="J82" s="40" t="s">
        <v>38</v>
      </c>
      <c r="K82" s="40" t="s">
        <v>31</v>
      </c>
      <c r="L82" s="45">
        <f t="shared" si="4"/>
        <v>0.5</v>
      </c>
      <c r="M82" s="42" t="s">
        <v>22</v>
      </c>
      <c r="N82" s="40" t="s">
        <v>10</v>
      </c>
      <c r="O82" s="40" t="s">
        <v>11</v>
      </c>
      <c r="P82" s="45" t="b">
        <f t="shared" si="5"/>
        <v>0</v>
      </c>
    </row>
    <row r="83" spans="1:16" s="14" customFormat="1" ht="30.75" thickTop="1" x14ac:dyDescent="0.25">
      <c r="A83" s="33">
        <v>45789</v>
      </c>
      <c r="B83" s="48" t="s">
        <v>113</v>
      </c>
      <c r="C83" s="34" t="s">
        <v>77</v>
      </c>
      <c r="D83" s="36" t="s">
        <v>90</v>
      </c>
      <c r="E83" s="49" t="s">
        <v>22</v>
      </c>
      <c r="F83" s="49" t="s">
        <v>102</v>
      </c>
      <c r="G83" s="49" t="s">
        <v>168</v>
      </c>
      <c r="H83" s="36" t="b">
        <f t="shared" si="3"/>
        <v>0</v>
      </c>
      <c r="I83" s="47" t="s">
        <v>47</v>
      </c>
      <c r="J83" s="48" t="s">
        <v>30</v>
      </c>
      <c r="K83" s="48" t="s">
        <v>27</v>
      </c>
      <c r="L83" s="54" t="b">
        <f t="shared" si="4"/>
        <v>0</v>
      </c>
      <c r="M83" s="47" t="s">
        <v>42</v>
      </c>
      <c r="N83" s="48" t="s">
        <v>51</v>
      </c>
      <c r="O83" s="48" t="s">
        <v>90</v>
      </c>
      <c r="P83" s="54">
        <f t="shared" si="5"/>
        <v>0.5</v>
      </c>
    </row>
    <row r="84" spans="1:16" s="14" customFormat="1" ht="30" x14ac:dyDescent="0.25">
      <c r="A84" s="15">
        <v>45790</v>
      </c>
      <c r="B84" s="20" t="s">
        <v>14</v>
      </c>
      <c r="C84" s="16" t="s">
        <v>51</v>
      </c>
      <c r="D84" s="21" t="s">
        <v>52</v>
      </c>
      <c r="E84" s="23" t="s">
        <v>87</v>
      </c>
      <c r="F84" s="23" t="s">
        <v>130</v>
      </c>
      <c r="G84" s="23" t="s">
        <v>21</v>
      </c>
      <c r="H84" s="12" t="b">
        <f t="shared" si="3"/>
        <v>0</v>
      </c>
      <c r="I84" s="22" t="s">
        <v>35</v>
      </c>
      <c r="J84" s="20" t="s">
        <v>106</v>
      </c>
      <c r="K84" s="20" t="s">
        <v>21</v>
      </c>
      <c r="L84" s="25" t="b">
        <f t="shared" si="4"/>
        <v>0</v>
      </c>
      <c r="M84" s="22" t="s">
        <v>14</v>
      </c>
      <c r="N84" s="20" t="s">
        <v>119</v>
      </c>
      <c r="O84" s="20" t="s">
        <v>21</v>
      </c>
      <c r="P84" s="25">
        <f t="shared" si="5"/>
        <v>1</v>
      </c>
    </row>
    <row r="85" spans="1:16" s="14" customFormat="1" ht="30" x14ac:dyDescent="0.25">
      <c r="A85" s="15">
        <v>45791</v>
      </c>
      <c r="B85" s="20" t="s">
        <v>87</v>
      </c>
      <c r="C85" s="16" t="s">
        <v>150</v>
      </c>
      <c r="D85" s="21" t="s">
        <v>21</v>
      </c>
      <c r="E85" s="23" t="s">
        <v>66</v>
      </c>
      <c r="F85" s="23" t="s">
        <v>57</v>
      </c>
      <c r="G85" s="23" t="s">
        <v>31</v>
      </c>
      <c r="H85" s="12" t="b">
        <f t="shared" si="3"/>
        <v>0</v>
      </c>
      <c r="I85" s="22" t="s">
        <v>145</v>
      </c>
      <c r="J85" s="20" t="s">
        <v>38</v>
      </c>
      <c r="K85" s="20" t="s">
        <v>31</v>
      </c>
      <c r="L85" s="25" t="b">
        <f t="shared" si="4"/>
        <v>0</v>
      </c>
      <c r="M85" s="22" t="s">
        <v>8</v>
      </c>
      <c r="N85" s="20" t="s">
        <v>82</v>
      </c>
      <c r="O85" s="20" t="s">
        <v>168</v>
      </c>
      <c r="P85" s="25" t="b">
        <f t="shared" si="5"/>
        <v>0</v>
      </c>
    </row>
    <row r="86" spans="1:16" s="14" customFormat="1" ht="25.5" x14ac:dyDescent="0.25">
      <c r="A86" s="15">
        <v>45792</v>
      </c>
      <c r="B86" s="20" t="s">
        <v>19</v>
      </c>
      <c r="C86" s="16" t="s">
        <v>130</v>
      </c>
      <c r="D86" s="21" t="s">
        <v>168</v>
      </c>
      <c r="E86" s="23" t="s">
        <v>35</v>
      </c>
      <c r="F86" s="23" t="s">
        <v>33</v>
      </c>
      <c r="G86" s="23" t="s">
        <v>34</v>
      </c>
      <c r="H86" s="12" t="b">
        <f t="shared" si="3"/>
        <v>0</v>
      </c>
      <c r="I86" s="22" t="s">
        <v>8</v>
      </c>
      <c r="J86" s="20" t="s">
        <v>30</v>
      </c>
      <c r="K86" s="20" t="s">
        <v>27</v>
      </c>
      <c r="L86" s="25" t="b">
        <f t="shared" si="4"/>
        <v>0</v>
      </c>
      <c r="M86" s="22" t="s">
        <v>42</v>
      </c>
      <c r="N86" s="20" t="s">
        <v>125</v>
      </c>
      <c r="O86" s="20" t="s">
        <v>31</v>
      </c>
      <c r="P86" s="25" t="b">
        <f t="shared" si="5"/>
        <v>0</v>
      </c>
    </row>
    <row r="87" spans="1:16" s="14" customFormat="1" ht="30.75" thickBot="1" x14ac:dyDescent="0.3">
      <c r="A87" s="52">
        <v>45793</v>
      </c>
      <c r="B87" s="40" t="s">
        <v>76</v>
      </c>
      <c r="C87" s="55" t="s">
        <v>57</v>
      </c>
      <c r="D87" s="41" t="s">
        <v>27</v>
      </c>
      <c r="E87" s="51" t="s">
        <v>112</v>
      </c>
      <c r="F87" s="51" t="s">
        <v>125</v>
      </c>
      <c r="G87" s="51" t="s">
        <v>31</v>
      </c>
      <c r="H87" s="43" t="b">
        <f t="shared" si="3"/>
        <v>0</v>
      </c>
      <c r="I87" s="42" t="s">
        <v>73</v>
      </c>
      <c r="J87" s="40" t="s">
        <v>38</v>
      </c>
      <c r="K87" s="40" t="s">
        <v>31</v>
      </c>
      <c r="L87" s="45" t="b">
        <f t="shared" si="4"/>
        <v>0</v>
      </c>
      <c r="M87" s="42" t="s">
        <v>50</v>
      </c>
      <c r="N87" s="40" t="s">
        <v>10</v>
      </c>
      <c r="O87" s="40" t="s">
        <v>11</v>
      </c>
      <c r="P87" s="45" t="b">
        <f t="shared" si="5"/>
        <v>0</v>
      </c>
    </row>
    <row r="88" spans="1:16" s="14" customFormat="1" ht="30.75" thickTop="1" x14ac:dyDescent="0.25">
      <c r="A88" s="33">
        <v>45796</v>
      </c>
      <c r="B88" s="48" t="s">
        <v>114</v>
      </c>
      <c r="C88" s="34" t="s">
        <v>140</v>
      </c>
      <c r="D88" s="36" t="s">
        <v>31</v>
      </c>
      <c r="E88" s="49" t="s">
        <v>101</v>
      </c>
      <c r="F88" s="49" t="s">
        <v>130</v>
      </c>
      <c r="G88" s="49" t="s">
        <v>21</v>
      </c>
      <c r="H88" s="36" t="b">
        <f t="shared" si="3"/>
        <v>0</v>
      </c>
      <c r="I88" s="47" t="s">
        <v>47</v>
      </c>
      <c r="J88" s="48" t="s">
        <v>30</v>
      </c>
      <c r="K88" s="48" t="s">
        <v>27</v>
      </c>
      <c r="L88" s="54" t="b">
        <f t="shared" si="4"/>
        <v>0</v>
      </c>
      <c r="M88" s="47" t="s">
        <v>42</v>
      </c>
      <c r="N88" s="48" t="s">
        <v>57</v>
      </c>
      <c r="O88" s="48" t="s">
        <v>21</v>
      </c>
      <c r="P88" s="54" t="b">
        <f t="shared" si="5"/>
        <v>0</v>
      </c>
    </row>
    <row r="89" spans="1:16" s="14" customFormat="1" ht="30" x14ac:dyDescent="0.25">
      <c r="A89" s="15">
        <v>45797</v>
      </c>
      <c r="B89" s="20" t="s">
        <v>73</v>
      </c>
      <c r="C89" s="16" t="s">
        <v>119</v>
      </c>
      <c r="D89" s="21" t="s">
        <v>21</v>
      </c>
      <c r="E89" s="23" t="s">
        <v>42</v>
      </c>
      <c r="F89" s="23" t="s">
        <v>77</v>
      </c>
      <c r="G89" s="23" t="s">
        <v>52</v>
      </c>
      <c r="H89" s="12" t="b">
        <f t="shared" si="3"/>
        <v>0</v>
      </c>
      <c r="I89" s="22" t="s">
        <v>35</v>
      </c>
      <c r="J89" s="20" t="s">
        <v>106</v>
      </c>
      <c r="K89" s="20" t="s">
        <v>21</v>
      </c>
      <c r="L89" s="25">
        <f t="shared" si="4"/>
        <v>0.5</v>
      </c>
      <c r="M89" s="22" t="s">
        <v>8</v>
      </c>
      <c r="N89" s="20" t="s">
        <v>10</v>
      </c>
      <c r="O89" s="20" t="s">
        <v>11</v>
      </c>
      <c r="P89" s="25" t="b">
        <f t="shared" si="5"/>
        <v>0</v>
      </c>
    </row>
    <row r="90" spans="1:16" s="14" customFormat="1" ht="30" x14ac:dyDescent="0.25">
      <c r="A90" s="15">
        <v>45798</v>
      </c>
      <c r="B90" s="20" t="s">
        <v>42</v>
      </c>
      <c r="C90" s="16" t="s">
        <v>88</v>
      </c>
      <c r="D90" s="21" t="s">
        <v>168</v>
      </c>
      <c r="E90" s="23" t="s">
        <v>62</v>
      </c>
      <c r="F90" s="23" t="s">
        <v>10</v>
      </c>
      <c r="G90" s="23" t="s">
        <v>11</v>
      </c>
      <c r="H90" s="12" t="b">
        <f t="shared" si="3"/>
        <v>0</v>
      </c>
      <c r="I90" s="22" t="s">
        <v>145</v>
      </c>
      <c r="J90" s="20" t="s">
        <v>38</v>
      </c>
      <c r="K90" s="20" t="s">
        <v>31</v>
      </c>
      <c r="L90" s="25" t="b">
        <f t="shared" si="4"/>
        <v>0</v>
      </c>
      <c r="M90" s="22" t="s">
        <v>42</v>
      </c>
      <c r="N90" s="20" t="s">
        <v>82</v>
      </c>
      <c r="O90" s="20" t="s">
        <v>168</v>
      </c>
      <c r="P90" s="25">
        <f t="shared" si="5"/>
        <v>1.5</v>
      </c>
    </row>
    <row r="91" spans="1:16" s="14" customFormat="1" ht="30" x14ac:dyDescent="0.25">
      <c r="A91" s="15">
        <v>45799</v>
      </c>
      <c r="B91" s="20" t="s">
        <v>29</v>
      </c>
      <c r="C91" s="16" t="s">
        <v>38</v>
      </c>
      <c r="D91" s="21" t="s">
        <v>16</v>
      </c>
      <c r="E91" s="23" t="s">
        <v>66</v>
      </c>
      <c r="F91" s="23" t="s">
        <v>30</v>
      </c>
      <c r="G91" s="23" t="s">
        <v>16</v>
      </c>
      <c r="H91" s="12">
        <f t="shared" si="3"/>
        <v>0.5</v>
      </c>
      <c r="I91" s="22" t="s">
        <v>8</v>
      </c>
      <c r="J91" s="20" t="s">
        <v>30</v>
      </c>
      <c r="K91" s="20" t="s">
        <v>27</v>
      </c>
      <c r="L91" s="25" t="b">
        <f t="shared" si="4"/>
        <v>0</v>
      </c>
      <c r="M91" s="22" t="s">
        <v>138</v>
      </c>
      <c r="N91" s="20" t="s">
        <v>10</v>
      </c>
      <c r="O91" s="20" t="s">
        <v>11</v>
      </c>
      <c r="P91" s="25" t="b">
        <f t="shared" si="5"/>
        <v>0</v>
      </c>
    </row>
    <row r="92" spans="1:16" s="14" customFormat="1" ht="30.75" thickBot="1" x14ac:dyDescent="0.3">
      <c r="A92" s="52">
        <v>45800</v>
      </c>
      <c r="B92" s="40" t="s">
        <v>35</v>
      </c>
      <c r="C92" s="55" t="s">
        <v>33</v>
      </c>
      <c r="D92" s="41" t="s">
        <v>34</v>
      </c>
      <c r="E92" s="51" t="s">
        <v>144</v>
      </c>
      <c r="F92" s="51" t="s">
        <v>36</v>
      </c>
      <c r="G92" s="51" t="s">
        <v>34</v>
      </c>
      <c r="H92" s="43">
        <f t="shared" si="3"/>
        <v>0.5</v>
      </c>
      <c r="I92" s="42" t="s">
        <v>73</v>
      </c>
      <c r="J92" s="40" t="s">
        <v>38</v>
      </c>
      <c r="K92" s="40" t="s">
        <v>31</v>
      </c>
      <c r="L92" s="45" t="b">
        <f t="shared" si="4"/>
        <v>0</v>
      </c>
      <c r="M92" s="42" t="s">
        <v>64</v>
      </c>
      <c r="N92" s="40" t="s">
        <v>77</v>
      </c>
      <c r="O92" s="40" t="s">
        <v>52</v>
      </c>
      <c r="P92" s="45" t="b">
        <f t="shared" si="5"/>
        <v>0</v>
      </c>
    </row>
    <row r="93" spans="1:16" s="14" customFormat="1" ht="30.75" thickTop="1" x14ac:dyDescent="0.25">
      <c r="A93" s="33">
        <v>45803</v>
      </c>
      <c r="B93" s="48" t="s">
        <v>22</v>
      </c>
      <c r="C93" s="34" t="s">
        <v>10</v>
      </c>
      <c r="D93" s="36" t="s">
        <v>31</v>
      </c>
      <c r="E93" s="49" t="s">
        <v>17</v>
      </c>
      <c r="F93" s="49" t="s">
        <v>77</v>
      </c>
      <c r="G93" s="49" t="s">
        <v>52</v>
      </c>
      <c r="H93" s="36" t="b">
        <f t="shared" si="3"/>
        <v>0</v>
      </c>
      <c r="I93" s="47" t="s">
        <v>47</v>
      </c>
      <c r="J93" s="48" t="s">
        <v>57</v>
      </c>
      <c r="K93" s="48" t="s">
        <v>31</v>
      </c>
      <c r="L93" s="54">
        <f t="shared" si="4"/>
        <v>0.5</v>
      </c>
      <c r="M93" s="47" t="s">
        <v>8</v>
      </c>
      <c r="N93" s="48" t="s">
        <v>130</v>
      </c>
      <c r="O93" s="48" t="s">
        <v>21</v>
      </c>
      <c r="P93" s="54" t="b">
        <f t="shared" si="5"/>
        <v>0</v>
      </c>
    </row>
    <row r="94" spans="1:16" s="14" customFormat="1" ht="30" x14ac:dyDescent="0.25">
      <c r="A94" s="15">
        <v>45804</v>
      </c>
      <c r="B94" s="20" t="s">
        <v>8</v>
      </c>
      <c r="C94" s="16" t="s">
        <v>77</v>
      </c>
      <c r="D94" s="21" t="s">
        <v>21</v>
      </c>
      <c r="E94" s="23" t="s">
        <v>105</v>
      </c>
      <c r="F94" s="23" t="s">
        <v>51</v>
      </c>
      <c r="G94" s="23" t="s">
        <v>21</v>
      </c>
      <c r="H94" s="12">
        <f t="shared" si="3"/>
        <v>0.5</v>
      </c>
      <c r="I94" s="22" t="s">
        <v>66</v>
      </c>
      <c r="J94" s="20" t="s">
        <v>106</v>
      </c>
      <c r="K94" s="20" t="s">
        <v>21</v>
      </c>
      <c r="L94" s="25">
        <f t="shared" si="4"/>
        <v>0.5</v>
      </c>
      <c r="M94" s="22" t="s">
        <v>87</v>
      </c>
      <c r="N94" s="20" t="s">
        <v>82</v>
      </c>
      <c r="O94" s="20" t="s">
        <v>168</v>
      </c>
      <c r="P94" s="25" t="b">
        <f t="shared" si="5"/>
        <v>0</v>
      </c>
    </row>
    <row r="95" spans="1:16" s="14" customFormat="1" ht="30" x14ac:dyDescent="0.25">
      <c r="A95" s="15">
        <v>45805</v>
      </c>
      <c r="B95" s="20" t="s">
        <v>101</v>
      </c>
      <c r="C95" s="16" t="s">
        <v>45</v>
      </c>
      <c r="D95" s="21" t="s">
        <v>90</v>
      </c>
      <c r="E95" s="23" t="s">
        <v>14</v>
      </c>
      <c r="F95" s="23" t="s">
        <v>106</v>
      </c>
      <c r="G95" s="23" t="s">
        <v>168</v>
      </c>
      <c r="H95" s="12" t="b">
        <f t="shared" si="3"/>
        <v>0</v>
      </c>
      <c r="I95" s="22" t="s">
        <v>105</v>
      </c>
      <c r="J95" s="20" t="s">
        <v>57</v>
      </c>
      <c r="K95" s="20" t="s">
        <v>27</v>
      </c>
      <c r="L95" s="25" t="b">
        <f t="shared" si="4"/>
        <v>0</v>
      </c>
      <c r="M95" s="22" t="s">
        <v>76</v>
      </c>
      <c r="N95" s="20" t="s">
        <v>51</v>
      </c>
      <c r="O95" s="20" t="s">
        <v>90</v>
      </c>
      <c r="P95" s="25">
        <f t="shared" si="5"/>
        <v>0.5</v>
      </c>
    </row>
    <row r="96" spans="1:16" s="14" customFormat="1" ht="30" x14ac:dyDescent="0.25">
      <c r="A96" s="15">
        <v>45806</v>
      </c>
      <c r="B96" s="20" t="s">
        <v>47</v>
      </c>
      <c r="C96" s="16" t="s">
        <v>82</v>
      </c>
      <c r="D96" s="21" t="s">
        <v>168</v>
      </c>
      <c r="E96" s="23" t="s">
        <v>87</v>
      </c>
      <c r="F96" s="23" t="s">
        <v>129</v>
      </c>
      <c r="G96" s="23" t="s">
        <v>21</v>
      </c>
      <c r="H96" s="12" t="b">
        <f t="shared" si="3"/>
        <v>0</v>
      </c>
      <c r="I96" s="22" t="s">
        <v>138</v>
      </c>
      <c r="J96" s="20" t="s">
        <v>117</v>
      </c>
      <c r="K96" s="20" t="s">
        <v>13</v>
      </c>
      <c r="L96" s="25" t="b">
        <f t="shared" si="4"/>
        <v>0</v>
      </c>
      <c r="M96" s="22" t="s">
        <v>28</v>
      </c>
      <c r="N96" s="20" t="s">
        <v>28</v>
      </c>
      <c r="O96" s="20" t="s">
        <v>28</v>
      </c>
      <c r="P96" s="25" t="b">
        <f t="shared" si="5"/>
        <v>0</v>
      </c>
    </row>
    <row r="97" spans="1:16" s="14" customFormat="1" ht="30.75" thickBot="1" x14ac:dyDescent="0.3">
      <c r="A97" s="52">
        <v>45807</v>
      </c>
      <c r="B97" s="40" t="s">
        <v>105</v>
      </c>
      <c r="C97" s="55" t="s">
        <v>51</v>
      </c>
      <c r="D97" s="41" t="s">
        <v>13</v>
      </c>
      <c r="E97" s="51" t="s">
        <v>29</v>
      </c>
      <c r="F97" s="51" t="s">
        <v>125</v>
      </c>
      <c r="G97" s="51" t="s">
        <v>11</v>
      </c>
      <c r="H97" s="43" t="b">
        <f t="shared" si="3"/>
        <v>0</v>
      </c>
      <c r="I97" s="42" t="s">
        <v>87</v>
      </c>
      <c r="J97" s="40" t="s">
        <v>125</v>
      </c>
      <c r="K97" s="40" t="s">
        <v>31</v>
      </c>
      <c r="L97" s="45" t="b">
        <f t="shared" si="4"/>
        <v>0</v>
      </c>
      <c r="M97" s="42" t="s">
        <v>28</v>
      </c>
      <c r="N97" s="40" t="s">
        <v>28</v>
      </c>
      <c r="O97" s="40" t="s">
        <v>28</v>
      </c>
      <c r="P97" s="45" t="b">
        <f t="shared" si="5"/>
        <v>0</v>
      </c>
    </row>
    <row r="98" spans="1:16" s="14" customFormat="1" ht="30.75" thickTop="1" x14ac:dyDescent="0.25">
      <c r="A98" s="33">
        <v>45811</v>
      </c>
      <c r="B98" s="48" t="s">
        <v>76</v>
      </c>
      <c r="C98" s="34" t="s">
        <v>74</v>
      </c>
      <c r="D98" s="36" t="s">
        <v>27</v>
      </c>
      <c r="E98" s="49" t="s">
        <v>17</v>
      </c>
      <c r="F98" s="49" t="s">
        <v>130</v>
      </c>
      <c r="G98" s="49" t="s">
        <v>31</v>
      </c>
      <c r="H98" s="36" t="b">
        <f t="shared" si="3"/>
        <v>0</v>
      </c>
      <c r="I98" s="47" t="s">
        <v>42</v>
      </c>
      <c r="J98" s="48" t="s">
        <v>57</v>
      </c>
      <c r="K98" s="48" t="s">
        <v>31</v>
      </c>
      <c r="L98" s="54" t="b">
        <f t="shared" si="4"/>
        <v>0</v>
      </c>
      <c r="M98" s="47" t="s">
        <v>35</v>
      </c>
      <c r="N98" s="48" t="s">
        <v>130</v>
      </c>
      <c r="O98" s="48" t="s">
        <v>21</v>
      </c>
      <c r="P98" s="54" t="b">
        <f t="shared" si="5"/>
        <v>0</v>
      </c>
    </row>
    <row r="99" spans="1:16" s="14" customFormat="1" ht="48" x14ac:dyDescent="0.25">
      <c r="A99" s="15">
        <v>45812</v>
      </c>
      <c r="B99" s="58" t="s">
        <v>115</v>
      </c>
      <c r="C99" s="16" t="s">
        <v>77</v>
      </c>
      <c r="D99" s="21" t="s">
        <v>168</v>
      </c>
      <c r="E99" s="23" t="s">
        <v>14</v>
      </c>
      <c r="F99" s="23" t="s">
        <v>30</v>
      </c>
      <c r="G99" s="23" t="s">
        <v>52</v>
      </c>
      <c r="H99" s="12" t="b">
        <f t="shared" si="3"/>
        <v>0</v>
      </c>
      <c r="I99" s="22" t="s">
        <v>17</v>
      </c>
      <c r="J99" s="20" t="s">
        <v>12</v>
      </c>
      <c r="K99" s="20" t="s">
        <v>168</v>
      </c>
      <c r="L99" s="25">
        <f t="shared" si="4"/>
        <v>0.5</v>
      </c>
      <c r="M99" s="22" t="s">
        <v>14</v>
      </c>
      <c r="N99" s="20" t="s">
        <v>77</v>
      </c>
      <c r="O99" s="20" t="s">
        <v>168</v>
      </c>
      <c r="P99" s="25">
        <f t="shared" si="5"/>
        <v>1</v>
      </c>
    </row>
    <row r="100" spans="1:16" s="14" customFormat="1" ht="30" x14ac:dyDescent="0.25">
      <c r="A100" s="15">
        <v>45813</v>
      </c>
      <c r="B100" s="20" t="s">
        <v>113</v>
      </c>
      <c r="C100" s="16" t="s">
        <v>36</v>
      </c>
      <c r="D100" s="21" t="s">
        <v>34</v>
      </c>
      <c r="E100" s="23" t="s">
        <v>42</v>
      </c>
      <c r="F100" s="23" t="s">
        <v>125</v>
      </c>
      <c r="G100" s="23" t="s">
        <v>31</v>
      </c>
      <c r="H100" s="12" t="b">
        <f t="shared" si="3"/>
        <v>0</v>
      </c>
      <c r="I100" s="22" t="s">
        <v>35</v>
      </c>
      <c r="J100" s="20" t="s">
        <v>38</v>
      </c>
      <c r="K100" s="20" t="s">
        <v>31</v>
      </c>
      <c r="L100" s="25" t="b">
        <f t="shared" si="4"/>
        <v>0</v>
      </c>
      <c r="M100" s="22" t="s">
        <v>42</v>
      </c>
      <c r="N100" s="20" t="s">
        <v>130</v>
      </c>
      <c r="O100" s="20" t="s">
        <v>21</v>
      </c>
      <c r="P100" s="25" t="b">
        <f t="shared" si="5"/>
        <v>0</v>
      </c>
    </row>
    <row r="101" spans="1:16" s="14" customFormat="1" ht="30.75" thickBot="1" x14ac:dyDescent="0.3">
      <c r="A101" s="52">
        <v>45814</v>
      </c>
      <c r="B101" s="40" t="s">
        <v>47</v>
      </c>
      <c r="C101" s="55" t="s">
        <v>151</v>
      </c>
      <c r="D101" s="41" t="s">
        <v>16</v>
      </c>
      <c r="E101" s="51" t="s">
        <v>87</v>
      </c>
      <c r="F101" s="51" t="s">
        <v>10</v>
      </c>
      <c r="G101" s="51" t="s">
        <v>11</v>
      </c>
      <c r="H101" s="43" t="b">
        <f t="shared" si="3"/>
        <v>0</v>
      </c>
      <c r="I101" s="42" t="s">
        <v>73</v>
      </c>
      <c r="J101" s="40" t="s">
        <v>15</v>
      </c>
      <c r="K101" s="40" t="s">
        <v>69</v>
      </c>
      <c r="L101" s="45" t="b">
        <f t="shared" si="4"/>
        <v>0</v>
      </c>
      <c r="M101" s="42" t="s">
        <v>35</v>
      </c>
      <c r="N101" s="40" t="s">
        <v>51</v>
      </c>
      <c r="O101" s="40" t="s">
        <v>90</v>
      </c>
      <c r="P101" s="45" t="b">
        <f t="shared" si="5"/>
        <v>0</v>
      </c>
    </row>
    <row r="102" spans="1:16" s="14" customFormat="1" ht="30.75" thickTop="1" x14ac:dyDescent="0.25">
      <c r="A102" s="33">
        <v>45818</v>
      </c>
      <c r="B102" s="48" t="s">
        <v>152</v>
      </c>
      <c r="C102" s="34" t="s">
        <v>130</v>
      </c>
      <c r="D102" s="36" t="s">
        <v>21</v>
      </c>
      <c r="E102" s="49" t="s">
        <v>42</v>
      </c>
      <c r="F102" s="49" t="s">
        <v>130</v>
      </c>
      <c r="G102" s="49" t="s">
        <v>21</v>
      </c>
      <c r="H102" s="36">
        <f t="shared" si="3"/>
        <v>1</v>
      </c>
      <c r="I102" s="47" t="s">
        <v>42</v>
      </c>
      <c r="J102" s="48" t="s">
        <v>57</v>
      </c>
      <c r="K102" s="48" t="s">
        <v>31</v>
      </c>
      <c r="L102" s="54" t="b">
        <f t="shared" si="4"/>
        <v>0</v>
      </c>
      <c r="M102" s="47" t="s">
        <v>29</v>
      </c>
      <c r="N102" s="48" t="s">
        <v>130</v>
      </c>
      <c r="O102" s="48" t="s">
        <v>21</v>
      </c>
      <c r="P102" s="54">
        <f t="shared" si="5"/>
        <v>1</v>
      </c>
    </row>
    <row r="103" spans="1:16" s="14" customFormat="1" ht="30" x14ac:dyDescent="0.25">
      <c r="A103" s="15">
        <v>45819</v>
      </c>
      <c r="B103" s="20" t="s">
        <v>42</v>
      </c>
      <c r="C103" s="16" t="s">
        <v>30</v>
      </c>
      <c r="D103" s="21" t="s">
        <v>31</v>
      </c>
      <c r="E103" s="23" t="s">
        <v>64</v>
      </c>
      <c r="F103" s="23" t="s">
        <v>57</v>
      </c>
      <c r="G103" s="23" t="s">
        <v>31</v>
      </c>
      <c r="H103" s="12">
        <f t="shared" si="3"/>
        <v>0.5</v>
      </c>
      <c r="I103" s="22" t="s">
        <v>153</v>
      </c>
      <c r="J103" s="20" t="s">
        <v>12</v>
      </c>
      <c r="K103" s="20" t="s">
        <v>168</v>
      </c>
      <c r="L103" s="25" t="b">
        <f t="shared" si="4"/>
        <v>0</v>
      </c>
      <c r="M103" s="22" t="s">
        <v>154</v>
      </c>
      <c r="N103" s="20" t="s">
        <v>82</v>
      </c>
      <c r="O103" s="20" t="s">
        <v>168</v>
      </c>
      <c r="P103" s="25" t="b">
        <f t="shared" si="5"/>
        <v>0</v>
      </c>
    </row>
    <row r="104" spans="1:16" s="14" customFormat="1" ht="30" x14ac:dyDescent="0.25">
      <c r="A104" s="15">
        <v>45820</v>
      </c>
      <c r="B104" s="20" t="s">
        <v>29</v>
      </c>
      <c r="C104" s="16" t="s">
        <v>155</v>
      </c>
      <c r="D104" s="21" t="s">
        <v>11</v>
      </c>
      <c r="E104" s="23" t="s">
        <v>112</v>
      </c>
      <c r="F104" s="23" t="s">
        <v>106</v>
      </c>
      <c r="G104" s="23" t="s">
        <v>13</v>
      </c>
      <c r="H104" s="12" t="b">
        <f t="shared" si="3"/>
        <v>0</v>
      </c>
      <c r="I104" s="22" t="s">
        <v>66</v>
      </c>
      <c r="J104" s="20" t="s">
        <v>10</v>
      </c>
      <c r="K104" s="20" t="s">
        <v>27</v>
      </c>
      <c r="L104" s="25" t="b">
        <f t="shared" si="4"/>
        <v>0</v>
      </c>
      <c r="M104" s="22" t="s">
        <v>87</v>
      </c>
      <c r="N104" s="20" t="s">
        <v>51</v>
      </c>
      <c r="O104" s="20" t="s">
        <v>90</v>
      </c>
      <c r="P104" s="25" t="b">
        <f t="shared" si="5"/>
        <v>0</v>
      </c>
    </row>
    <row r="105" spans="1:16" s="14" customFormat="1" ht="30.75" thickBot="1" x14ac:dyDescent="0.3">
      <c r="A105" s="52">
        <v>45821</v>
      </c>
      <c r="B105" s="40" t="s">
        <v>64</v>
      </c>
      <c r="C105" s="55" t="s">
        <v>57</v>
      </c>
      <c r="D105" s="41" t="s">
        <v>27</v>
      </c>
      <c r="E105" s="51" t="s">
        <v>154</v>
      </c>
      <c r="F105" s="51" t="s">
        <v>82</v>
      </c>
      <c r="G105" s="51" t="s">
        <v>168</v>
      </c>
      <c r="H105" s="43" t="b">
        <f t="shared" si="3"/>
        <v>0</v>
      </c>
      <c r="I105" s="42" t="s">
        <v>154</v>
      </c>
      <c r="J105" s="40" t="s">
        <v>38</v>
      </c>
      <c r="K105" s="40" t="s">
        <v>31</v>
      </c>
      <c r="L105" s="45" t="b">
        <f t="shared" si="4"/>
        <v>0</v>
      </c>
      <c r="M105" s="42" t="s">
        <v>17</v>
      </c>
      <c r="N105" s="40" t="s">
        <v>156</v>
      </c>
      <c r="O105" s="40" t="s">
        <v>69</v>
      </c>
      <c r="P105" s="45" t="b">
        <f t="shared" si="5"/>
        <v>0</v>
      </c>
    </row>
    <row r="106" spans="1:16" s="14" customFormat="1" ht="30.75" thickTop="1" x14ac:dyDescent="0.25">
      <c r="A106" s="33">
        <v>45824</v>
      </c>
      <c r="B106" s="48" t="s">
        <v>22</v>
      </c>
      <c r="C106" s="34" t="s">
        <v>10</v>
      </c>
      <c r="D106" s="36" t="s">
        <v>11</v>
      </c>
      <c r="E106" s="49" t="s">
        <v>8</v>
      </c>
      <c r="F106" s="49" t="s">
        <v>26</v>
      </c>
      <c r="G106" s="49" t="s">
        <v>52</v>
      </c>
      <c r="H106" s="36" t="b">
        <f t="shared" si="3"/>
        <v>0</v>
      </c>
      <c r="I106" s="47" t="s">
        <v>19</v>
      </c>
      <c r="J106" s="34" t="s">
        <v>10</v>
      </c>
      <c r="K106" s="48" t="s">
        <v>21</v>
      </c>
      <c r="L106" s="54">
        <f t="shared" si="4"/>
        <v>0.5</v>
      </c>
      <c r="M106" s="47" t="s">
        <v>22</v>
      </c>
      <c r="N106" s="48" t="s">
        <v>130</v>
      </c>
      <c r="O106" s="48" t="s">
        <v>21</v>
      </c>
      <c r="P106" s="54">
        <f t="shared" si="5"/>
        <v>1</v>
      </c>
    </row>
    <row r="107" spans="1:16" s="14" customFormat="1" ht="30" x14ac:dyDescent="0.25">
      <c r="A107" s="15">
        <v>45825</v>
      </c>
      <c r="B107" s="20" t="s">
        <v>101</v>
      </c>
      <c r="C107" s="16" t="s">
        <v>74</v>
      </c>
      <c r="D107" s="21" t="s">
        <v>31</v>
      </c>
      <c r="E107" s="23" t="s">
        <v>105</v>
      </c>
      <c r="F107" s="23" t="s">
        <v>77</v>
      </c>
      <c r="G107" s="23" t="s">
        <v>27</v>
      </c>
      <c r="H107" s="12" t="b">
        <f t="shared" si="3"/>
        <v>0</v>
      </c>
      <c r="I107" s="22" t="s">
        <v>101</v>
      </c>
      <c r="J107" s="20" t="s">
        <v>54</v>
      </c>
      <c r="K107" s="20" t="s">
        <v>31</v>
      </c>
      <c r="L107" s="25">
        <f t="shared" si="4"/>
        <v>1.5</v>
      </c>
      <c r="M107" s="22" t="s">
        <v>154</v>
      </c>
      <c r="N107" s="20" t="s">
        <v>82</v>
      </c>
      <c r="O107" s="20" t="s">
        <v>168</v>
      </c>
      <c r="P107" s="25" t="b">
        <f t="shared" si="5"/>
        <v>0</v>
      </c>
    </row>
    <row r="108" spans="1:16" s="14" customFormat="1" ht="30" x14ac:dyDescent="0.25">
      <c r="A108" s="15">
        <v>45826</v>
      </c>
      <c r="B108" s="20" t="s">
        <v>8</v>
      </c>
      <c r="C108" s="16" t="s">
        <v>57</v>
      </c>
      <c r="D108" s="21" t="s">
        <v>174</v>
      </c>
      <c r="E108" s="23" t="s">
        <v>87</v>
      </c>
      <c r="F108" s="23" t="s">
        <v>82</v>
      </c>
      <c r="G108" s="23" t="s">
        <v>21</v>
      </c>
      <c r="H108" s="12" t="b">
        <f t="shared" si="3"/>
        <v>0</v>
      </c>
      <c r="I108" s="22" t="s">
        <v>8</v>
      </c>
      <c r="J108" s="20" t="s">
        <v>26</v>
      </c>
      <c r="K108" s="20" t="s">
        <v>21</v>
      </c>
      <c r="L108" s="25">
        <f t="shared" si="4"/>
        <v>1</v>
      </c>
      <c r="M108" s="22" t="s">
        <v>157</v>
      </c>
      <c r="N108" s="20" t="s">
        <v>119</v>
      </c>
      <c r="O108" s="20" t="s">
        <v>21</v>
      </c>
      <c r="P108" s="25" t="b">
        <f t="shared" si="5"/>
        <v>0</v>
      </c>
    </row>
    <row r="109" spans="1:16" s="14" customFormat="1" ht="30" x14ac:dyDescent="0.25">
      <c r="A109" s="15">
        <v>45827</v>
      </c>
      <c r="B109" s="20" t="s">
        <v>105</v>
      </c>
      <c r="C109" s="16" t="s">
        <v>38</v>
      </c>
      <c r="D109" s="21" t="s">
        <v>16</v>
      </c>
      <c r="E109" s="23" t="s">
        <v>14</v>
      </c>
      <c r="F109" s="23" t="s">
        <v>54</v>
      </c>
      <c r="G109" s="23" t="s">
        <v>27</v>
      </c>
      <c r="H109" s="12" t="b">
        <f t="shared" si="3"/>
        <v>0</v>
      </c>
      <c r="I109" s="22" t="s">
        <v>87</v>
      </c>
      <c r="J109" s="20" t="s">
        <v>77</v>
      </c>
      <c r="K109" s="20" t="s">
        <v>90</v>
      </c>
      <c r="L109" s="25" t="b">
        <f t="shared" si="4"/>
        <v>0</v>
      </c>
      <c r="M109" s="22" t="s">
        <v>76</v>
      </c>
      <c r="N109" s="20" t="s">
        <v>51</v>
      </c>
      <c r="O109" s="20" t="s">
        <v>90</v>
      </c>
      <c r="P109" s="25" t="b">
        <f t="shared" si="5"/>
        <v>0</v>
      </c>
    </row>
    <row r="110" spans="1:16" s="14" customFormat="1" ht="26.25" thickBot="1" x14ac:dyDescent="0.3">
      <c r="A110" s="52">
        <v>45828</v>
      </c>
      <c r="B110" s="40" t="s">
        <v>35</v>
      </c>
      <c r="C110" s="55" t="s">
        <v>82</v>
      </c>
      <c r="D110" s="41" t="s">
        <v>21</v>
      </c>
      <c r="E110" s="51" t="s">
        <v>154</v>
      </c>
      <c r="F110" s="51" t="s">
        <v>77</v>
      </c>
      <c r="G110" s="51" t="s">
        <v>69</v>
      </c>
      <c r="H110" s="43" t="b">
        <f t="shared" si="3"/>
        <v>0</v>
      </c>
      <c r="I110" s="40" t="s">
        <v>47</v>
      </c>
      <c r="J110" s="20" t="s">
        <v>45</v>
      </c>
      <c r="K110" s="20" t="s">
        <v>27</v>
      </c>
      <c r="L110" s="45" t="b">
        <f t="shared" si="4"/>
        <v>0</v>
      </c>
      <c r="M110" s="42" t="s">
        <v>157</v>
      </c>
      <c r="N110" s="40" t="s">
        <v>156</v>
      </c>
      <c r="O110" s="40" t="s">
        <v>69</v>
      </c>
      <c r="P110" s="45" t="b">
        <f t="shared" si="5"/>
        <v>0</v>
      </c>
    </row>
    <row r="111" spans="1:16" s="14" customFormat="1" ht="30.75" thickTop="1" x14ac:dyDescent="0.25">
      <c r="A111" s="33">
        <v>45831</v>
      </c>
      <c r="B111" s="48" t="s">
        <v>113</v>
      </c>
      <c r="C111" s="34" t="s">
        <v>119</v>
      </c>
      <c r="D111" s="36" t="s">
        <v>21</v>
      </c>
      <c r="E111" s="49" t="s">
        <v>113</v>
      </c>
      <c r="F111" s="49" t="s">
        <v>30</v>
      </c>
      <c r="G111" s="49" t="s">
        <v>31</v>
      </c>
      <c r="H111" s="36">
        <f t="shared" si="3"/>
        <v>1</v>
      </c>
      <c r="I111" s="47" t="s">
        <v>153</v>
      </c>
      <c r="J111" s="48" t="s">
        <v>12</v>
      </c>
      <c r="K111" s="48" t="s">
        <v>168</v>
      </c>
      <c r="L111" s="54" t="b">
        <f t="shared" si="4"/>
        <v>0</v>
      </c>
      <c r="M111" s="47" t="s">
        <v>157</v>
      </c>
      <c r="N111" s="48" t="s">
        <v>130</v>
      </c>
      <c r="O111" s="48" t="s">
        <v>21</v>
      </c>
      <c r="P111" s="54">
        <f t="shared" si="5"/>
        <v>0.5</v>
      </c>
    </row>
    <row r="112" spans="1:16" s="14" customFormat="1" ht="30" x14ac:dyDescent="0.25">
      <c r="A112" s="15">
        <v>45832</v>
      </c>
      <c r="B112" s="20" t="s">
        <v>73</v>
      </c>
      <c r="C112" s="16" t="s">
        <v>77</v>
      </c>
      <c r="D112" s="21" t="s">
        <v>90</v>
      </c>
      <c r="E112" s="23" t="s">
        <v>64</v>
      </c>
      <c r="F112" s="23" t="s">
        <v>77</v>
      </c>
      <c r="G112" s="23" t="s">
        <v>90</v>
      </c>
      <c r="H112" s="12">
        <f t="shared" si="3"/>
        <v>1</v>
      </c>
      <c r="I112" s="22" t="s">
        <v>73</v>
      </c>
      <c r="J112" s="20" t="s">
        <v>119</v>
      </c>
      <c r="K112" s="20" t="s">
        <v>21</v>
      </c>
      <c r="L112" s="25">
        <f t="shared" si="4"/>
        <v>1</v>
      </c>
      <c r="M112" s="22" t="s">
        <v>154</v>
      </c>
      <c r="N112" s="20" t="s">
        <v>57</v>
      </c>
      <c r="O112" s="20" t="s">
        <v>27</v>
      </c>
      <c r="P112" s="25" t="b">
        <f t="shared" si="5"/>
        <v>0</v>
      </c>
    </row>
    <row r="113" spans="1:16" s="14" customFormat="1" ht="45" x14ac:dyDescent="0.25">
      <c r="A113" s="15">
        <v>45833</v>
      </c>
      <c r="B113" s="20" t="s">
        <v>158</v>
      </c>
      <c r="C113" s="16" t="s">
        <v>140</v>
      </c>
      <c r="D113" s="21" t="s">
        <v>31</v>
      </c>
      <c r="E113" s="23" t="s">
        <v>42</v>
      </c>
      <c r="F113" s="23" t="s">
        <v>54</v>
      </c>
      <c r="G113" s="23" t="s">
        <v>27</v>
      </c>
      <c r="H113" s="12" t="b">
        <f t="shared" si="3"/>
        <v>0</v>
      </c>
      <c r="I113" s="22" t="s">
        <v>42</v>
      </c>
      <c r="J113" s="20" t="s">
        <v>88</v>
      </c>
      <c r="K113" s="20" t="s">
        <v>168</v>
      </c>
      <c r="L113" s="25" t="b">
        <f t="shared" si="4"/>
        <v>0</v>
      </c>
      <c r="M113" s="22" t="s">
        <v>153</v>
      </c>
      <c r="N113" s="20" t="s">
        <v>36</v>
      </c>
      <c r="O113" s="20" t="s">
        <v>34</v>
      </c>
      <c r="P113" s="25" t="b">
        <f t="shared" si="5"/>
        <v>0</v>
      </c>
    </row>
    <row r="114" spans="1:16" s="14" customFormat="1" ht="30" x14ac:dyDescent="0.25">
      <c r="A114" s="15">
        <v>45834</v>
      </c>
      <c r="B114" s="20" t="s">
        <v>159</v>
      </c>
      <c r="C114" s="16" t="s">
        <v>57</v>
      </c>
      <c r="D114" s="21" t="s">
        <v>27</v>
      </c>
      <c r="E114" s="23" t="s">
        <v>105</v>
      </c>
      <c r="F114" s="23" t="s">
        <v>38</v>
      </c>
      <c r="G114" s="23" t="s">
        <v>16</v>
      </c>
      <c r="H114" s="12" t="b">
        <f t="shared" si="3"/>
        <v>0</v>
      </c>
      <c r="I114" s="22" t="s">
        <v>29</v>
      </c>
      <c r="J114" s="20" t="s">
        <v>38</v>
      </c>
      <c r="K114" s="20" t="s">
        <v>16</v>
      </c>
      <c r="L114" s="25" t="b">
        <f t="shared" si="4"/>
        <v>0</v>
      </c>
      <c r="M114" s="22" t="s">
        <v>157</v>
      </c>
      <c r="N114" s="20" t="s">
        <v>10</v>
      </c>
      <c r="O114" s="20" t="s">
        <v>11</v>
      </c>
      <c r="P114" s="25" t="b">
        <f t="shared" si="5"/>
        <v>0</v>
      </c>
    </row>
    <row r="115" spans="1:16" s="14" customFormat="1" ht="39" thickBot="1" x14ac:dyDescent="0.3">
      <c r="A115" s="52">
        <v>45835</v>
      </c>
      <c r="B115" s="40" t="s">
        <v>64</v>
      </c>
      <c r="C115" s="55" t="s">
        <v>160</v>
      </c>
      <c r="D115" s="41" t="s">
        <v>52</v>
      </c>
      <c r="E115" s="51" t="s">
        <v>87</v>
      </c>
      <c r="F115" s="51" t="s">
        <v>102</v>
      </c>
      <c r="G115" s="51" t="s">
        <v>168</v>
      </c>
      <c r="H115" s="43" t="b">
        <f t="shared" si="3"/>
        <v>0</v>
      </c>
      <c r="I115" s="42" t="s">
        <v>35</v>
      </c>
      <c r="J115" s="40" t="s">
        <v>33</v>
      </c>
      <c r="K115" s="40" t="s">
        <v>34</v>
      </c>
      <c r="L115" s="45" t="b">
        <f t="shared" si="4"/>
        <v>0</v>
      </c>
      <c r="M115" s="42" t="s">
        <v>153</v>
      </c>
      <c r="N115" s="40" t="s">
        <v>38</v>
      </c>
      <c r="O115" s="40" t="s">
        <v>16</v>
      </c>
      <c r="P115" s="45" t="b">
        <f t="shared" si="5"/>
        <v>0</v>
      </c>
    </row>
    <row r="116" spans="1:16" s="14" customFormat="1" ht="30.75" thickTop="1" x14ac:dyDescent="0.25">
      <c r="A116" s="33">
        <v>45838</v>
      </c>
      <c r="B116" s="48" t="s">
        <v>161</v>
      </c>
      <c r="C116" s="34" t="s">
        <v>151</v>
      </c>
      <c r="D116" s="36" t="s">
        <v>16</v>
      </c>
      <c r="E116" s="49" t="s">
        <v>42</v>
      </c>
      <c r="F116" s="49" t="s">
        <v>130</v>
      </c>
      <c r="G116" s="49" t="s">
        <v>21</v>
      </c>
      <c r="H116" s="36" t="b">
        <f t="shared" si="3"/>
        <v>0</v>
      </c>
      <c r="I116" s="47" t="s">
        <v>113</v>
      </c>
      <c r="J116" s="48" t="s">
        <v>77</v>
      </c>
      <c r="K116" s="48" t="s">
        <v>90</v>
      </c>
      <c r="L116" s="54" t="b">
        <f t="shared" si="4"/>
        <v>0</v>
      </c>
      <c r="M116" s="47" t="s">
        <v>17</v>
      </c>
      <c r="N116" s="48" t="s">
        <v>10</v>
      </c>
      <c r="O116" s="48" t="s">
        <v>11</v>
      </c>
      <c r="P116" s="54" t="b">
        <f t="shared" si="5"/>
        <v>0</v>
      </c>
    </row>
    <row r="117" spans="1:16" s="14" customFormat="1" ht="30" x14ac:dyDescent="0.25">
      <c r="A117" s="15">
        <v>45839</v>
      </c>
      <c r="B117" s="20" t="s">
        <v>162</v>
      </c>
      <c r="C117" s="16" t="s">
        <v>163</v>
      </c>
      <c r="D117" s="21" t="s">
        <v>27</v>
      </c>
      <c r="E117" s="23" t="s">
        <v>105</v>
      </c>
      <c r="F117" s="23" t="s">
        <v>51</v>
      </c>
      <c r="G117" s="23" t="s">
        <v>90</v>
      </c>
      <c r="H117" s="12" t="b">
        <f t="shared" si="3"/>
        <v>0</v>
      </c>
      <c r="I117" s="22" t="s">
        <v>14</v>
      </c>
      <c r="J117" s="20" t="s">
        <v>51</v>
      </c>
      <c r="K117" s="20" t="s">
        <v>52</v>
      </c>
      <c r="L117" s="25" t="b">
        <f t="shared" si="4"/>
        <v>0</v>
      </c>
      <c r="M117" s="22" t="s">
        <v>8</v>
      </c>
      <c r="N117" s="20" t="s">
        <v>130</v>
      </c>
      <c r="O117" s="20" t="s">
        <v>21</v>
      </c>
      <c r="P117" s="25" t="b">
        <f t="shared" si="5"/>
        <v>0</v>
      </c>
    </row>
    <row r="118" spans="1:16" s="14" customFormat="1" ht="45" x14ac:dyDescent="0.25">
      <c r="A118" s="15">
        <v>45840</v>
      </c>
      <c r="B118" s="20" t="s">
        <v>164</v>
      </c>
      <c r="C118" s="16" t="s">
        <v>45</v>
      </c>
      <c r="D118" s="21" t="s">
        <v>168</v>
      </c>
      <c r="E118" s="23" t="s">
        <v>14</v>
      </c>
      <c r="F118" s="23" t="s">
        <v>30</v>
      </c>
      <c r="G118" s="23" t="s">
        <v>31</v>
      </c>
      <c r="H118" s="12" t="b">
        <f t="shared" si="3"/>
        <v>0</v>
      </c>
      <c r="I118" s="22" t="s">
        <v>87</v>
      </c>
      <c r="J118" s="20" t="s">
        <v>150</v>
      </c>
      <c r="K118" s="20" t="s">
        <v>69</v>
      </c>
      <c r="L118" s="25" t="b">
        <f t="shared" si="4"/>
        <v>0</v>
      </c>
      <c r="M118" s="22" t="s">
        <v>165</v>
      </c>
      <c r="N118" s="20" t="s">
        <v>82</v>
      </c>
      <c r="O118" s="20" t="s">
        <v>168</v>
      </c>
      <c r="P118" s="25">
        <f t="shared" si="5"/>
        <v>0.5</v>
      </c>
    </row>
    <row r="119" spans="1:16" s="14" customFormat="1" ht="30" x14ac:dyDescent="0.25">
      <c r="A119" s="15">
        <v>45841</v>
      </c>
      <c r="B119" s="20" t="s">
        <v>29</v>
      </c>
      <c r="C119" s="16" t="s">
        <v>57</v>
      </c>
      <c r="D119" s="21" t="s">
        <v>90</v>
      </c>
      <c r="E119" s="23" t="s">
        <v>87</v>
      </c>
      <c r="F119" s="23" t="s">
        <v>125</v>
      </c>
      <c r="G119" s="23" t="s">
        <v>52</v>
      </c>
      <c r="H119" s="12" t="b">
        <f t="shared" si="3"/>
        <v>0</v>
      </c>
      <c r="I119" s="22" t="s">
        <v>153</v>
      </c>
      <c r="J119" s="20" t="s">
        <v>77</v>
      </c>
      <c r="K119" s="20" t="s">
        <v>21</v>
      </c>
      <c r="L119" s="25" t="b">
        <f t="shared" si="4"/>
        <v>0</v>
      </c>
      <c r="M119" s="22" t="s">
        <v>8</v>
      </c>
      <c r="N119" s="20" t="s">
        <v>57</v>
      </c>
      <c r="O119" s="20" t="s">
        <v>21</v>
      </c>
      <c r="P119" s="25">
        <f t="shared" si="5"/>
        <v>0.5</v>
      </c>
    </row>
    <row r="120" spans="1:16" s="14" customFormat="1" ht="30.75" thickBot="1" x14ac:dyDescent="0.3">
      <c r="A120" s="52">
        <v>45842</v>
      </c>
      <c r="B120" s="40" t="s">
        <v>136</v>
      </c>
      <c r="C120" s="55" t="s">
        <v>74</v>
      </c>
      <c r="D120" s="41" t="s">
        <v>21</v>
      </c>
      <c r="E120" s="51" t="s">
        <v>113</v>
      </c>
      <c r="F120" s="51" t="s">
        <v>130</v>
      </c>
      <c r="G120" s="51" t="s">
        <v>21</v>
      </c>
      <c r="H120" s="43">
        <f t="shared" si="3"/>
        <v>0.5</v>
      </c>
      <c r="I120" s="42" t="s">
        <v>101</v>
      </c>
      <c r="J120" s="40" t="s">
        <v>54</v>
      </c>
      <c r="K120" s="40" t="s">
        <v>27</v>
      </c>
      <c r="L120" s="45" t="b">
        <f t="shared" si="4"/>
        <v>0</v>
      </c>
      <c r="M120" s="42" t="s">
        <v>22</v>
      </c>
      <c r="N120" s="40" t="s">
        <v>10</v>
      </c>
      <c r="O120" s="40" t="s">
        <v>11</v>
      </c>
      <c r="P120" s="45" t="b">
        <f t="shared" si="5"/>
        <v>0</v>
      </c>
    </row>
    <row r="121" spans="1:16" s="14" customFormat="1" ht="30.75" thickTop="1" x14ac:dyDescent="0.25">
      <c r="A121" s="33">
        <v>45845</v>
      </c>
      <c r="B121" s="48" t="s">
        <v>73</v>
      </c>
      <c r="C121" s="34" t="s">
        <v>51</v>
      </c>
      <c r="D121" s="36" t="s">
        <v>21</v>
      </c>
      <c r="E121" s="49" t="s">
        <v>35</v>
      </c>
      <c r="F121" s="49" t="s">
        <v>51</v>
      </c>
      <c r="G121" s="49" t="s">
        <v>52</v>
      </c>
      <c r="H121" s="36">
        <f t="shared" si="3"/>
        <v>0.5</v>
      </c>
      <c r="I121" s="47" t="s">
        <v>101</v>
      </c>
      <c r="J121" s="48" t="s">
        <v>130</v>
      </c>
      <c r="K121" s="48" t="s">
        <v>21</v>
      </c>
      <c r="L121" s="54">
        <f t="shared" si="4"/>
        <v>0.5</v>
      </c>
      <c r="M121" s="47" t="s">
        <v>28</v>
      </c>
      <c r="N121" s="48" t="s">
        <v>28</v>
      </c>
      <c r="O121" s="48" t="s">
        <v>28</v>
      </c>
      <c r="P121" s="54" t="b">
        <f t="shared" si="5"/>
        <v>0</v>
      </c>
    </row>
    <row r="122" spans="1:16" s="14" customFormat="1" ht="30" x14ac:dyDescent="0.25">
      <c r="A122" s="15">
        <v>45846</v>
      </c>
      <c r="B122" s="20" t="s">
        <v>29</v>
      </c>
      <c r="C122" s="16" t="s">
        <v>74</v>
      </c>
      <c r="D122" s="21" t="s">
        <v>27</v>
      </c>
      <c r="E122" s="23" t="s">
        <v>101</v>
      </c>
      <c r="F122" s="23" t="s">
        <v>57</v>
      </c>
      <c r="G122" s="23" t="s">
        <v>31</v>
      </c>
      <c r="H122" s="12" t="b">
        <f t="shared" si="3"/>
        <v>0</v>
      </c>
      <c r="I122" s="22" t="s">
        <v>35</v>
      </c>
      <c r="J122" s="20" t="s">
        <v>45</v>
      </c>
      <c r="K122" s="20" t="s">
        <v>90</v>
      </c>
      <c r="L122" s="25" t="b">
        <f t="shared" si="4"/>
        <v>0</v>
      </c>
      <c r="M122" s="22" t="s">
        <v>166</v>
      </c>
      <c r="N122" s="20" t="s">
        <v>57</v>
      </c>
      <c r="O122" s="20" t="s">
        <v>168</v>
      </c>
      <c r="P122" s="25" t="b">
        <f t="shared" si="5"/>
        <v>0</v>
      </c>
    </row>
    <row r="123" spans="1:16" s="14" customFormat="1" x14ac:dyDescent="0.25">
      <c r="A123" s="15">
        <v>45847</v>
      </c>
      <c r="B123" s="20" t="s">
        <v>47</v>
      </c>
      <c r="C123" s="16" t="s">
        <v>12</v>
      </c>
      <c r="D123" s="21" t="s">
        <v>13</v>
      </c>
      <c r="E123" s="23" t="s">
        <v>28</v>
      </c>
      <c r="F123" s="23" t="s">
        <v>28</v>
      </c>
      <c r="G123" s="23" t="s">
        <v>28</v>
      </c>
      <c r="H123" s="12" t="b">
        <f t="shared" si="3"/>
        <v>0</v>
      </c>
      <c r="I123" s="22" t="s">
        <v>28</v>
      </c>
      <c r="J123" s="20" t="s">
        <v>28</v>
      </c>
      <c r="K123" s="20" t="s">
        <v>28</v>
      </c>
      <c r="L123" s="25" t="b">
        <f t="shared" si="4"/>
        <v>0</v>
      </c>
      <c r="M123" s="22" t="s">
        <v>8</v>
      </c>
      <c r="N123" s="20" t="s">
        <v>77</v>
      </c>
      <c r="O123" s="20" t="s">
        <v>90</v>
      </c>
      <c r="P123" s="25" t="b">
        <f t="shared" si="5"/>
        <v>0</v>
      </c>
    </row>
    <row r="124" spans="1:16" s="14" customFormat="1" ht="30" x14ac:dyDescent="0.25">
      <c r="A124" s="15">
        <v>45848</v>
      </c>
      <c r="B124" s="20" t="s">
        <v>113</v>
      </c>
      <c r="C124" s="16" t="s">
        <v>10</v>
      </c>
      <c r="D124" s="21" t="s">
        <v>11</v>
      </c>
      <c r="E124" s="23" t="s">
        <v>14</v>
      </c>
      <c r="F124" s="23" t="s">
        <v>10</v>
      </c>
      <c r="G124" s="23" t="s">
        <v>11</v>
      </c>
      <c r="H124" s="12">
        <f t="shared" si="3"/>
        <v>1</v>
      </c>
      <c r="I124" s="22" t="s">
        <v>35</v>
      </c>
      <c r="J124" s="20" t="s">
        <v>77</v>
      </c>
      <c r="K124" s="20" t="s">
        <v>90</v>
      </c>
      <c r="L124" s="25" t="b">
        <f t="shared" si="4"/>
        <v>0</v>
      </c>
      <c r="M124" s="22" t="s">
        <v>166</v>
      </c>
      <c r="N124" s="20" t="s">
        <v>38</v>
      </c>
      <c r="O124" s="20" t="s">
        <v>16</v>
      </c>
      <c r="P124" s="25" t="b">
        <f t="shared" si="5"/>
        <v>0</v>
      </c>
    </row>
    <row r="125" spans="1:16" s="14" customFormat="1" ht="30.75" thickBot="1" x14ac:dyDescent="0.3">
      <c r="A125" s="52">
        <v>45849</v>
      </c>
      <c r="B125" s="40" t="s">
        <v>101</v>
      </c>
      <c r="C125" s="55" t="s">
        <v>96</v>
      </c>
      <c r="D125" s="41" t="s">
        <v>31</v>
      </c>
      <c r="E125" s="51" t="s">
        <v>35</v>
      </c>
      <c r="F125" s="51" t="s">
        <v>77</v>
      </c>
      <c r="G125" s="51" t="s">
        <v>52</v>
      </c>
      <c r="H125" s="43" t="b">
        <f t="shared" si="3"/>
        <v>0</v>
      </c>
      <c r="I125" s="42" t="s">
        <v>28</v>
      </c>
      <c r="J125" s="40" t="s">
        <v>28</v>
      </c>
      <c r="K125" s="40" t="s">
        <v>28</v>
      </c>
      <c r="L125" s="45" t="b">
        <f t="shared" si="4"/>
        <v>0</v>
      </c>
      <c r="M125" s="42" t="s">
        <v>101</v>
      </c>
      <c r="N125" s="40" t="s">
        <v>82</v>
      </c>
      <c r="O125" s="40" t="s">
        <v>168</v>
      </c>
      <c r="P125" s="45">
        <f t="shared" si="5"/>
        <v>1</v>
      </c>
    </row>
    <row r="126" spans="1:16" s="14" customFormat="1" ht="30.75" thickTop="1" x14ac:dyDescent="0.25">
      <c r="A126" s="33">
        <v>45852</v>
      </c>
      <c r="B126" s="48" t="s">
        <v>22</v>
      </c>
      <c r="C126" s="34" t="s">
        <v>77</v>
      </c>
      <c r="D126" s="36" t="s">
        <v>27</v>
      </c>
      <c r="E126" s="49" t="s">
        <v>42</v>
      </c>
      <c r="F126" s="49" t="s">
        <v>130</v>
      </c>
      <c r="G126" s="49" t="s">
        <v>21</v>
      </c>
      <c r="H126" s="36" t="b">
        <f t="shared" si="3"/>
        <v>0</v>
      </c>
      <c r="I126" s="47" t="s">
        <v>22</v>
      </c>
      <c r="J126" s="16" t="s">
        <v>45</v>
      </c>
      <c r="K126" s="20" t="s">
        <v>90</v>
      </c>
      <c r="L126" s="54">
        <f t="shared" si="4"/>
        <v>1</v>
      </c>
      <c r="M126" s="47" t="s">
        <v>28</v>
      </c>
      <c r="N126" s="48" t="s">
        <v>28</v>
      </c>
      <c r="O126" s="48" t="s">
        <v>28</v>
      </c>
      <c r="P126" s="54" t="b">
        <f t="shared" si="5"/>
        <v>0</v>
      </c>
    </row>
    <row r="127" spans="1:16" s="14" customFormat="1" ht="30" x14ac:dyDescent="0.25">
      <c r="A127" s="15">
        <v>45853</v>
      </c>
      <c r="B127" s="20" t="s">
        <v>8</v>
      </c>
      <c r="C127" s="16" t="s">
        <v>118</v>
      </c>
      <c r="D127" s="21" t="s">
        <v>21</v>
      </c>
      <c r="E127" s="23" t="s">
        <v>64</v>
      </c>
      <c r="F127" s="23" t="s">
        <v>57</v>
      </c>
      <c r="G127" s="23" t="s">
        <v>31</v>
      </c>
      <c r="H127" s="12" t="b">
        <f t="shared" si="3"/>
        <v>0</v>
      </c>
      <c r="I127" s="22" t="s">
        <v>28</v>
      </c>
      <c r="J127" s="20" t="s">
        <v>28</v>
      </c>
      <c r="K127" s="20" t="s">
        <v>28</v>
      </c>
      <c r="L127" s="25" t="b">
        <f t="shared" si="4"/>
        <v>0</v>
      </c>
      <c r="M127" s="22" t="s">
        <v>28</v>
      </c>
      <c r="N127" s="20" t="s">
        <v>28</v>
      </c>
      <c r="O127" s="20" t="s">
        <v>28</v>
      </c>
      <c r="P127" s="25" t="b">
        <f t="shared" si="5"/>
        <v>0</v>
      </c>
    </row>
    <row r="128" spans="1:16" s="14" customFormat="1" ht="30" x14ac:dyDescent="0.25">
      <c r="A128" s="15">
        <v>45854</v>
      </c>
      <c r="B128" s="20" t="s">
        <v>167</v>
      </c>
      <c r="C128" s="16" t="s">
        <v>38</v>
      </c>
      <c r="D128" s="21" t="s">
        <v>31</v>
      </c>
      <c r="E128" s="23" t="s">
        <v>112</v>
      </c>
      <c r="F128" s="23" t="s">
        <v>106</v>
      </c>
      <c r="G128" s="23" t="s">
        <v>13</v>
      </c>
      <c r="H128" s="12" t="b">
        <f t="shared" si="3"/>
        <v>0</v>
      </c>
      <c r="I128" s="22" t="s">
        <v>35</v>
      </c>
      <c r="J128" s="20" t="s">
        <v>57</v>
      </c>
      <c r="K128" s="20" t="s">
        <v>90</v>
      </c>
      <c r="L128" s="25" t="b">
        <f t="shared" si="4"/>
        <v>0</v>
      </c>
      <c r="M128" s="22" t="s">
        <v>28</v>
      </c>
      <c r="N128" s="20" t="s">
        <v>28</v>
      </c>
      <c r="O128" s="20" t="s">
        <v>28</v>
      </c>
      <c r="P128" s="25" t="b">
        <f t="shared" si="5"/>
        <v>0</v>
      </c>
    </row>
    <row r="129" spans="1:16" s="14" customFormat="1" ht="30" x14ac:dyDescent="0.25">
      <c r="A129" s="15">
        <v>45855</v>
      </c>
      <c r="B129" s="20" t="s">
        <v>87</v>
      </c>
      <c r="C129" s="16" t="s">
        <v>36</v>
      </c>
      <c r="D129" s="21" t="s">
        <v>34</v>
      </c>
      <c r="E129" s="23" t="s">
        <v>154</v>
      </c>
      <c r="F129" s="23" t="s">
        <v>82</v>
      </c>
      <c r="G129" s="23" t="s">
        <v>168</v>
      </c>
      <c r="H129" s="12" t="b">
        <f t="shared" si="3"/>
        <v>0</v>
      </c>
      <c r="I129" s="22" t="s">
        <v>62</v>
      </c>
      <c r="J129" s="20" t="s">
        <v>130</v>
      </c>
      <c r="K129" s="20" t="s">
        <v>52</v>
      </c>
      <c r="L129" s="25" t="b">
        <f t="shared" si="4"/>
        <v>0</v>
      </c>
      <c r="M129" s="22" t="s">
        <v>28</v>
      </c>
      <c r="N129" s="20" t="s">
        <v>28</v>
      </c>
      <c r="O129" s="20" t="s">
        <v>28</v>
      </c>
      <c r="P129" s="25" t="b">
        <f t="shared" si="5"/>
        <v>0</v>
      </c>
    </row>
    <row r="130" spans="1:16" s="14" customFormat="1" ht="30.75" thickBot="1" x14ac:dyDescent="0.3">
      <c r="A130" s="52">
        <v>45856</v>
      </c>
      <c r="B130" s="40" t="s">
        <v>64</v>
      </c>
      <c r="C130" s="55" t="s">
        <v>163</v>
      </c>
      <c r="D130" s="41" t="s">
        <v>90</v>
      </c>
      <c r="E130" s="51" t="s">
        <v>35</v>
      </c>
      <c r="F130" s="51" t="s">
        <v>57</v>
      </c>
      <c r="G130" s="51" t="s">
        <v>21</v>
      </c>
      <c r="H130" s="43" t="b">
        <f t="shared" si="3"/>
        <v>0</v>
      </c>
      <c r="I130" s="42" t="s">
        <v>47</v>
      </c>
      <c r="J130" s="40" t="s">
        <v>15</v>
      </c>
      <c r="K130" s="40" t="s">
        <v>69</v>
      </c>
      <c r="L130" s="45" t="b">
        <f t="shared" si="4"/>
        <v>0</v>
      </c>
      <c r="M130" s="42" t="s">
        <v>35</v>
      </c>
      <c r="N130" s="40" t="s">
        <v>82</v>
      </c>
      <c r="O130" s="40" t="s">
        <v>168</v>
      </c>
      <c r="P130" s="45" t="b">
        <f t="shared" si="5"/>
        <v>0</v>
      </c>
    </row>
    <row r="131" spans="1:16" s="14" customFormat="1" ht="30.75" thickTop="1" x14ac:dyDescent="0.25">
      <c r="A131" s="33">
        <v>45859</v>
      </c>
      <c r="B131" s="48" t="s">
        <v>149</v>
      </c>
      <c r="C131" s="34" t="s">
        <v>74</v>
      </c>
      <c r="D131" s="36" t="s">
        <v>168</v>
      </c>
      <c r="E131" s="49" t="s">
        <v>113</v>
      </c>
      <c r="F131" s="49" t="s">
        <v>30</v>
      </c>
      <c r="G131" s="49" t="s">
        <v>31</v>
      </c>
      <c r="H131" s="36" t="b">
        <f t="shared" si="3"/>
        <v>0</v>
      </c>
      <c r="I131" s="47" t="s">
        <v>28</v>
      </c>
      <c r="J131" s="48" t="s">
        <v>28</v>
      </c>
      <c r="K131" s="48" t="s">
        <v>28</v>
      </c>
      <c r="L131" s="54" t="b">
        <f t="shared" si="4"/>
        <v>0</v>
      </c>
      <c r="M131" s="47" t="s">
        <v>42</v>
      </c>
      <c r="N131" s="48" t="s">
        <v>130</v>
      </c>
      <c r="O131" s="48" t="s">
        <v>21</v>
      </c>
      <c r="P131" s="54" t="b">
        <f t="shared" si="5"/>
        <v>0</v>
      </c>
    </row>
    <row r="132" spans="1:16" s="14" customFormat="1" ht="30" x14ac:dyDescent="0.25">
      <c r="A132" s="15">
        <v>45860</v>
      </c>
      <c r="B132" s="20" t="s">
        <v>29</v>
      </c>
      <c r="C132" s="16" t="s">
        <v>82</v>
      </c>
      <c r="D132" s="21" t="s">
        <v>21</v>
      </c>
      <c r="E132" s="23" t="s">
        <v>64</v>
      </c>
      <c r="F132" s="23" t="s">
        <v>77</v>
      </c>
      <c r="G132" s="23" t="s">
        <v>90</v>
      </c>
      <c r="H132" s="12" t="b">
        <f t="shared" si="3"/>
        <v>0</v>
      </c>
      <c r="I132" s="22" t="s">
        <v>73</v>
      </c>
      <c r="J132" s="20" t="s">
        <v>57</v>
      </c>
      <c r="K132" s="20" t="s">
        <v>27</v>
      </c>
      <c r="L132" s="25" t="b">
        <f t="shared" si="4"/>
        <v>0</v>
      </c>
      <c r="M132" s="22" t="s">
        <v>29</v>
      </c>
      <c r="N132" s="20" t="s">
        <v>12</v>
      </c>
      <c r="O132" s="20" t="s">
        <v>13</v>
      </c>
      <c r="P132" s="25">
        <f t="shared" si="5"/>
        <v>1</v>
      </c>
    </row>
    <row r="133" spans="1:16" s="14" customFormat="1" x14ac:dyDescent="0.25">
      <c r="A133" s="15">
        <v>45861</v>
      </c>
      <c r="B133" s="20" t="s">
        <v>42</v>
      </c>
      <c r="C133" s="16" t="s">
        <v>45</v>
      </c>
      <c r="D133" s="21" t="s">
        <v>27</v>
      </c>
      <c r="E133" s="23" t="s">
        <v>42</v>
      </c>
      <c r="F133" s="23" t="s">
        <v>54</v>
      </c>
      <c r="G133" s="23" t="s">
        <v>27</v>
      </c>
      <c r="H133" s="12">
        <f t="shared" si="3"/>
        <v>1.5</v>
      </c>
      <c r="I133" s="22" t="s">
        <v>28</v>
      </c>
      <c r="J133" s="20" t="s">
        <v>28</v>
      </c>
      <c r="K133" s="20" t="s">
        <v>28</v>
      </c>
      <c r="L133" s="25" t="b">
        <f t="shared" si="4"/>
        <v>0</v>
      </c>
      <c r="M133" s="22" t="s">
        <v>8</v>
      </c>
      <c r="N133" s="20" t="s">
        <v>77</v>
      </c>
      <c r="O133" s="20" t="s">
        <v>52</v>
      </c>
      <c r="P133" s="25" t="b">
        <f t="shared" si="5"/>
        <v>0</v>
      </c>
    </row>
    <row r="134" spans="1:16" s="14" customFormat="1" ht="30" x14ac:dyDescent="0.25">
      <c r="A134" s="15">
        <v>45862</v>
      </c>
      <c r="B134" s="20" t="s">
        <v>14</v>
      </c>
      <c r="C134" s="16" t="s">
        <v>30</v>
      </c>
      <c r="D134" s="21" t="s">
        <v>31</v>
      </c>
      <c r="E134" s="23" t="s">
        <v>105</v>
      </c>
      <c r="F134" s="23" t="s">
        <v>38</v>
      </c>
      <c r="G134" s="23" t="s">
        <v>16</v>
      </c>
      <c r="H134" s="12" t="b">
        <f t="shared" si="3"/>
        <v>0</v>
      </c>
      <c r="I134" s="22" t="s">
        <v>35</v>
      </c>
      <c r="J134" s="20" t="s">
        <v>12</v>
      </c>
      <c r="K134" s="20" t="s">
        <v>90</v>
      </c>
      <c r="L134" s="25" t="b">
        <f t="shared" si="4"/>
        <v>0</v>
      </c>
      <c r="M134" s="22" t="s">
        <v>76</v>
      </c>
      <c r="N134" s="20" t="s">
        <v>10</v>
      </c>
      <c r="O134" s="20" t="s">
        <v>11</v>
      </c>
      <c r="P134" s="25" t="b">
        <f t="shared" si="5"/>
        <v>0</v>
      </c>
    </row>
    <row r="135" spans="1:16" s="14" customFormat="1" ht="30.75" thickBot="1" x14ac:dyDescent="0.3">
      <c r="A135" s="52">
        <v>45863</v>
      </c>
      <c r="B135" s="40" t="s">
        <v>138</v>
      </c>
      <c r="C135" s="55" t="s">
        <v>88</v>
      </c>
      <c r="D135" s="41" t="s">
        <v>21</v>
      </c>
      <c r="E135" s="51" t="s">
        <v>87</v>
      </c>
      <c r="F135" s="51" t="s">
        <v>102</v>
      </c>
      <c r="G135" s="51" t="s">
        <v>168</v>
      </c>
      <c r="H135" s="43" t="b">
        <f t="shared" si="3"/>
        <v>0</v>
      </c>
      <c r="I135" s="42" t="s">
        <v>73</v>
      </c>
      <c r="J135" s="40" t="s">
        <v>54</v>
      </c>
      <c r="K135" s="40" t="s">
        <v>52</v>
      </c>
      <c r="L135" s="45" t="b">
        <f t="shared" si="4"/>
        <v>0</v>
      </c>
      <c r="M135" s="42" t="s">
        <v>35</v>
      </c>
      <c r="N135" s="40" t="s">
        <v>38</v>
      </c>
      <c r="O135" s="40" t="s">
        <v>16</v>
      </c>
      <c r="P135" s="45" t="b">
        <f t="shared" si="5"/>
        <v>0</v>
      </c>
    </row>
    <row r="136" spans="1:16" s="14" customFormat="1" ht="30.75" thickTop="1" x14ac:dyDescent="0.25">
      <c r="A136" s="33">
        <v>45866</v>
      </c>
      <c r="B136" s="48" t="s">
        <v>22</v>
      </c>
      <c r="C136" s="34" t="s">
        <v>130</v>
      </c>
      <c r="D136" s="36" t="s">
        <v>21</v>
      </c>
      <c r="E136" s="49" t="s">
        <v>17</v>
      </c>
      <c r="F136" s="49" t="s">
        <v>26</v>
      </c>
      <c r="G136" s="49" t="s">
        <v>31</v>
      </c>
      <c r="H136" s="36" t="b">
        <f t="shared" si="3"/>
        <v>0</v>
      </c>
      <c r="I136" s="47" t="s">
        <v>101</v>
      </c>
      <c r="J136" s="48" t="s">
        <v>57</v>
      </c>
      <c r="K136" s="48" t="s">
        <v>27</v>
      </c>
      <c r="L136" s="54" t="b">
        <f t="shared" si="4"/>
        <v>0</v>
      </c>
      <c r="M136" s="47" t="s">
        <v>76</v>
      </c>
      <c r="N136" s="48" t="s">
        <v>130</v>
      </c>
      <c r="O136" s="48" t="s">
        <v>21</v>
      </c>
      <c r="P136" s="54">
        <f t="shared" si="5"/>
        <v>1</v>
      </c>
    </row>
    <row r="137" spans="1:16" s="14" customFormat="1" ht="30" x14ac:dyDescent="0.25">
      <c r="A137" s="15">
        <v>45867</v>
      </c>
      <c r="B137" s="20" t="s">
        <v>105</v>
      </c>
      <c r="C137" s="16" t="s">
        <v>57</v>
      </c>
      <c r="D137" s="21" t="s">
        <v>31</v>
      </c>
      <c r="E137" s="23" t="s">
        <v>42</v>
      </c>
      <c r="F137" s="23" t="s">
        <v>10</v>
      </c>
      <c r="G137" s="23" t="s">
        <v>11</v>
      </c>
      <c r="H137" s="12" t="b">
        <f t="shared" ref="H137:H200" si="6">IF(ISBLANK($B137),$S$18,IF(AND($B137=E137,$C137=F137,$D137=G137),$S$15,IF(AND($B137=E137,OR($C137=F137,$D137=G137)),$S$16+$S$17,IF(OR($B137=E137,AND($C137=F137,$D137=G137)),$S$16,IF(OR($C137=F137,$D137=G137),$S$17)))))</f>
        <v>0</v>
      </c>
      <c r="I137" s="22" t="s">
        <v>66</v>
      </c>
      <c r="J137" s="20" t="s">
        <v>74</v>
      </c>
      <c r="K137" s="20" t="s">
        <v>52</v>
      </c>
      <c r="L137" s="25" t="b">
        <f t="shared" ref="L137:L200" si="7">IF(ISBLANK($B137),$S$18,IF(AND($B137=I137,$C137=J137,$D137=K137),$S$15,IF(AND($B137=I137,OR($C137=J137,$D137=K137)),$S$16+$S$17,IF(OR($B137=I137,AND($C137=J137,$D137=K137)),$S$16,IF(OR($C137=J137,$D137=K137),$S$17)))))</f>
        <v>0</v>
      </c>
      <c r="M137" s="22" t="s">
        <v>8</v>
      </c>
      <c r="N137" s="20" t="s">
        <v>36</v>
      </c>
      <c r="O137" s="20" t="s">
        <v>34</v>
      </c>
      <c r="P137" s="25" t="b">
        <f t="shared" ref="P137:P200" si="8">IF(ISBLANK($B137),$S$18,IF(AND($B137=M137,$C137=N137,$D137=O137),$S$15,IF(AND($B137=M137,OR($C137=N137,$D137=O137)),$S$16+$S$17,IF(OR($B137=M137,AND($C137=N137,$D137=O137)),$S$16,IF(OR($C137=N137,$D137=O137),$S$17)))))</f>
        <v>0</v>
      </c>
    </row>
    <row r="138" spans="1:16" s="14" customFormat="1" ht="30" x14ac:dyDescent="0.25">
      <c r="A138" s="15">
        <v>45868</v>
      </c>
      <c r="B138" s="20" t="s">
        <v>101</v>
      </c>
      <c r="C138" s="16" t="s">
        <v>25</v>
      </c>
      <c r="D138" s="21" t="s">
        <v>33</v>
      </c>
      <c r="E138" s="23" t="s">
        <v>87</v>
      </c>
      <c r="F138" s="23" t="s">
        <v>82</v>
      </c>
      <c r="G138" s="23" t="s">
        <v>168</v>
      </c>
      <c r="H138" s="12" t="b">
        <f t="shared" si="6"/>
        <v>0</v>
      </c>
      <c r="I138" s="22" t="s">
        <v>113</v>
      </c>
      <c r="J138" s="20" t="s">
        <v>54</v>
      </c>
      <c r="K138" s="20" t="s">
        <v>27</v>
      </c>
      <c r="L138" s="25" t="b">
        <f t="shared" si="7"/>
        <v>0</v>
      </c>
      <c r="M138" s="22" t="s">
        <v>47</v>
      </c>
      <c r="N138" s="20" t="s">
        <v>51</v>
      </c>
      <c r="O138" s="20" t="s">
        <v>90</v>
      </c>
      <c r="P138" s="25" t="b">
        <f t="shared" si="8"/>
        <v>0</v>
      </c>
    </row>
    <row r="139" spans="1:16" s="14" customFormat="1" x14ac:dyDescent="0.25">
      <c r="A139" s="15">
        <v>45869</v>
      </c>
      <c r="B139" s="20" t="s">
        <v>76</v>
      </c>
      <c r="C139" s="16" t="s">
        <v>38</v>
      </c>
      <c r="D139" s="21" t="s">
        <v>16</v>
      </c>
      <c r="E139" s="23" t="s">
        <v>8</v>
      </c>
      <c r="F139" s="23" t="s">
        <v>38</v>
      </c>
      <c r="G139" s="23" t="s">
        <v>31</v>
      </c>
      <c r="H139" s="12">
        <f t="shared" si="6"/>
        <v>0.5</v>
      </c>
      <c r="I139" s="22" t="s">
        <v>87</v>
      </c>
      <c r="J139" s="20" t="s">
        <v>10</v>
      </c>
      <c r="K139" s="20" t="s">
        <v>31</v>
      </c>
      <c r="L139" s="25" t="b">
        <f t="shared" si="7"/>
        <v>0</v>
      </c>
      <c r="M139" s="22" t="s">
        <v>8</v>
      </c>
      <c r="N139" s="20" t="s">
        <v>10</v>
      </c>
      <c r="O139" s="20" t="s">
        <v>11</v>
      </c>
      <c r="P139" s="25" t="b">
        <f t="shared" si="8"/>
        <v>0</v>
      </c>
    </row>
    <row r="140" spans="1:16" s="14" customFormat="1" ht="15.75" thickBot="1" x14ac:dyDescent="0.3">
      <c r="A140" s="52">
        <v>45870</v>
      </c>
      <c r="B140" s="40" t="s">
        <v>141</v>
      </c>
      <c r="C140" s="55" t="s">
        <v>119</v>
      </c>
      <c r="D140" s="41" t="s">
        <v>21</v>
      </c>
      <c r="E140" s="51" t="s">
        <v>42</v>
      </c>
      <c r="F140" s="51" t="s">
        <v>77</v>
      </c>
      <c r="G140" s="51" t="s">
        <v>27</v>
      </c>
      <c r="H140" s="43" t="b">
        <f t="shared" si="6"/>
        <v>0</v>
      </c>
      <c r="I140" s="42" t="s">
        <v>35</v>
      </c>
      <c r="J140" s="40" t="s">
        <v>30</v>
      </c>
      <c r="K140" s="40" t="s">
        <v>52</v>
      </c>
      <c r="L140" s="45" t="b">
        <f t="shared" si="7"/>
        <v>0</v>
      </c>
      <c r="M140" s="42" t="s">
        <v>50</v>
      </c>
      <c r="N140" s="40" t="s">
        <v>51</v>
      </c>
      <c r="O140" s="40" t="s">
        <v>90</v>
      </c>
      <c r="P140" s="45" t="b">
        <f t="shared" si="8"/>
        <v>0</v>
      </c>
    </row>
    <row r="141" spans="1:16" s="14" customFormat="1" ht="30.75" thickTop="1" x14ac:dyDescent="0.25">
      <c r="A141" s="33">
        <v>45873</v>
      </c>
      <c r="B141" s="48" t="s">
        <v>73</v>
      </c>
      <c r="C141" s="34" t="s">
        <v>74</v>
      </c>
      <c r="D141" s="36" t="s">
        <v>27</v>
      </c>
      <c r="E141" s="49" t="s">
        <v>17</v>
      </c>
      <c r="F141" s="49" t="s">
        <v>106</v>
      </c>
      <c r="G141" s="49" t="s">
        <v>168</v>
      </c>
      <c r="H141" s="36" t="b">
        <f t="shared" si="6"/>
        <v>0</v>
      </c>
      <c r="I141" s="47" t="s">
        <v>42</v>
      </c>
      <c r="J141" s="48" t="s">
        <v>82</v>
      </c>
      <c r="K141" s="48" t="s">
        <v>21</v>
      </c>
      <c r="L141" s="54" t="b">
        <f t="shared" si="7"/>
        <v>0</v>
      </c>
      <c r="M141" s="47" t="s">
        <v>76</v>
      </c>
      <c r="N141" s="48" t="s">
        <v>26</v>
      </c>
      <c r="O141" s="48" t="s">
        <v>21</v>
      </c>
      <c r="P141" s="54" t="b">
        <f t="shared" si="8"/>
        <v>0</v>
      </c>
    </row>
    <row r="142" spans="1:16" s="14" customFormat="1" x14ac:dyDescent="0.25">
      <c r="A142" s="15">
        <v>45874</v>
      </c>
      <c r="B142" s="20" t="s">
        <v>42</v>
      </c>
      <c r="C142" s="16" t="s">
        <v>163</v>
      </c>
      <c r="D142" s="21" t="s">
        <v>31</v>
      </c>
      <c r="E142" s="23" t="s">
        <v>42</v>
      </c>
      <c r="F142" s="23" t="s">
        <v>77</v>
      </c>
      <c r="G142" s="23" t="s">
        <v>90</v>
      </c>
      <c r="H142" s="12">
        <f t="shared" si="6"/>
        <v>1</v>
      </c>
      <c r="I142" s="22" t="s">
        <v>76</v>
      </c>
      <c r="J142" s="20" t="s">
        <v>12</v>
      </c>
      <c r="K142" s="20" t="s">
        <v>168</v>
      </c>
      <c r="L142" s="25" t="b">
        <f t="shared" si="7"/>
        <v>0</v>
      </c>
      <c r="M142" s="22" t="s">
        <v>29</v>
      </c>
      <c r="N142" s="20" t="s">
        <v>36</v>
      </c>
      <c r="O142" s="20" t="s">
        <v>34</v>
      </c>
      <c r="P142" s="25" t="b">
        <f t="shared" si="8"/>
        <v>0</v>
      </c>
    </row>
    <row r="143" spans="1:16" s="14" customFormat="1" ht="30" x14ac:dyDescent="0.25">
      <c r="A143" s="15">
        <v>45875</v>
      </c>
      <c r="B143" s="20" t="s">
        <v>136</v>
      </c>
      <c r="C143" s="16" t="s">
        <v>12</v>
      </c>
      <c r="D143" s="21" t="s">
        <v>21</v>
      </c>
      <c r="E143" s="23" t="s">
        <v>112</v>
      </c>
      <c r="F143" s="23" t="s">
        <v>82</v>
      </c>
      <c r="G143" s="23" t="s">
        <v>168</v>
      </c>
      <c r="H143" s="12" t="b">
        <f t="shared" si="6"/>
        <v>0</v>
      </c>
      <c r="I143" s="22" t="s">
        <v>35</v>
      </c>
      <c r="J143" s="20" t="s">
        <v>82</v>
      </c>
      <c r="K143" s="20" t="s">
        <v>21</v>
      </c>
      <c r="L143" s="25">
        <f t="shared" si="7"/>
        <v>0.5</v>
      </c>
      <c r="M143" s="22" t="s">
        <v>14</v>
      </c>
      <c r="N143" s="20" t="s">
        <v>57</v>
      </c>
      <c r="O143" s="20" t="s">
        <v>21</v>
      </c>
      <c r="P143" s="25">
        <f t="shared" si="8"/>
        <v>0.5</v>
      </c>
    </row>
    <row r="144" spans="1:16" s="14" customFormat="1" x14ac:dyDescent="0.25">
      <c r="A144" s="15">
        <v>45876</v>
      </c>
      <c r="B144" s="20" t="s">
        <v>19</v>
      </c>
      <c r="C144" s="16" t="s">
        <v>45</v>
      </c>
      <c r="D144" s="21" t="s">
        <v>13</v>
      </c>
      <c r="E144" s="23" t="s">
        <v>87</v>
      </c>
      <c r="F144" s="23" t="s">
        <v>10</v>
      </c>
      <c r="G144" s="23" t="s">
        <v>11</v>
      </c>
      <c r="H144" s="12" t="b">
        <f t="shared" si="6"/>
        <v>0</v>
      </c>
      <c r="I144" s="22" t="s">
        <v>76</v>
      </c>
      <c r="J144" s="20" t="s">
        <v>77</v>
      </c>
      <c r="K144" s="20" t="s">
        <v>168</v>
      </c>
      <c r="L144" s="25" t="b">
        <f t="shared" si="7"/>
        <v>0</v>
      </c>
      <c r="M144" s="22" t="s">
        <v>47</v>
      </c>
      <c r="N144" s="20" t="s">
        <v>96</v>
      </c>
      <c r="O144" s="20" t="s">
        <v>90</v>
      </c>
      <c r="P144" s="25" t="b">
        <f t="shared" si="8"/>
        <v>0</v>
      </c>
    </row>
    <row r="145" spans="1:16" s="14" customFormat="1" ht="45.75" thickBot="1" x14ac:dyDescent="0.3">
      <c r="A145" s="52">
        <v>45877</v>
      </c>
      <c r="B145" s="40" t="s">
        <v>126</v>
      </c>
      <c r="C145" s="55" t="s">
        <v>57</v>
      </c>
      <c r="D145" s="41" t="s">
        <v>52</v>
      </c>
      <c r="E145" s="51" t="s">
        <v>35</v>
      </c>
      <c r="F145" s="51" t="s">
        <v>38</v>
      </c>
      <c r="G145" s="51" t="s">
        <v>16</v>
      </c>
      <c r="H145" s="43" t="b">
        <f t="shared" si="6"/>
        <v>0</v>
      </c>
      <c r="I145" s="42" t="s">
        <v>35</v>
      </c>
      <c r="J145" s="40" t="s">
        <v>54</v>
      </c>
      <c r="K145" s="40" t="s">
        <v>27</v>
      </c>
      <c r="L145" s="45" t="b">
        <f t="shared" si="7"/>
        <v>0</v>
      </c>
      <c r="M145" s="42" t="s">
        <v>8</v>
      </c>
      <c r="N145" s="40" t="s">
        <v>110</v>
      </c>
      <c r="O145" s="40" t="s">
        <v>52</v>
      </c>
      <c r="P145" s="45">
        <f t="shared" si="8"/>
        <v>0.5</v>
      </c>
    </row>
    <row r="146" spans="1:16" s="14" customFormat="1" ht="15.75" thickTop="1" x14ac:dyDescent="0.25">
      <c r="A146" s="33">
        <v>45894</v>
      </c>
      <c r="B146" s="48" t="s">
        <v>22</v>
      </c>
      <c r="C146" s="59" t="s">
        <v>130</v>
      </c>
      <c r="D146" s="36" t="s">
        <v>21</v>
      </c>
      <c r="E146" s="49" t="s">
        <v>17</v>
      </c>
      <c r="F146" s="60" t="s">
        <v>106</v>
      </c>
      <c r="G146" s="49" t="s">
        <v>13</v>
      </c>
      <c r="H146" s="36" t="b">
        <f t="shared" si="6"/>
        <v>0</v>
      </c>
      <c r="I146" s="47" t="s">
        <v>42</v>
      </c>
      <c r="J146" s="48" t="s">
        <v>12</v>
      </c>
      <c r="K146" s="48" t="s">
        <v>21</v>
      </c>
      <c r="L146" s="54">
        <f t="shared" si="7"/>
        <v>0.5</v>
      </c>
      <c r="M146" s="47" t="s">
        <v>19</v>
      </c>
      <c r="N146" s="59" t="s">
        <v>130</v>
      </c>
      <c r="O146" s="48" t="s">
        <v>21</v>
      </c>
      <c r="P146" s="54">
        <f t="shared" si="8"/>
        <v>1</v>
      </c>
    </row>
    <row r="147" spans="1:16" s="14" customFormat="1" ht="30" x14ac:dyDescent="0.25">
      <c r="A147" s="15">
        <v>45895</v>
      </c>
      <c r="B147" s="20" t="s">
        <v>76</v>
      </c>
      <c r="C147" s="16" t="s">
        <v>125</v>
      </c>
      <c r="D147" s="21" t="s">
        <v>31</v>
      </c>
      <c r="E147" s="23" t="s">
        <v>42</v>
      </c>
      <c r="F147" s="23" t="s">
        <v>57</v>
      </c>
      <c r="G147" s="23" t="s">
        <v>31</v>
      </c>
      <c r="H147" s="12">
        <f t="shared" si="6"/>
        <v>0.5</v>
      </c>
      <c r="I147" s="22" t="s">
        <v>29</v>
      </c>
      <c r="J147" s="20" t="s">
        <v>57</v>
      </c>
      <c r="K147" s="20" t="s">
        <v>27</v>
      </c>
      <c r="L147" s="25" t="b">
        <f t="shared" si="7"/>
        <v>0</v>
      </c>
      <c r="M147" s="22" t="s">
        <v>76</v>
      </c>
      <c r="N147" s="20" t="s">
        <v>82</v>
      </c>
      <c r="O147" s="20" t="s">
        <v>168</v>
      </c>
      <c r="P147" s="25">
        <f t="shared" si="8"/>
        <v>1</v>
      </c>
    </row>
    <row r="148" spans="1:16" s="14" customFormat="1" ht="30" x14ac:dyDescent="0.25">
      <c r="A148" s="15">
        <v>45896</v>
      </c>
      <c r="B148" s="20" t="s">
        <v>62</v>
      </c>
      <c r="C148" s="16" t="s">
        <v>82</v>
      </c>
      <c r="D148" s="21" t="s">
        <v>168</v>
      </c>
      <c r="E148" s="23" t="s">
        <v>87</v>
      </c>
      <c r="F148" s="23" t="s">
        <v>12</v>
      </c>
      <c r="G148" s="23" t="s">
        <v>13</v>
      </c>
      <c r="H148" s="12" t="b">
        <f t="shared" si="6"/>
        <v>0</v>
      </c>
      <c r="I148" s="22" t="s">
        <v>113</v>
      </c>
      <c r="J148" s="16" t="s">
        <v>74</v>
      </c>
      <c r="K148" s="20" t="s">
        <v>52</v>
      </c>
      <c r="L148" s="25" t="b">
        <f t="shared" si="7"/>
        <v>0</v>
      </c>
      <c r="M148" s="22" t="s">
        <v>42</v>
      </c>
      <c r="N148" s="20" t="s">
        <v>57</v>
      </c>
      <c r="O148" s="20" t="s">
        <v>90</v>
      </c>
      <c r="P148" s="25" t="b">
        <f t="shared" si="8"/>
        <v>0</v>
      </c>
    </row>
    <row r="149" spans="1:16" s="14" customFormat="1" ht="30" x14ac:dyDescent="0.25">
      <c r="A149" s="15">
        <v>45897</v>
      </c>
      <c r="B149" s="20" t="s">
        <v>73</v>
      </c>
      <c r="C149" s="16" t="s">
        <v>30</v>
      </c>
      <c r="D149" s="21" t="s">
        <v>27</v>
      </c>
      <c r="E149" s="23" t="s">
        <v>8</v>
      </c>
      <c r="F149" s="23" t="s">
        <v>77</v>
      </c>
      <c r="G149" s="23" t="s">
        <v>52</v>
      </c>
      <c r="H149" s="12" t="b">
        <f t="shared" si="6"/>
        <v>0</v>
      </c>
      <c r="I149" s="22" t="s">
        <v>73</v>
      </c>
      <c r="J149" s="20" t="s">
        <v>38</v>
      </c>
      <c r="K149" s="20" t="s">
        <v>16</v>
      </c>
      <c r="L149" s="25">
        <f t="shared" si="7"/>
        <v>1</v>
      </c>
      <c r="M149" s="22" t="s">
        <v>87</v>
      </c>
      <c r="N149" s="20" t="s">
        <v>38</v>
      </c>
      <c r="O149" s="20" t="s">
        <v>16</v>
      </c>
      <c r="P149" s="25" t="b">
        <f t="shared" si="8"/>
        <v>0</v>
      </c>
    </row>
    <row r="150" spans="1:16" s="14" customFormat="1" ht="30.75" thickBot="1" x14ac:dyDescent="0.3">
      <c r="A150" s="52">
        <v>45898</v>
      </c>
      <c r="B150" s="40" t="s">
        <v>105</v>
      </c>
      <c r="C150" s="55" t="s">
        <v>106</v>
      </c>
      <c r="D150" s="41" t="s">
        <v>21</v>
      </c>
      <c r="E150" s="51" t="s">
        <v>101</v>
      </c>
      <c r="F150" s="51" t="s">
        <v>10</v>
      </c>
      <c r="G150" s="51" t="s">
        <v>11</v>
      </c>
      <c r="H150" s="43" t="b">
        <f t="shared" si="6"/>
        <v>0</v>
      </c>
      <c r="I150" s="42" t="s">
        <v>87</v>
      </c>
      <c r="J150" s="40" t="s">
        <v>151</v>
      </c>
      <c r="K150" s="40" t="s">
        <v>31</v>
      </c>
      <c r="L150" s="45" t="b">
        <f t="shared" si="7"/>
        <v>0</v>
      </c>
      <c r="M150" s="42" t="s">
        <v>8</v>
      </c>
      <c r="N150" s="40" t="s">
        <v>10</v>
      </c>
      <c r="O150" s="40" t="s">
        <v>11</v>
      </c>
      <c r="P150" s="45" t="b">
        <f t="shared" si="8"/>
        <v>0</v>
      </c>
    </row>
    <row r="151" spans="1:16" s="14" customFormat="1" ht="30.75" thickTop="1" x14ac:dyDescent="0.25">
      <c r="A151" s="33">
        <v>45901</v>
      </c>
      <c r="B151" s="48" t="s">
        <v>42</v>
      </c>
      <c r="C151" s="34" t="s">
        <v>12</v>
      </c>
      <c r="D151" s="36" t="s">
        <v>13</v>
      </c>
      <c r="E151" s="49" t="s">
        <v>17</v>
      </c>
      <c r="F151" s="49" t="s">
        <v>77</v>
      </c>
      <c r="G151" s="49" t="s">
        <v>52</v>
      </c>
      <c r="H151" s="36" t="b">
        <f t="shared" si="6"/>
        <v>0</v>
      </c>
      <c r="I151" s="47" t="s">
        <v>113</v>
      </c>
      <c r="J151" s="48" t="s">
        <v>57</v>
      </c>
      <c r="K151" s="48" t="s">
        <v>31</v>
      </c>
      <c r="L151" s="54" t="b">
        <f t="shared" si="7"/>
        <v>0</v>
      </c>
      <c r="M151" s="47" t="s">
        <v>42</v>
      </c>
      <c r="N151" s="48" t="s">
        <v>26</v>
      </c>
      <c r="O151" s="48" t="s">
        <v>21</v>
      </c>
      <c r="P151" s="54">
        <f t="shared" si="8"/>
        <v>1</v>
      </c>
    </row>
    <row r="152" spans="1:16" s="14" customFormat="1" ht="30" x14ac:dyDescent="0.25">
      <c r="A152" s="15">
        <v>45902</v>
      </c>
      <c r="B152" s="20" t="s">
        <v>8</v>
      </c>
      <c r="C152" s="16" t="s">
        <v>140</v>
      </c>
      <c r="D152" s="21" t="s">
        <v>27</v>
      </c>
      <c r="E152" s="23" t="s">
        <v>112</v>
      </c>
      <c r="F152" s="23" t="s">
        <v>57</v>
      </c>
      <c r="G152" s="23" t="s">
        <v>31</v>
      </c>
      <c r="H152" s="12" t="b">
        <f t="shared" si="6"/>
        <v>0</v>
      </c>
      <c r="I152" s="22" t="s">
        <v>87</v>
      </c>
      <c r="J152" s="20" t="s">
        <v>45</v>
      </c>
      <c r="K152" s="20" t="s">
        <v>21</v>
      </c>
      <c r="L152" s="25" t="b">
        <f t="shared" si="7"/>
        <v>0</v>
      </c>
      <c r="M152" s="22" t="s">
        <v>101</v>
      </c>
      <c r="N152" s="20" t="s">
        <v>36</v>
      </c>
      <c r="O152" s="20" t="s">
        <v>34</v>
      </c>
      <c r="P152" s="25" t="b">
        <f t="shared" si="8"/>
        <v>0</v>
      </c>
    </row>
    <row r="153" spans="1:16" s="14" customFormat="1" ht="30" x14ac:dyDescent="0.25">
      <c r="A153" s="15">
        <v>45903</v>
      </c>
      <c r="B153" s="20" t="s">
        <v>64</v>
      </c>
      <c r="C153" s="16" t="s">
        <v>45</v>
      </c>
      <c r="D153" s="21" t="s">
        <v>60</v>
      </c>
      <c r="E153" s="23" t="s">
        <v>14</v>
      </c>
      <c r="F153" s="23" t="s">
        <v>102</v>
      </c>
      <c r="G153" s="23" t="s">
        <v>168</v>
      </c>
      <c r="H153" s="12" t="b">
        <f t="shared" si="6"/>
        <v>0</v>
      </c>
      <c r="I153" s="22" t="s">
        <v>101</v>
      </c>
      <c r="J153" s="20" t="s">
        <v>57</v>
      </c>
      <c r="K153" s="20" t="s">
        <v>31</v>
      </c>
      <c r="L153" s="25" t="b">
        <f t="shared" si="7"/>
        <v>0</v>
      </c>
      <c r="M153" s="22" t="s">
        <v>76</v>
      </c>
      <c r="N153" s="20" t="s">
        <v>82</v>
      </c>
      <c r="O153" s="20" t="s">
        <v>168</v>
      </c>
      <c r="P153" s="25" t="b">
        <f t="shared" si="8"/>
        <v>0</v>
      </c>
    </row>
    <row r="154" spans="1:16" s="14" customFormat="1" x14ac:dyDescent="0.25">
      <c r="A154" s="15">
        <v>45904</v>
      </c>
      <c r="B154" s="20" t="s">
        <v>28</v>
      </c>
      <c r="C154" s="16" t="s">
        <v>10</v>
      </c>
      <c r="D154" s="21" t="s">
        <v>11</v>
      </c>
      <c r="E154" s="23" t="s">
        <v>19</v>
      </c>
      <c r="F154" s="23" t="s">
        <v>38</v>
      </c>
      <c r="G154" s="23" t="s">
        <v>31</v>
      </c>
      <c r="H154" s="12" t="b">
        <f t="shared" si="6"/>
        <v>0</v>
      </c>
      <c r="I154" s="22" t="s">
        <v>76</v>
      </c>
      <c r="J154" s="20" t="s">
        <v>38</v>
      </c>
      <c r="K154" s="20" t="s">
        <v>16</v>
      </c>
      <c r="L154" s="25" t="b">
        <f t="shared" si="7"/>
        <v>0</v>
      </c>
      <c r="M154" s="22" t="s">
        <v>22</v>
      </c>
      <c r="N154" s="20" t="s">
        <v>38</v>
      </c>
      <c r="O154" s="20" t="s">
        <v>16</v>
      </c>
      <c r="P154" s="25" t="b">
        <f t="shared" si="8"/>
        <v>0</v>
      </c>
    </row>
    <row r="155" spans="1:16" s="14" customFormat="1" ht="30.75" thickBot="1" x14ac:dyDescent="0.3">
      <c r="A155" s="52">
        <v>45905</v>
      </c>
      <c r="B155" s="40" t="s">
        <v>47</v>
      </c>
      <c r="C155" s="55" t="s">
        <v>74</v>
      </c>
      <c r="D155" s="41" t="s">
        <v>21</v>
      </c>
      <c r="E155" s="51" t="s">
        <v>28</v>
      </c>
      <c r="F155" s="51" t="s">
        <v>28</v>
      </c>
      <c r="G155" s="51" t="s">
        <v>28</v>
      </c>
      <c r="H155" s="43" t="b">
        <f t="shared" si="6"/>
        <v>0</v>
      </c>
      <c r="I155" s="42" t="s">
        <v>101</v>
      </c>
      <c r="J155" s="40" t="s">
        <v>54</v>
      </c>
      <c r="K155" s="40" t="s">
        <v>27</v>
      </c>
      <c r="L155" s="45" t="b">
        <f t="shared" si="7"/>
        <v>0</v>
      </c>
      <c r="M155" s="42" t="s">
        <v>141</v>
      </c>
      <c r="N155" s="40" t="s">
        <v>119</v>
      </c>
      <c r="O155" s="40" t="s">
        <v>21</v>
      </c>
      <c r="P155" s="45">
        <f t="shared" si="8"/>
        <v>0.5</v>
      </c>
    </row>
    <row r="156" spans="1:16" s="14" customFormat="1" ht="30.75" thickTop="1" x14ac:dyDescent="0.25">
      <c r="A156" s="33">
        <v>45908</v>
      </c>
      <c r="B156" s="48" t="s">
        <v>101</v>
      </c>
      <c r="C156" s="34" t="s">
        <v>38</v>
      </c>
      <c r="D156" s="36" t="s">
        <v>16</v>
      </c>
      <c r="E156" s="49" t="s">
        <v>101</v>
      </c>
      <c r="F156" s="49" t="s">
        <v>130</v>
      </c>
      <c r="G156" s="49" t="s">
        <v>21</v>
      </c>
      <c r="H156" s="36">
        <f t="shared" si="6"/>
        <v>1</v>
      </c>
      <c r="I156" s="47" t="s">
        <v>19</v>
      </c>
      <c r="J156" s="48" t="s">
        <v>57</v>
      </c>
      <c r="K156" s="48" t="s">
        <v>27</v>
      </c>
      <c r="L156" s="54" t="b">
        <f t="shared" si="7"/>
        <v>0</v>
      </c>
      <c r="M156" s="47" t="s">
        <v>22</v>
      </c>
      <c r="N156" s="48" t="s">
        <v>130</v>
      </c>
      <c r="O156" s="48" t="s">
        <v>21</v>
      </c>
      <c r="P156" s="54" t="b">
        <f t="shared" si="8"/>
        <v>0</v>
      </c>
    </row>
    <row r="157" spans="1:16" s="14" customFormat="1" ht="30" x14ac:dyDescent="0.25">
      <c r="A157" s="15">
        <v>45909</v>
      </c>
      <c r="B157" s="20" t="s">
        <v>22</v>
      </c>
      <c r="C157" s="16" t="s">
        <v>77</v>
      </c>
      <c r="D157" s="21" t="s">
        <v>52</v>
      </c>
      <c r="E157" s="23" t="s">
        <v>105</v>
      </c>
      <c r="F157" s="23" t="s">
        <v>106</v>
      </c>
      <c r="G157" s="23" t="s">
        <v>52</v>
      </c>
      <c r="H157" s="12">
        <f t="shared" si="6"/>
        <v>0.5</v>
      </c>
      <c r="I157" s="22" t="s">
        <v>22</v>
      </c>
      <c r="J157" s="20" t="s">
        <v>130</v>
      </c>
      <c r="K157" s="20" t="s">
        <v>21</v>
      </c>
      <c r="L157" s="25">
        <f t="shared" si="7"/>
        <v>1</v>
      </c>
      <c r="M157" s="22" t="s">
        <v>14</v>
      </c>
      <c r="N157" s="20" t="s">
        <v>25</v>
      </c>
      <c r="O157" s="20" t="s">
        <v>33</v>
      </c>
      <c r="P157" s="25" t="b">
        <f t="shared" si="8"/>
        <v>0</v>
      </c>
    </row>
    <row r="158" spans="1:16" s="14" customFormat="1" ht="45" x14ac:dyDescent="0.25">
      <c r="A158" s="15">
        <v>45910</v>
      </c>
      <c r="B158" s="20" t="s">
        <v>126</v>
      </c>
      <c r="C158" s="16" t="s">
        <v>36</v>
      </c>
      <c r="D158" s="21" t="s">
        <v>34</v>
      </c>
      <c r="E158" s="23" t="s">
        <v>28</v>
      </c>
      <c r="F158" s="23" t="s">
        <v>28</v>
      </c>
      <c r="G158" s="23" t="s">
        <v>28</v>
      </c>
      <c r="H158" s="12" t="b">
        <f t="shared" si="6"/>
        <v>0</v>
      </c>
      <c r="I158" s="22" t="s">
        <v>138</v>
      </c>
      <c r="J158" s="20" t="s">
        <v>57</v>
      </c>
      <c r="K158" s="20" t="s">
        <v>31</v>
      </c>
      <c r="L158" s="25" t="b">
        <f t="shared" si="7"/>
        <v>0</v>
      </c>
      <c r="M158" s="22" t="s">
        <v>76</v>
      </c>
      <c r="N158" s="20" t="s">
        <v>119</v>
      </c>
      <c r="O158" s="20" t="s">
        <v>21</v>
      </c>
      <c r="P158" s="25" t="b">
        <f t="shared" si="8"/>
        <v>0</v>
      </c>
    </row>
    <row r="159" spans="1:16" s="14" customFormat="1" ht="30" x14ac:dyDescent="0.25">
      <c r="A159" s="15">
        <v>45911</v>
      </c>
      <c r="B159" s="20" t="s">
        <v>73</v>
      </c>
      <c r="C159" s="16" t="s">
        <v>119</v>
      </c>
      <c r="D159" s="21" t="s">
        <v>21</v>
      </c>
      <c r="E159" s="23" t="s">
        <v>87</v>
      </c>
      <c r="F159" s="23" t="s">
        <v>119</v>
      </c>
      <c r="G159" s="23" t="s">
        <v>21</v>
      </c>
      <c r="H159" s="12">
        <f t="shared" si="6"/>
        <v>1</v>
      </c>
      <c r="I159" s="22" t="s">
        <v>76</v>
      </c>
      <c r="J159" s="20" t="s">
        <v>51</v>
      </c>
      <c r="K159" s="20" t="s">
        <v>21</v>
      </c>
      <c r="L159" s="25">
        <f t="shared" si="7"/>
        <v>0.5</v>
      </c>
      <c r="M159" s="22" t="s">
        <v>35</v>
      </c>
      <c r="N159" s="20" t="s">
        <v>106</v>
      </c>
      <c r="O159" s="20" t="s">
        <v>13</v>
      </c>
      <c r="P159" s="25" t="b">
        <f t="shared" si="8"/>
        <v>0</v>
      </c>
    </row>
    <row r="160" spans="1:16" s="14" customFormat="1" ht="30.75" thickBot="1" x14ac:dyDescent="0.3">
      <c r="A160" s="52">
        <v>45912</v>
      </c>
      <c r="B160" s="40" t="s">
        <v>124</v>
      </c>
      <c r="C160" s="55" t="s">
        <v>57</v>
      </c>
      <c r="D160" s="41" t="s">
        <v>31</v>
      </c>
      <c r="E160" s="51" t="s">
        <v>113</v>
      </c>
      <c r="F160" s="51" t="s">
        <v>57</v>
      </c>
      <c r="G160" s="51" t="s">
        <v>31</v>
      </c>
      <c r="H160" s="43">
        <f t="shared" si="6"/>
        <v>1</v>
      </c>
      <c r="I160" s="42" t="s">
        <v>35</v>
      </c>
      <c r="J160" s="40" t="s">
        <v>54</v>
      </c>
      <c r="K160" s="40" t="s">
        <v>11</v>
      </c>
      <c r="L160" s="45" t="b">
        <f t="shared" si="7"/>
        <v>0</v>
      </c>
      <c r="M160" s="42" t="s">
        <v>50</v>
      </c>
      <c r="N160" s="40" t="s">
        <v>12</v>
      </c>
      <c r="O160" s="40" t="s">
        <v>168</v>
      </c>
      <c r="P160" s="45" t="b">
        <f t="shared" si="8"/>
        <v>0</v>
      </c>
    </row>
    <row r="161" spans="1:16" s="14" customFormat="1" ht="75.75" thickTop="1" x14ac:dyDescent="0.25">
      <c r="A161" s="33">
        <v>45915</v>
      </c>
      <c r="B161" s="48" t="s">
        <v>115</v>
      </c>
      <c r="C161" s="34" t="s">
        <v>130</v>
      </c>
      <c r="D161" s="36" t="s">
        <v>21</v>
      </c>
      <c r="E161" s="49" t="s">
        <v>17</v>
      </c>
      <c r="F161" s="49" t="s">
        <v>130</v>
      </c>
      <c r="G161" s="49" t="s">
        <v>21</v>
      </c>
      <c r="H161" s="36">
        <f t="shared" si="6"/>
        <v>1</v>
      </c>
      <c r="I161" s="47" t="s">
        <v>76</v>
      </c>
      <c r="J161" s="48" t="s">
        <v>106</v>
      </c>
      <c r="K161" s="48" t="s">
        <v>168</v>
      </c>
      <c r="L161" s="54" t="b">
        <f t="shared" si="7"/>
        <v>0</v>
      </c>
      <c r="M161" s="47" t="s">
        <v>42</v>
      </c>
      <c r="N161" s="48" t="s">
        <v>130</v>
      </c>
      <c r="O161" s="48" t="s">
        <v>21</v>
      </c>
      <c r="P161" s="54">
        <f t="shared" si="8"/>
        <v>1</v>
      </c>
    </row>
    <row r="162" spans="1:16" s="14" customFormat="1" ht="30" x14ac:dyDescent="0.25">
      <c r="A162" s="15">
        <v>45916</v>
      </c>
      <c r="B162" s="20" t="s">
        <v>14</v>
      </c>
      <c r="C162" s="16" t="s">
        <v>163</v>
      </c>
      <c r="D162" s="21" t="s">
        <v>27</v>
      </c>
      <c r="E162" s="23" t="s">
        <v>105</v>
      </c>
      <c r="F162" s="23" t="s">
        <v>30</v>
      </c>
      <c r="G162" s="23" t="s">
        <v>27</v>
      </c>
      <c r="H162" s="12">
        <f t="shared" si="6"/>
        <v>0.5</v>
      </c>
      <c r="I162" s="22" t="s">
        <v>35</v>
      </c>
      <c r="J162" s="20" t="s">
        <v>77</v>
      </c>
      <c r="K162" s="20" t="s">
        <v>52</v>
      </c>
      <c r="L162" s="25" t="b">
        <f t="shared" si="7"/>
        <v>0</v>
      </c>
      <c r="M162" s="22" t="s">
        <v>8</v>
      </c>
      <c r="N162" s="20" t="s">
        <v>12</v>
      </c>
      <c r="O162" s="20" t="s">
        <v>13</v>
      </c>
      <c r="P162" s="25" t="b">
        <f t="shared" si="8"/>
        <v>0</v>
      </c>
    </row>
    <row r="163" spans="1:16" s="14" customFormat="1" ht="30" x14ac:dyDescent="0.25">
      <c r="A163" s="15">
        <v>45917</v>
      </c>
      <c r="B163" s="20" t="s">
        <v>138</v>
      </c>
      <c r="C163" s="16" t="s">
        <v>88</v>
      </c>
      <c r="D163" s="21" t="s">
        <v>21</v>
      </c>
      <c r="E163" s="23" t="s">
        <v>101</v>
      </c>
      <c r="F163" s="23" t="s">
        <v>82</v>
      </c>
      <c r="G163" s="23" t="s">
        <v>168</v>
      </c>
      <c r="H163" s="12" t="b">
        <f t="shared" si="6"/>
        <v>0</v>
      </c>
      <c r="I163" s="22" t="s">
        <v>76</v>
      </c>
      <c r="J163" s="20" t="s">
        <v>30</v>
      </c>
      <c r="K163" s="20" t="s">
        <v>31</v>
      </c>
      <c r="L163" s="25" t="b">
        <f t="shared" si="7"/>
        <v>0</v>
      </c>
      <c r="M163" s="22" t="s">
        <v>42</v>
      </c>
      <c r="N163" s="20" t="s">
        <v>30</v>
      </c>
      <c r="O163" s="20" t="s">
        <v>52</v>
      </c>
      <c r="P163" s="25" t="b">
        <f t="shared" si="8"/>
        <v>0</v>
      </c>
    </row>
    <row r="164" spans="1:16" s="14" customFormat="1" x14ac:dyDescent="0.25">
      <c r="A164" s="15">
        <v>45918</v>
      </c>
      <c r="B164" s="20" t="s">
        <v>176</v>
      </c>
      <c r="C164" s="16" t="s">
        <v>12</v>
      </c>
      <c r="D164" s="21" t="s">
        <v>168</v>
      </c>
      <c r="E164" s="23" t="s">
        <v>28</v>
      </c>
      <c r="F164" s="23" t="s">
        <v>28</v>
      </c>
      <c r="G164" s="23" t="s">
        <v>28</v>
      </c>
      <c r="H164" s="12" t="b">
        <f t="shared" si="6"/>
        <v>0</v>
      </c>
      <c r="I164" s="22" t="s">
        <v>42</v>
      </c>
      <c r="J164" s="20" t="s">
        <v>77</v>
      </c>
      <c r="K164" s="20" t="s">
        <v>52</v>
      </c>
      <c r="L164" s="25" t="b">
        <f t="shared" si="7"/>
        <v>0</v>
      </c>
      <c r="M164" s="22" t="s">
        <v>35</v>
      </c>
      <c r="N164" s="20" t="s">
        <v>10</v>
      </c>
      <c r="O164" s="20" t="s">
        <v>11</v>
      </c>
      <c r="P164" s="25" t="b">
        <f t="shared" si="8"/>
        <v>0</v>
      </c>
    </row>
    <row r="165" spans="1:16" s="14" customFormat="1" ht="15.75" thickBot="1" x14ac:dyDescent="0.3">
      <c r="A165" s="52">
        <v>45919</v>
      </c>
      <c r="B165" s="40" t="s">
        <v>76</v>
      </c>
      <c r="C165" s="55" t="s">
        <v>51</v>
      </c>
      <c r="D165" s="41" t="s">
        <v>52</v>
      </c>
      <c r="E165" s="51" t="s">
        <v>35</v>
      </c>
      <c r="F165" s="51" t="s">
        <v>125</v>
      </c>
      <c r="G165" s="51" t="s">
        <v>31</v>
      </c>
      <c r="H165" s="43" t="b">
        <f t="shared" si="6"/>
        <v>0</v>
      </c>
      <c r="I165" s="42" t="s">
        <v>35</v>
      </c>
      <c r="J165" s="40" t="s">
        <v>30</v>
      </c>
      <c r="K165" s="40" t="s">
        <v>31</v>
      </c>
      <c r="L165" s="45" t="b">
        <f t="shared" si="7"/>
        <v>0</v>
      </c>
      <c r="M165" s="42" t="s">
        <v>19</v>
      </c>
      <c r="N165" s="40" t="s">
        <v>38</v>
      </c>
      <c r="O165" s="40" t="s">
        <v>16</v>
      </c>
      <c r="P165" s="45" t="b">
        <f t="shared" si="8"/>
        <v>0</v>
      </c>
    </row>
    <row r="166" spans="1:16" s="14" customFormat="1" ht="39" thickTop="1" x14ac:dyDescent="0.25">
      <c r="A166" s="33">
        <v>45922</v>
      </c>
      <c r="B166" s="48" t="s">
        <v>22</v>
      </c>
      <c r="C166" s="34" t="s">
        <v>160</v>
      </c>
      <c r="D166" s="36" t="s">
        <v>13</v>
      </c>
      <c r="E166" s="49" t="s">
        <v>73</v>
      </c>
      <c r="F166" s="49" t="s">
        <v>57</v>
      </c>
      <c r="G166" s="49" t="s">
        <v>31</v>
      </c>
      <c r="H166" s="36" t="b">
        <f t="shared" si="6"/>
        <v>0</v>
      </c>
      <c r="I166" s="47" t="s">
        <v>42</v>
      </c>
      <c r="J166" s="48" t="s">
        <v>26</v>
      </c>
      <c r="K166" s="48" t="s">
        <v>27</v>
      </c>
      <c r="L166" s="54" t="b">
        <f t="shared" si="7"/>
        <v>0</v>
      </c>
      <c r="M166" s="47" t="s">
        <v>8</v>
      </c>
      <c r="N166" s="48" t="s">
        <v>77</v>
      </c>
      <c r="O166" s="48" t="s">
        <v>13</v>
      </c>
      <c r="P166" s="54">
        <f t="shared" si="8"/>
        <v>0.5</v>
      </c>
    </row>
    <row r="167" spans="1:16" s="14" customFormat="1" ht="30" x14ac:dyDescent="0.25">
      <c r="A167" s="15">
        <v>45923</v>
      </c>
      <c r="B167" s="20" t="s">
        <v>42</v>
      </c>
      <c r="C167" s="16" t="s">
        <v>82</v>
      </c>
      <c r="D167" s="21" t="s">
        <v>21</v>
      </c>
      <c r="E167" s="23" t="s">
        <v>105</v>
      </c>
      <c r="F167" s="23" t="s">
        <v>38</v>
      </c>
      <c r="G167" s="23" t="s">
        <v>16</v>
      </c>
      <c r="H167" s="12" t="b">
        <f t="shared" si="6"/>
        <v>0</v>
      </c>
      <c r="I167" s="22" t="s">
        <v>8</v>
      </c>
      <c r="J167" s="20" t="s">
        <v>30</v>
      </c>
      <c r="K167" s="20" t="s">
        <v>31</v>
      </c>
      <c r="L167" s="25" t="b">
        <f t="shared" si="7"/>
        <v>0</v>
      </c>
      <c r="M167" s="22" t="s">
        <v>42</v>
      </c>
      <c r="N167" s="20" t="s">
        <v>36</v>
      </c>
      <c r="O167" s="20" t="s">
        <v>34</v>
      </c>
      <c r="P167" s="25">
        <f t="shared" si="8"/>
        <v>1</v>
      </c>
    </row>
    <row r="168" spans="1:16" s="14" customFormat="1" ht="30" x14ac:dyDescent="0.25">
      <c r="A168" s="15">
        <v>45924</v>
      </c>
      <c r="B168" s="20" t="s">
        <v>101</v>
      </c>
      <c r="C168" s="16" t="s">
        <v>38</v>
      </c>
      <c r="D168" s="21" t="s">
        <v>16</v>
      </c>
      <c r="E168" s="23" t="s">
        <v>112</v>
      </c>
      <c r="F168" s="23" t="s">
        <v>26</v>
      </c>
      <c r="G168" s="23" t="s">
        <v>27</v>
      </c>
      <c r="H168" s="12" t="b">
        <f t="shared" si="6"/>
        <v>0</v>
      </c>
      <c r="I168" s="22" t="s">
        <v>62</v>
      </c>
      <c r="J168" s="20" t="s">
        <v>36</v>
      </c>
      <c r="K168" s="20" t="s">
        <v>34</v>
      </c>
      <c r="L168" s="25" t="b">
        <f t="shared" si="7"/>
        <v>0</v>
      </c>
      <c r="M168" s="22" t="s">
        <v>101</v>
      </c>
      <c r="N168" s="20" t="s">
        <v>25</v>
      </c>
      <c r="O168" s="20" t="s">
        <v>33</v>
      </c>
      <c r="P168" s="25">
        <f t="shared" si="8"/>
        <v>1</v>
      </c>
    </row>
    <row r="169" spans="1:16" s="14" customFormat="1" ht="30" x14ac:dyDescent="0.25">
      <c r="A169" s="15">
        <v>45925</v>
      </c>
      <c r="B169" s="20" t="s">
        <v>113</v>
      </c>
      <c r="C169" s="16" t="s">
        <v>30</v>
      </c>
      <c r="D169" s="21" t="s">
        <v>27</v>
      </c>
      <c r="E169" s="23" t="s">
        <v>105</v>
      </c>
      <c r="F169" s="23" t="s">
        <v>25</v>
      </c>
      <c r="G169" s="23" t="s">
        <v>33</v>
      </c>
      <c r="H169" s="12" t="b">
        <f t="shared" si="6"/>
        <v>0</v>
      </c>
      <c r="I169" s="22" t="s">
        <v>136</v>
      </c>
      <c r="J169" s="20" t="s">
        <v>77</v>
      </c>
      <c r="K169" s="20" t="s">
        <v>21</v>
      </c>
      <c r="L169" s="25" t="b">
        <f t="shared" si="7"/>
        <v>0</v>
      </c>
      <c r="M169" s="22" t="s">
        <v>8</v>
      </c>
      <c r="N169" s="20" t="s">
        <v>57</v>
      </c>
      <c r="O169" s="20" t="s">
        <v>168</v>
      </c>
      <c r="P169" s="25" t="b">
        <f t="shared" si="8"/>
        <v>0</v>
      </c>
    </row>
    <row r="170" spans="1:16" s="14" customFormat="1" ht="30.75" thickBot="1" x14ac:dyDescent="0.3">
      <c r="A170" s="52">
        <v>45926</v>
      </c>
      <c r="B170" s="40" t="s">
        <v>95</v>
      </c>
      <c r="C170" s="55" t="s">
        <v>130</v>
      </c>
      <c r="D170" s="41" t="s">
        <v>90</v>
      </c>
      <c r="E170" s="51" t="s">
        <v>62</v>
      </c>
      <c r="F170" s="51" t="s">
        <v>10</v>
      </c>
      <c r="G170" s="51" t="s">
        <v>11</v>
      </c>
      <c r="H170" s="43" t="b">
        <f t="shared" si="6"/>
        <v>0</v>
      </c>
      <c r="I170" s="42" t="s">
        <v>35</v>
      </c>
      <c r="J170" s="40" t="s">
        <v>36</v>
      </c>
      <c r="K170" s="40" t="s">
        <v>34</v>
      </c>
      <c r="L170" s="45" t="b">
        <f t="shared" si="7"/>
        <v>0</v>
      </c>
      <c r="M170" s="42" t="s">
        <v>35</v>
      </c>
      <c r="N170" s="40" t="s">
        <v>12</v>
      </c>
      <c r="O170" s="40" t="s">
        <v>60</v>
      </c>
      <c r="P170" s="45" t="b">
        <f t="shared" si="8"/>
        <v>0</v>
      </c>
    </row>
    <row r="171" spans="1:16" s="14" customFormat="1" ht="41.25" customHeight="1" thickTop="1" x14ac:dyDescent="0.25">
      <c r="A171" s="33">
        <v>45929</v>
      </c>
      <c r="B171" s="48" t="s">
        <v>169</v>
      </c>
      <c r="C171" s="34" t="s">
        <v>111</v>
      </c>
      <c r="D171" s="36" t="s">
        <v>168</v>
      </c>
      <c r="E171" s="49" t="s">
        <v>50</v>
      </c>
      <c r="F171" s="49" t="s">
        <v>82</v>
      </c>
      <c r="G171" s="49" t="s">
        <v>21</v>
      </c>
      <c r="H171" s="36" t="b">
        <f t="shared" si="6"/>
        <v>0</v>
      </c>
      <c r="I171" s="47" t="s">
        <v>35</v>
      </c>
      <c r="J171" s="48" t="s">
        <v>10</v>
      </c>
      <c r="K171" s="48" t="s">
        <v>11</v>
      </c>
      <c r="L171" s="54" t="b">
        <f t="shared" si="7"/>
        <v>0</v>
      </c>
      <c r="M171" s="47" t="s">
        <v>8</v>
      </c>
      <c r="N171" s="48" t="s">
        <v>12</v>
      </c>
      <c r="O171" s="48" t="s">
        <v>60</v>
      </c>
      <c r="P171" s="54" t="b">
        <f t="shared" si="8"/>
        <v>0</v>
      </c>
    </row>
    <row r="172" spans="1:16" s="14" customFormat="1" ht="30" x14ac:dyDescent="0.25">
      <c r="A172" s="15">
        <v>45930</v>
      </c>
      <c r="B172" s="20" t="s">
        <v>47</v>
      </c>
      <c r="C172" s="16" t="s">
        <v>117</v>
      </c>
      <c r="D172" s="21" t="s">
        <v>21</v>
      </c>
      <c r="E172" s="23" t="s">
        <v>42</v>
      </c>
      <c r="F172" s="23" t="s">
        <v>125</v>
      </c>
      <c r="G172" s="23" t="s">
        <v>31</v>
      </c>
      <c r="H172" s="12" t="b">
        <f t="shared" si="6"/>
        <v>0</v>
      </c>
      <c r="I172" s="22" t="s">
        <v>8</v>
      </c>
      <c r="J172" s="20" t="s">
        <v>57</v>
      </c>
      <c r="K172" s="20" t="s">
        <v>31</v>
      </c>
      <c r="L172" s="25" t="b">
        <f t="shared" si="7"/>
        <v>0</v>
      </c>
      <c r="M172" s="22" t="s">
        <v>35</v>
      </c>
      <c r="N172" s="20" t="s">
        <v>74</v>
      </c>
      <c r="O172" s="20" t="s">
        <v>21</v>
      </c>
      <c r="P172" s="25">
        <f t="shared" si="8"/>
        <v>0.5</v>
      </c>
    </row>
    <row r="173" spans="1:16" s="14" customFormat="1" ht="30" x14ac:dyDescent="0.25">
      <c r="A173" s="15">
        <v>45931</v>
      </c>
      <c r="B173" s="20" t="s">
        <v>29</v>
      </c>
      <c r="C173" s="16" t="s">
        <v>45</v>
      </c>
      <c r="D173" s="21" t="s">
        <v>90</v>
      </c>
      <c r="E173" s="23" t="s">
        <v>14</v>
      </c>
      <c r="F173" s="23" t="s">
        <v>57</v>
      </c>
      <c r="G173" s="23" t="s">
        <v>90</v>
      </c>
      <c r="H173" s="12">
        <f t="shared" si="6"/>
        <v>0.5</v>
      </c>
      <c r="I173" s="22" t="s">
        <v>35</v>
      </c>
      <c r="J173" s="20" t="s">
        <v>10</v>
      </c>
      <c r="K173" s="20" t="s">
        <v>11</v>
      </c>
      <c r="L173" s="25" t="b">
        <f t="shared" si="7"/>
        <v>0</v>
      </c>
      <c r="M173" s="22" t="s">
        <v>8</v>
      </c>
      <c r="N173" s="20" t="s">
        <v>36</v>
      </c>
      <c r="O173" s="20" t="s">
        <v>34</v>
      </c>
      <c r="P173" s="25" t="b">
        <f t="shared" si="8"/>
        <v>0</v>
      </c>
    </row>
    <row r="174" spans="1:16" s="14" customFormat="1" ht="30" x14ac:dyDescent="0.25">
      <c r="A174" s="15">
        <v>45932</v>
      </c>
      <c r="B174" s="20" t="s">
        <v>87</v>
      </c>
      <c r="C174" s="16" t="s">
        <v>57</v>
      </c>
      <c r="D174" s="21" t="s">
        <v>31</v>
      </c>
      <c r="E174" s="23" t="s">
        <v>101</v>
      </c>
      <c r="F174" s="23" t="s">
        <v>38</v>
      </c>
      <c r="G174" s="23" t="s">
        <v>31</v>
      </c>
      <c r="H174" s="12">
        <f t="shared" si="6"/>
        <v>0.5</v>
      </c>
      <c r="I174" s="22" t="s">
        <v>8</v>
      </c>
      <c r="J174" s="20" t="s">
        <v>38</v>
      </c>
      <c r="K174" s="20" t="s">
        <v>31</v>
      </c>
      <c r="L174" s="25">
        <f t="shared" si="7"/>
        <v>0.5</v>
      </c>
      <c r="M174" s="22" t="s">
        <v>35</v>
      </c>
      <c r="N174" s="20" t="s">
        <v>10</v>
      </c>
      <c r="O174" s="20" t="s">
        <v>11</v>
      </c>
      <c r="P174" s="25" t="b">
        <f t="shared" si="8"/>
        <v>0</v>
      </c>
    </row>
    <row r="175" spans="1:16" s="14" customFormat="1" ht="30.75" thickBot="1" x14ac:dyDescent="0.3">
      <c r="A175" s="52">
        <v>45933</v>
      </c>
      <c r="B175" s="40" t="s">
        <v>138</v>
      </c>
      <c r="C175" s="55" t="s">
        <v>36</v>
      </c>
      <c r="D175" s="41" t="s">
        <v>34</v>
      </c>
      <c r="E175" s="51" t="s">
        <v>14</v>
      </c>
      <c r="F175" s="51" t="s">
        <v>10</v>
      </c>
      <c r="G175" s="51" t="s">
        <v>11</v>
      </c>
      <c r="H175" s="43" t="b">
        <f t="shared" si="6"/>
        <v>0</v>
      </c>
      <c r="I175" s="42" t="s">
        <v>73</v>
      </c>
      <c r="J175" s="40" t="s">
        <v>119</v>
      </c>
      <c r="K175" s="40" t="s">
        <v>21</v>
      </c>
      <c r="L175" s="45" t="b">
        <f t="shared" si="7"/>
        <v>0</v>
      </c>
      <c r="M175" s="42" t="s">
        <v>28</v>
      </c>
      <c r="N175" s="40" t="s">
        <v>28</v>
      </c>
      <c r="O175" s="40" t="s">
        <v>28</v>
      </c>
      <c r="P175" s="45" t="b">
        <f t="shared" si="8"/>
        <v>0</v>
      </c>
    </row>
    <row r="176" spans="1:16" s="14" customFormat="1" ht="30.75" thickTop="1" x14ac:dyDescent="0.25">
      <c r="A176" s="33">
        <v>45936</v>
      </c>
      <c r="B176" s="48" t="s">
        <v>73</v>
      </c>
      <c r="C176" s="34" t="s">
        <v>130</v>
      </c>
      <c r="D176" s="36" t="s">
        <v>21</v>
      </c>
      <c r="E176" s="49" t="s">
        <v>73</v>
      </c>
      <c r="F176" s="49" t="s">
        <v>82</v>
      </c>
      <c r="G176" s="49" t="s">
        <v>21</v>
      </c>
      <c r="H176" s="36">
        <f t="shared" si="6"/>
        <v>1.5</v>
      </c>
      <c r="I176" s="47" t="s">
        <v>28</v>
      </c>
      <c r="J176" s="48" t="s">
        <v>28</v>
      </c>
      <c r="K176" s="48" t="s">
        <v>28</v>
      </c>
      <c r="L176" s="54" t="b">
        <f t="shared" si="7"/>
        <v>0</v>
      </c>
      <c r="M176" s="47" t="s">
        <v>101</v>
      </c>
      <c r="N176" s="48" t="s">
        <v>130</v>
      </c>
      <c r="O176" s="48" t="s">
        <v>21</v>
      </c>
      <c r="P176" s="54">
        <f t="shared" si="8"/>
        <v>1</v>
      </c>
    </row>
    <row r="177" spans="1:17" s="14" customFormat="1" ht="30" x14ac:dyDescent="0.25">
      <c r="A177" s="15">
        <v>45937</v>
      </c>
      <c r="B177" s="20" t="s">
        <v>8</v>
      </c>
      <c r="C177" s="16" t="s">
        <v>77</v>
      </c>
      <c r="D177" s="21" t="s">
        <v>52</v>
      </c>
      <c r="E177" s="23" t="s">
        <v>105</v>
      </c>
      <c r="F177" s="23" t="s">
        <v>38</v>
      </c>
      <c r="G177" s="23" t="s">
        <v>16</v>
      </c>
      <c r="H177" s="12" t="b">
        <f t="shared" si="6"/>
        <v>0</v>
      </c>
      <c r="I177" s="22" t="s">
        <v>35</v>
      </c>
      <c r="J177" s="20" t="s">
        <v>10</v>
      </c>
      <c r="K177" s="20" t="s">
        <v>11</v>
      </c>
      <c r="L177" s="25" t="b">
        <f t="shared" si="7"/>
        <v>0</v>
      </c>
      <c r="M177" s="22" t="s">
        <v>14</v>
      </c>
      <c r="N177" s="20" t="s">
        <v>57</v>
      </c>
      <c r="O177" s="20" t="s">
        <v>27</v>
      </c>
      <c r="P177" s="25" t="b">
        <f t="shared" si="8"/>
        <v>0</v>
      </c>
    </row>
    <row r="178" spans="1:17" s="14" customFormat="1" ht="30" x14ac:dyDescent="0.25">
      <c r="A178" s="15">
        <v>45938</v>
      </c>
      <c r="B178" s="20" t="s">
        <v>76</v>
      </c>
      <c r="C178" s="16" t="s">
        <v>151</v>
      </c>
      <c r="D178" s="21" t="s">
        <v>170</v>
      </c>
      <c r="E178" s="23" t="s">
        <v>101</v>
      </c>
      <c r="F178" s="23" t="s">
        <v>125</v>
      </c>
      <c r="G178" s="23" t="s">
        <v>170</v>
      </c>
      <c r="H178" s="12">
        <f t="shared" si="6"/>
        <v>0.5</v>
      </c>
      <c r="I178" s="22" t="s">
        <v>14</v>
      </c>
      <c r="J178" s="20" t="s">
        <v>38</v>
      </c>
      <c r="K178" s="20" t="s">
        <v>170</v>
      </c>
      <c r="L178" s="25">
        <f t="shared" si="7"/>
        <v>0.5</v>
      </c>
      <c r="M178" s="22" t="s">
        <v>76</v>
      </c>
      <c r="N178" s="20" t="s">
        <v>10</v>
      </c>
      <c r="O178" s="20" t="s">
        <v>11</v>
      </c>
      <c r="P178" s="25">
        <f t="shared" si="8"/>
        <v>1</v>
      </c>
      <c r="Q178" s="14" t="s">
        <v>171</v>
      </c>
    </row>
    <row r="179" spans="1:17" s="14" customFormat="1" ht="30" x14ac:dyDescent="0.25">
      <c r="A179" s="15">
        <v>45939</v>
      </c>
      <c r="B179" s="20" t="s">
        <v>105</v>
      </c>
      <c r="C179" s="16" t="s">
        <v>163</v>
      </c>
      <c r="D179" s="21" t="s">
        <v>27</v>
      </c>
      <c r="E179" s="23" t="s">
        <v>62</v>
      </c>
      <c r="F179" s="23" t="s">
        <v>106</v>
      </c>
      <c r="G179" s="23" t="s">
        <v>13</v>
      </c>
      <c r="H179" s="12" t="b">
        <f t="shared" si="6"/>
        <v>0</v>
      </c>
      <c r="I179" s="22" t="s">
        <v>29</v>
      </c>
      <c r="J179" s="20" t="s">
        <v>33</v>
      </c>
      <c r="K179" s="20" t="s">
        <v>13</v>
      </c>
      <c r="L179" s="25">
        <v>3</v>
      </c>
      <c r="M179" s="22" t="s">
        <v>14</v>
      </c>
      <c r="N179" s="20" t="s">
        <v>51</v>
      </c>
      <c r="O179" s="20" t="s">
        <v>90</v>
      </c>
      <c r="P179" s="25" t="b">
        <f t="shared" si="8"/>
        <v>0</v>
      </c>
    </row>
    <row r="180" spans="1:17" s="14" customFormat="1" ht="30.75" thickBot="1" x14ac:dyDescent="0.3">
      <c r="A180" s="52">
        <v>45940</v>
      </c>
      <c r="B180" s="40" t="s">
        <v>101</v>
      </c>
      <c r="C180" s="55" t="s">
        <v>33</v>
      </c>
      <c r="D180" s="41" t="s">
        <v>21</v>
      </c>
      <c r="E180" s="51" t="s">
        <v>14</v>
      </c>
      <c r="F180" s="51" t="s">
        <v>33</v>
      </c>
      <c r="G180" s="51" t="s">
        <v>34</v>
      </c>
      <c r="H180" s="43">
        <f t="shared" si="6"/>
        <v>0.5</v>
      </c>
      <c r="I180" s="42" t="s">
        <v>35</v>
      </c>
      <c r="J180" s="40" t="s">
        <v>10</v>
      </c>
      <c r="K180" s="40" t="s">
        <v>11</v>
      </c>
      <c r="L180" s="45" t="b">
        <f t="shared" si="7"/>
        <v>0</v>
      </c>
      <c r="M180" s="42" t="s">
        <v>101</v>
      </c>
      <c r="N180" s="40" t="s">
        <v>82</v>
      </c>
      <c r="O180" s="40" t="s">
        <v>168</v>
      </c>
      <c r="P180" s="45">
        <f t="shared" si="8"/>
        <v>1</v>
      </c>
    </row>
    <row r="181" spans="1:17" s="14" customFormat="1" ht="45.75" thickTop="1" x14ac:dyDescent="0.25">
      <c r="A181" s="33">
        <v>45943</v>
      </c>
      <c r="B181" s="48" t="s">
        <v>42</v>
      </c>
      <c r="C181" s="34" t="s">
        <v>160</v>
      </c>
      <c r="D181" s="36" t="s">
        <v>21</v>
      </c>
      <c r="E181" s="49" t="s">
        <v>47</v>
      </c>
      <c r="F181" s="49" t="s">
        <v>82</v>
      </c>
      <c r="G181" s="49" t="s">
        <v>21</v>
      </c>
      <c r="H181" s="36">
        <f t="shared" si="6"/>
        <v>0.5</v>
      </c>
      <c r="I181" s="47" t="s">
        <v>19</v>
      </c>
      <c r="J181" s="48" t="s">
        <v>160</v>
      </c>
      <c r="K181" s="48" t="s">
        <v>90</v>
      </c>
      <c r="L181" s="54">
        <f t="shared" si="7"/>
        <v>0.5</v>
      </c>
      <c r="M181" s="47" t="s">
        <v>22</v>
      </c>
      <c r="N181" s="48" t="s">
        <v>160</v>
      </c>
      <c r="O181" s="48" t="s">
        <v>13</v>
      </c>
      <c r="P181" s="54">
        <f t="shared" si="8"/>
        <v>0.5</v>
      </c>
      <c r="Q181" s="14" t="s">
        <v>171</v>
      </c>
    </row>
    <row r="182" spans="1:17" s="14" customFormat="1" ht="30" x14ac:dyDescent="0.25">
      <c r="A182" s="15">
        <v>45944</v>
      </c>
      <c r="B182" s="20" t="s">
        <v>22</v>
      </c>
      <c r="C182" s="16" t="s">
        <v>12</v>
      </c>
      <c r="D182" s="21" t="s">
        <v>13</v>
      </c>
      <c r="E182" s="23" t="s">
        <v>17</v>
      </c>
      <c r="F182" s="23" t="s">
        <v>125</v>
      </c>
      <c r="G182" s="23" t="s">
        <v>31</v>
      </c>
      <c r="H182" s="12" t="b">
        <f t="shared" si="6"/>
        <v>0</v>
      </c>
      <c r="I182" s="22" t="s">
        <v>35</v>
      </c>
      <c r="J182" s="20" t="s">
        <v>10</v>
      </c>
      <c r="K182" s="20" t="s">
        <v>11</v>
      </c>
      <c r="L182" s="25" t="b">
        <f t="shared" si="7"/>
        <v>0</v>
      </c>
      <c r="M182" s="22" t="s">
        <v>14</v>
      </c>
      <c r="N182" s="20" t="s">
        <v>82</v>
      </c>
      <c r="O182" s="20" t="s">
        <v>168</v>
      </c>
      <c r="P182" s="25" t="b">
        <f t="shared" si="8"/>
        <v>0</v>
      </c>
    </row>
    <row r="183" spans="1:17" s="14" customFormat="1" ht="30" x14ac:dyDescent="0.25">
      <c r="A183" s="15">
        <v>45945</v>
      </c>
      <c r="B183" s="20" t="s">
        <v>120</v>
      </c>
      <c r="C183" s="16" t="s">
        <v>10</v>
      </c>
      <c r="D183" s="21" t="s">
        <v>31</v>
      </c>
      <c r="E183" s="23" t="s">
        <v>29</v>
      </c>
      <c r="F183" s="23" t="s">
        <v>30</v>
      </c>
      <c r="G183" s="23" t="s">
        <v>27</v>
      </c>
      <c r="H183" s="12" t="b">
        <f t="shared" si="6"/>
        <v>0</v>
      </c>
      <c r="I183" s="22" t="s">
        <v>14</v>
      </c>
      <c r="J183" s="20" t="s">
        <v>125</v>
      </c>
      <c r="K183" s="20" t="s">
        <v>31</v>
      </c>
      <c r="L183" s="25">
        <f t="shared" si="7"/>
        <v>0.5</v>
      </c>
      <c r="M183" s="22" t="s">
        <v>166</v>
      </c>
      <c r="N183" s="20" t="s">
        <v>38</v>
      </c>
      <c r="O183" s="20" t="s">
        <v>31</v>
      </c>
      <c r="P183" s="25">
        <f t="shared" si="8"/>
        <v>0.5</v>
      </c>
    </row>
    <row r="184" spans="1:17" s="14" customFormat="1" x14ac:dyDescent="0.25">
      <c r="A184" s="15">
        <v>45946</v>
      </c>
      <c r="B184" s="20" t="s">
        <v>76</v>
      </c>
      <c r="C184" s="16" t="s">
        <v>119</v>
      </c>
      <c r="D184" s="21" t="s">
        <v>21</v>
      </c>
      <c r="E184" s="23" t="s">
        <v>76</v>
      </c>
      <c r="F184" s="23" t="s">
        <v>119</v>
      </c>
      <c r="G184" s="23" t="s">
        <v>21</v>
      </c>
      <c r="H184" s="12">
        <f t="shared" si="6"/>
        <v>3</v>
      </c>
      <c r="I184" s="22" t="s">
        <v>76</v>
      </c>
      <c r="J184" s="20" t="s">
        <v>119</v>
      </c>
      <c r="K184" s="20" t="s">
        <v>21</v>
      </c>
      <c r="L184" s="25">
        <f t="shared" si="7"/>
        <v>3</v>
      </c>
      <c r="M184" s="22" t="s">
        <v>76</v>
      </c>
      <c r="N184" s="20" t="s">
        <v>119</v>
      </c>
      <c r="O184" s="20" t="s">
        <v>21</v>
      </c>
      <c r="P184" s="25">
        <f t="shared" si="8"/>
        <v>3</v>
      </c>
    </row>
    <row r="185" spans="1:17" s="14" customFormat="1" ht="30.75" thickBot="1" x14ac:dyDescent="0.3">
      <c r="A185" s="52">
        <v>45947</v>
      </c>
      <c r="B185" s="40" t="s">
        <v>29</v>
      </c>
      <c r="C185" s="55" t="s">
        <v>74</v>
      </c>
      <c r="D185" s="41" t="s">
        <v>27</v>
      </c>
      <c r="E185" s="51" t="s">
        <v>28</v>
      </c>
      <c r="F185" s="51" t="s">
        <v>28</v>
      </c>
      <c r="G185" s="51" t="s">
        <v>28</v>
      </c>
      <c r="H185" s="43" t="b">
        <f t="shared" si="6"/>
        <v>0</v>
      </c>
      <c r="I185" s="42" t="s">
        <v>84</v>
      </c>
      <c r="J185" s="40" t="s">
        <v>30</v>
      </c>
      <c r="K185" s="40" t="s">
        <v>27</v>
      </c>
      <c r="L185" s="45">
        <f t="shared" si="7"/>
        <v>0.5</v>
      </c>
      <c r="M185" s="42" t="s">
        <v>14</v>
      </c>
      <c r="N185" s="40" t="s">
        <v>51</v>
      </c>
      <c r="O185" s="40" t="s">
        <v>90</v>
      </c>
      <c r="P185" s="45" t="b">
        <f t="shared" si="8"/>
        <v>0</v>
      </c>
    </row>
    <row r="186" spans="1:17" s="14" customFormat="1" ht="30.75" thickTop="1" x14ac:dyDescent="0.25">
      <c r="A186" s="33">
        <v>45950</v>
      </c>
      <c r="B186" s="48" t="s">
        <v>19</v>
      </c>
      <c r="C186" s="34" t="s">
        <v>118</v>
      </c>
      <c r="D186" s="36" t="s">
        <v>168</v>
      </c>
      <c r="E186" s="49" t="s">
        <v>73</v>
      </c>
      <c r="F186" s="49" t="s">
        <v>130</v>
      </c>
      <c r="G186" s="49" t="s">
        <v>168</v>
      </c>
      <c r="H186" s="36">
        <f t="shared" si="6"/>
        <v>0.5</v>
      </c>
      <c r="I186" s="47" t="s">
        <v>19</v>
      </c>
      <c r="J186" s="48" t="s">
        <v>57</v>
      </c>
      <c r="K186" s="48" t="s">
        <v>31</v>
      </c>
      <c r="L186" s="54">
        <f t="shared" si="7"/>
        <v>1</v>
      </c>
      <c r="M186" s="47" t="s">
        <v>22</v>
      </c>
      <c r="N186" s="48" t="s">
        <v>130</v>
      </c>
      <c r="O186" s="48" t="s">
        <v>21</v>
      </c>
      <c r="P186" s="54" t="b">
        <f t="shared" si="8"/>
        <v>0</v>
      </c>
    </row>
    <row r="187" spans="1:17" s="14" customFormat="1" ht="30" x14ac:dyDescent="0.25">
      <c r="A187" s="15">
        <v>45951</v>
      </c>
      <c r="B187" s="20" t="s">
        <v>14</v>
      </c>
      <c r="C187" s="16" t="s">
        <v>30</v>
      </c>
      <c r="D187" s="21" t="s">
        <v>31</v>
      </c>
      <c r="E187" s="23" t="s">
        <v>14</v>
      </c>
      <c r="F187" s="23" t="s">
        <v>57</v>
      </c>
      <c r="G187" s="23" t="s">
        <v>21</v>
      </c>
      <c r="H187" s="12">
        <f t="shared" si="6"/>
        <v>1</v>
      </c>
      <c r="I187" s="22" t="s">
        <v>105</v>
      </c>
      <c r="J187" s="20" t="s">
        <v>82</v>
      </c>
      <c r="K187" s="20" t="s">
        <v>21</v>
      </c>
      <c r="L187" s="25" t="b">
        <f t="shared" si="7"/>
        <v>0</v>
      </c>
      <c r="M187" s="22" t="s">
        <v>87</v>
      </c>
      <c r="N187" s="20" t="s">
        <v>82</v>
      </c>
      <c r="O187" s="20" t="s">
        <v>27</v>
      </c>
      <c r="P187" s="25" t="b">
        <f t="shared" si="8"/>
        <v>0</v>
      </c>
    </row>
    <row r="188" spans="1:17" s="14" customFormat="1" ht="30" x14ac:dyDescent="0.25">
      <c r="A188" s="15">
        <v>45952</v>
      </c>
      <c r="B188" s="20" t="s">
        <v>73</v>
      </c>
      <c r="C188" s="16" t="s">
        <v>74</v>
      </c>
      <c r="D188" s="21" t="s">
        <v>21</v>
      </c>
      <c r="E188" s="23" t="s">
        <v>87</v>
      </c>
      <c r="F188" s="23" t="s">
        <v>38</v>
      </c>
      <c r="G188" s="23" t="s">
        <v>16</v>
      </c>
      <c r="H188" s="12" t="b">
        <f t="shared" si="6"/>
        <v>0</v>
      </c>
      <c r="I188" s="22" t="s">
        <v>8</v>
      </c>
      <c r="J188" s="20" t="s">
        <v>38</v>
      </c>
      <c r="K188" s="20" t="s">
        <v>16</v>
      </c>
      <c r="L188" s="25" t="b">
        <f t="shared" si="7"/>
        <v>0</v>
      </c>
      <c r="M188" s="22" t="s">
        <v>35</v>
      </c>
      <c r="N188" s="20" t="s">
        <v>36</v>
      </c>
      <c r="O188" s="20" t="s">
        <v>34</v>
      </c>
      <c r="P188" s="25" t="b">
        <f t="shared" si="8"/>
        <v>0</v>
      </c>
    </row>
    <row r="189" spans="1:17" s="14" customFormat="1" ht="45" x14ac:dyDescent="0.25">
      <c r="A189" s="15">
        <v>45953</v>
      </c>
      <c r="B189" s="20" t="s">
        <v>175</v>
      </c>
      <c r="C189" s="16" t="s">
        <v>82</v>
      </c>
      <c r="D189" s="21" t="s">
        <v>13</v>
      </c>
      <c r="E189" s="23" t="s">
        <v>8</v>
      </c>
      <c r="F189" s="23" t="s">
        <v>26</v>
      </c>
      <c r="G189" s="23" t="s">
        <v>27</v>
      </c>
      <c r="H189" s="12" t="b">
        <f t="shared" si="6"/>
        <v>0</v>
      </c>
      <c r="I189" s="22" t="s">
        <v>35</v>
      </c>
      <c r="J189" s="20" t="s">
        <v>57</v>
      </c>
      <c r="K189" s="20" t="s">
        <v>27</v>
      </c>
      <c r="L189" s="25" t="b">
        <f t="shared" si="7"/>
        <v>0</v>
      </c>
      <c r="M189" s="22" t="s">
        <v>76</v>
      </c>
      <c r="N189" s="20" t="s">
        <v>57</v>
      </c>
      <c r="O189" s="20" t="s">
        <v>13</v>
      </c>
      <c r="P189" s="25">
        <f t="shared" si="8"/>
        <v>0.5</v>
      </c>
    </row>
    <row r="190" spans="1:17" s="14" customFormat="1" ht="30.75" thickBot="1" x14ac:dyDescent="0.3">
      <c r="A190" s="52">
        <v>45954</v>
      </c>
      <c r="B190" s="40" t="s">
        <v>47</v>
      </c>
      <c r="C190" s="55" t="s">
        <v>38</v>
      </c>
      <c r="D190" s="41" t="s">
        <v>31</v>
      </c>
      <c r="E190" s="51" t="s">
        <v>101</v>
      </c>
      <c r="F190" s="51" t="s">
        <v>10</v>
      </c>
      <c r="G190" s="51" t="s">
        <v>11</v>
      </c>
      <c r="H190" s="43" t="b">
        <f t="shared" si="6"/>
        <v>0</v>
      </c>
      <c r="I190" s="42" t="s">
        <v>8</v>
      </c>
      <c r="J190" s="40" t="s">
        <v>38</v>
      </c>
      <c r="K190" s="40" t="s">
        <v>31</v>
      </c>
      <c r="L190" s="45">
        <f t="shared" si="7"/>
        <v>1</v>
      </c>
      <c r="M190" s="42" t="s">
        <v>42</v>
      </c>
      <c r="N190" s="40" t="s">
        <v>51</v>
      </c>
      <c r="O190" s="40" t="s">
        <v>90</v>
      </c>
      <c r="P190" s="45" t="b">
        <f t="shared" si="8"/>
        <v>0</v>
      </c>
    </row>
    <row r="191" spans="1:17" s="14" customFormat="1" ht="30.75" thickTop="1" x14ac:dyDescent="0.25">
      <c r="A191" s="33">
        <v>45957</v>
      </c>
      <c r="B191" s="48" t="s">
        <v>101</v>
      </c>
      <c r="C191" s="34" t="s">
        <v>111</v>
      </c>
      <c r="D191" s="36" t="s">
        <v>21</v>
      </c>
      <c r="E191" s="49" t="s">
        <v>29</v>
      </c>
      <c r="F191" s="49" t="s">
        <v>130</v>
      </c>
      <c r="G191" s="49" t="s">
        <v>21</v>
      </c>
      <c r="H191" s="36">
        <f t="shared" si="6"/>
        <v>0.5</v>
      </c>
      <c r="I191" s="47" t="s">
        <v>42</v>
      </c>
      <c r="J191" s="48" t="s">
        <v>130</v>
      </c>
      <c r="K191" s="48" t="s">
        <v>21</v>
      </c>
      <c r="L191" s="54">
        <f t="shared" si="7"/>
        <v>0.5</v>
      </c>
      <c r="M191" s="47" t="s">
        <v>17</v>
      </c>
      <c r="N191" s="48" t="s">
        <v>130</v>
      </c>
      <c r="O191" s="48" t="s">
        <v>21</v>
      </c>
      <c r="P191" s="54">
        <f t="shared" si="8"/>
        <v>0.5</v>
      </c>
    </row>
    <row r="192" spans="1:17" s="14" customFormat="1" ht="30" x14ac:dyDescent="0.25">
      <c r="A192" s="15">
        <v>45958</v>
      </c>
      <c r="B192" s="20" t="s">
        <v>177</v>
      </c>
      <c r="C192" s="16" t="s">
        <v>130</v>
      </c>
      <c r="D192" s="21" t="s">
        <v>90</v>
      </c>
      <c r="E192" s="23" t="s">
        <v>105</v>
      </c>
      <c r="F192" s="23" t="s">
        <v>57</v>
      </c>
      <c r="G192" s="23" t="s">
        <v>31</v>
      </c>
      <c r="H192" s="12" t="b">
        <f t="shared" si="6"/>
        <v>0</v>
      </c>
      <c r="I192" s="22" t="s">
        <v>35</v>
      </c>
      <c r="J192" s="20" t="s">
        <v>74</v>
      </c>
      <c r="K192" s="20" t="s">
        <v>27</v>
      </c>
      <c r="L192" s="25" t="b">
        <f t="shared" si="7"/>
        <v>0</v>
      </c>
      <c r="M192" s="22" t="s">
        <v>22</v>
      </c>
      <c r="N192" s="20" t="s">
        <v>26</v>
      </c>
      <c r="O192" s="20" t="s">
        <v>27</v>
      </c>
      <c r="P192" s="25" t="b">
        <f t="shared" si="8"/>
        <v>0</v>
      </c>
    </row>
    <row r="193" spans="1:16" s="14" customFormat="1" x14ac:dyDescent="0.25">
      <c r="A193" s="15">
        <v>45959</v>
      </c>
      <c r="B193" s="20" t="s">
        <v>42</v>
      </c>
      <c r="C193" s="16" t="s">
        <v>45</v>
      </c>
      <c r="D193" s="21" t="s">
        <v>27</v>
      </c>
      <c r="E193" s="23" t="s">
        <v>50</v>
      </c>
      <c r="F193" s="23" t="s">
        <v>38</v>
      </c>
      <c r="G193" s="23" t="s">
        <v>168</v>
      </c>
      <c r="H193" s="12" t="b">
        <f t="shared" si="6"/>
        <v>0</v>
      </c>
      <c r="I193" s="22" t="s">
        <v>22</v>
      </c>
      <c r="J193" s="20" t="s">
        <v>151</v>
      </c>
      <c r="K193" s="20" t="s">
        <v>31</v>
      </c>
      <c r="L193" s="25" t="b">
        <f t="shared" si="7"/>
        <v>0</v>
      </c>
      <c r="M193" s="22" t="s">
        <v>8</v>
      </c>
      <c r="N193" s="20" t="s">
        <v>10</v>
      </c>
      <c r="O193" s="20" t="s">
        <v>11</v>
      </c>
      <c r="P193" s="25" t="b">
        <f t="shared" si="8"/>
        <v>0</v>
      </c>
    </row>
    <row r="194" spans="1:16" s="14" customFormat="1" ht="30" x14ac:dyDescent="0.25">
      <c r="A194" s="15">
        <v>45960</v>
      </c>
      <c r="B194" s="20" t="s">
        <v>138</v>
      </c>
      <c r="C194" s="16" t="s">
        <v>70</v>
      </c>
      <c r="D194" s="21" t="s">
        <v>21</v>
      </c>
      <c r="E194" s="23" t="s">
        <v>66</v>
      </c>
      <c r="F194" s="23" t="s">
        <v>30</v>
      </c>
      <c r="G194" s="23" t="s">
        <v>31</v>
      </c>
      <c r="H194" s="12" t="b">
        <f t="shared" si="6"/>
        <v>0</v>
      </c>
      <c r="I194" s="64" t="s">
        <v>76</v>
      </c>
      <c r="J194" s="65" t="s">
        <v>10</v>
      </c>
      <c r="K194" s="65" t="s">
        <v>11</v>
      </c>
      <c r="L194" s="66" t="b">
        <f t="shared" si="7"/>
        <v>0</v>
      </c>
      <c r="M194" s="64" t="s">
        <v>14</v>
      </c>
      <c r="N194" s="65" t="s">
        <v>77</v>
      </c>
      <c r="O194" s="65" t="s">
        <v>52</v>
      </c>
      <c r="P194" s="66" t="b">
        <f t="shared" si="8"/>
        <v>0</v>
      </c>
    </row>
    <row r="195" spans="1:16" s="14" customFormat="1" ht="45.75" thickBot="1" x14ac:dyDescent="0.3">
      <c r="A195" s="52">
        <v>45961</v>
      </c>
      <c r="B195" s="40" t="s">
        <v>178</v>
      </c>
      <c r="C195" s="55" t="s">
        <v>77</v>
      </c>
      <c r="D195" s="41" t="s">
        <v>52</v>
      </c>
      <c r="E195" s="51" t="s">
        <v>120</v>
      </c>
      <c r="F195" s="51" t="s">
        <v>10</v>
      </c>
      <c r="G195" s="51" t="s">
        <v>11</v>
      </c>
      <c r="H195" s="43" t="b">
        <f t="shared" si="6"/>
        <v>0</v>
      </c>
      <c r="I195" s="42" t="s">
        <v>8</v>
      </c>
      <c r="J195" s="40" t="s">
        <v>151</v>
      </c>
      <c r="K195" s="40" t="s">
        <v>31</v>
      </c>
      <c r="L195" s="45" t="b">
        <f t="shared" si="7"/>
        <v>0</v>
      </c>
      <c r="M195" s="42" t="s">
        <v>8</v>
      </c>
      <c r="N195" s="40" t="s">
        <v>38</v>
      </c>
      <c r="O195" s="40" t="s">
        <v>16</v>
      </c>
      <c r="P195" s="45" t="b">
        <f t="shared" si="8"/>
        <v>0</v>
      </c>
    </row>
    <row r="196" spans="1:16" s="14" customFormat="1" ht="39" thickTop="1" x14ac:dyDescent="0.25">
      <c r="A196" s="33">
        <v>45964</v>
      </c>
      <c r="B196" s="48" t="s">
        <v>22</v>
      </c>
      <c r="C196" s="34" t="s">
        <v>51</v>
      </c>
      <c r="D196" s="36" t="s">
        <v>21</v>
      </c>
      <c r="E196" s="49" t="s">
        <v>73</v>
      </c>
      <c r="F196" s="49" t="s">
        <v>130</v>
      </c>
      <c r="G196" s="49" t="s">
        <v>21</v>
      </c>
      <c r="H196" s="36">
        <f t="shared" si="6"/>
        <v>0.5</v>
      </c>
      <c r="I196" s="47" t="s">
        <v>22</v>
      </c>
      <c r="J196" s="48" t="s">
        <v>130</v>
      </c>
      <c r="K196" s="48" t="s">
        <v>21</v>
      </c>
      <c r="L196" s="54">
        <f t="shared" si="7"/>
        <v>1.5</v>
      </c>
      <c r="M196" s="47" t="s">
        <v>19</v>
      </c>
      <c r="N196" s="34" t="s">
        <v>160</v>
      </c>
      <c r="O196" s="48" t="s">
        <v>21</v>
      </c>
      <c r="P196" s="54">
        <f t="shared" si="8"/>
        <v>0.5</v>
      </c>
    </row>
    <row r="197" spans="1:16" s="14" customFormat="1" ht="30" x14ac:dyDescent="0.25">
      <c r="A197" s="15">
        <v>45965</v>
      </c>
      <c r="B197" s="20" t="s">
        <v>8</v>
      </c>
      <c r="C197" s="16" t="s">
        <v>38</v>
      </c>
      <c r="D197" s="21" t="s">
        <v>16</v>
      </c>
      <c r="E197" s="23" t="s">
        <v>105</v>
      </c>
      <c r="F197" s="23" t="s">
        <v>82</v>
      </c>
      <c r="G197" s="23" t="s">
        <v>168</v>
      </c>
      <c r="H197" s="12" t="b">
        <f t="shared" si="6"/>
        <v>0</v>
      </c>
      <c r="I197" s="22" t="s">
        <v>8</v>
      </c>
      <c r="J197" s="20" t="s">
        <v>10</v>
      </c>
      <c r="K197" s="20" t="s">
        <v>11</v>
      </c>
      <c r="L197" s="25">
        <f t="shared" si="7"/>
        <v>1</v>
      </c>
      <c r="M197" s="22" t="s">
        <v>14</v>
      </c>
      <c r="N197" s="20" t="s">
        <v>36</v>
      </c>
      <c r="O197" s="20" t="s">
        <v>34</v>
      </c>
      <c r="P197" s="25" t="b">
        <f t="shared" si="8"/>
        <v>0</v>
      </c>
    </row>
    <row r="198" spans="1:16" s="14" customFormat="1" ht="38.25" x14ac:dyDescent="0.25">
      <c r="A198" s="15">
        <v>45966</v>
      </c>
      <c r="B198" s="20" t="s">
        <v>76</v>
      </c>
      <c r="C198" s="16" t="s">
        <v>106</v>
      </c>
      <c r="D198" s="21" t="s">
        <v>168</v>
      </c>
      <c r="E198" s="23" t="s">
        <v>14</v>
      </c>
      <c r="F198" s="23" t="s">
        <v>25</v>
      </c>
      <c r="G198" s="23" t="s">
        <v>33</v>
      </c>
      <c r="H198" s="12" t="b">
        <f t="shared" si="6"/>
        <v>0</v>
      </c>
      <c r="I198" s="22" t="s">
        <v>105</v>
      </c>
      <c r="J198" s="20" t="s">
        <v>82</v>
      </c>
      <c r="K198" s="20" t="s">
        <v>168</v>
      </c>
      <c r="L198" s="25">
        <f t="shared" si="7"/>
        <v>0.5</v>
      </c>
      <c r="M198" s="22" t="s">
        <v>76</v>
      </c>
      <c r="N198" s="16" t="s">
        <v>160</v>
      </c>
      <c r="O198" s="20" t="s">
        <v>13</v>
      </c>
      <c r="P198" s="25">
        <f t="shared" si="8"/>
        <v>1</v>
      </c>
    </row>
    <row r="199" spans="1:16" s="14" customFormat="1" ht="25.5" x14ac:dyDescent="0.25">
      <c r="A199" s="15">
        <v>45967</v>
      </c>
      <c r="B199" s="20" t="s">
        <v>141</v>
      </c>
      <c r="C199" s="16" t="s">
        <v>82</v>
      </c>
      <c r="D199" s="21" t="s">
        <v>13</v>
      </c>
      <c r="E199" s="23" t="s">
        <v>28</v>
      </c>
      <c r="F199" s="23" t="s">
        <v>28</v>
      </c>
      <c r="G199" s="23" t="s">
        <v>28</v>
      </c>
      <c r="H199" s="12" t="b">
        <f t="shared" si="6"/>
        <v>0</v>
      </c>
      <c r="I199" s="22" t="s">
        <v>141</v>
      </c>
      <c r="J199" s="20" t="s">
        <v>25</v>
      </c>
      <c r="K199" s="20" t="s">
        <v>37</v>
      </c>
      <c r="L199" s="25">
        <f t="shared" si="7"/>
        <v>1</v>
      </c>
      <c r="M199" s="22" t="s">
        <v>120</v>
      </c>
      <c r="N199" s="20" t="s">
        <v>36</v>
      </c>
      <c r="O199" s="20" t="s">
        <v>37</v>
      </c>
      <c r="P199" s="25" t="b">
        <f t="shared" si="8"/>
        <v>0</v>
      </c>
    </row>
    <row r="200" spans="1:16" s="14" customFormat="1" ht="30.75" thickBot="1" x14ac:dyDescent="0.3">
      <c r="A200" s="52">
        <v>45968</v>
      </c>
      <c r="B200" s="40" t="s">
        <v>101</v>
      </c>
      <c r="C200" s="55" t="s">
        <v>36</v>
      </c>
      <c r="D200" s="41" t="s">
        <v>34</v>
      </c>
      <c r="E200" s="51" t="s">
        <v>62</v>
      </c>
      <c r="F200" s="51" t="s">
        <v>10</v>
      </c>
      <c r="G200" s="51" t="s">
        <v>11</v>
      </c>
      <c r="H200" s="43" t="b">
        <f t="shared" si="6"/>
        <v>0</v>
      </c>
      <c r="I200" s="42" t="s">
        <v>35</v>
      </c>
      <c r="J200" s="40" t="s">
        <v>36</v>
      </c>
      <c r="K200" s="40" t="s">
        <v>34</v>
      </c>
      <c r="L200" s="45">
        <f t="shared" si="7"/>
        <v>1</v>
      </c>
      <c r="M200" s="42" t="s">
        <v>14</v>
      </c>
      <c r="N200" s="40" t="s">
        <v>119</v>
      </c>
      <c r="O200" s="40" t="s">
        <v>21</v>
      </c>
      <c r="P200" s="45" t="b">
        <f t="shared" si="8"/>
        <v>0</v>
      </c>
    </row>
    <row r="201" spans="1:16" s="14" customFormat="1" ht="39" thickTop="1" x14ac:dyDescent="0.25">
      <c r="A201" s="8">
        <v>45971</v>
      </c>
      <c r="B201" s="61" t="s">
        <v>113</v>
      </c>
      <c r="C201" s="9" t="s">
        <v>10</v>
      </c>
      <c r="D201" s="12" t="s">
        <v>11</v>
      </c>
      <c r="E201" s="62" t="s">
        <v>17</v>
      </c>
      <c r="F201" s="13" t="s">
        <v>160</v>
      </c>
      <c r="G201" s="62" t="s">
        <v>21</v>
      </c>
      <c r="H201" s="12" t="b">
        <f t="shared" ref="H201:H228" si="9">IF(ISBLANK($B201),$S$18,IF(AND($B201=E201,$C201=F201,$D201=G201),$S$15,IF(AND($B201=E201,OR($C201=F201,$D201=G201)),$S$16+$S$17,IF(OR($B201=E201,AND($C201=F201,$D201=G201)),$S$16,IF(OR($C201=F201,$D201=G201),$S$17)))))</f>
        <v>0</v>
      </c>
      <c r="I201" s="63" t="s">
        <v>113</v>
      </c>
      <c r="J201" s="61" t="s">
        <v>130</v>
      </c>
      <c r="K201" s="61" t="s">
        <v>21</v>
      </c>
      <c r="L201" s="25">
        <f t="shared" ref="L201:L228" si="10">IF(ISBLANK($B201),$S$18,IF(AND($B201=I201,$C201=J201,$D201=K201),$S$15,IF(AND($B201=I201,OR($C201=J201,$D201=K201)),$S$16+$S$17,IF(OR($B201=I201,AND($C201=J201,$D201=K201)),$S$16,IF(OR($C201=J201,$D201=K201),$S$17)))))</f>
        <v>1</v>
      </c>
      <c r="M201" s="63" t="s">
        <v>19</v>
      </c>
      <c r="N201" s="61" t="s">
        <v>130</v>
      </c>
      <c r="O201" s="61" t="s">
        <v>21</v>
      </c>
      <c r="P201" s="25" t="b">
        <f t="shared" ref="P201:P228" si="11">IF(ISBLANK($B201),$S$18,IF(AND($B201=M201,$C201=N201,$D201=O201),$S$15,IF(AND($B201=M201,OR($C201=N201,$D201=O201)),$S$16+$S$17,IF(OR($B201=M201,AND($C201=N201,$D201=O201)),$S$16,IF(OR($C201=N201,$D201=O201),$S$17)))))</f>
        <v>0</v>
      </c>
    </row>
    <row r="202" spans="1:16" s="14" customFormat="1" ht="30" x14ac:dyDescent="0.25">
      <c r="A202" s="15">
        <v>45972</v>
      </c>
      <c r="B202" s="20" t="s">
        <v>64</v>
      </c>
      <c r="C202" s="16" t="s">
        <v>130</v>
      </c>
      <c r="D202" s="21" t="s">
        <v>90</v>
      </c>
      <c r="E202" s="23" t="s">
        <v>105</v>
      </c>
      <c r="F202" s="23" t="s">
        <v>102</v>
      </c>
      <c r="G202" s="23" t="s">
        <v>168</v>
      </c>
      <c r="H202" s="12" t="b">
        <f t="shared" si="9"/>
        <v>0</v>
      </c>
      <c r="I202" s="22" t="s">
        <v>29</v>
      </c>
      <c r="J202" s="20" t="s">
        <v>30</v>
      </c>
      <c r="K202" s="20" t="s">
        <v>31</v>
      </c>
      <c r="L202" s="25" t="b">
        <f t="shared" si="10"/>
        <v>0</v>
      </c>
      <c r="M202" s="22" t="s">
        <v>76</v>
      </c>
      <c r="N202" s="20" t="s">
        <v>179</v>
      </c>
      <c r="O202" s="20" t="s">
        <v>37</v>
      </c>
      <c r="P202" s="25" t="b">
        <f t="shared" si="11"/>
        <v>0</v>
      </c>
    </row>
    <row r="203" spans="1:16" s="14" customFormat="1" x14ac:dyDescent="0.25">
      <c r="A203" s="15">
        <v>45973</v>
      </c>
      <c r="B203" s="20" t="s">
        <v>136</v>
      </c>
      <c r="C203" s="16" t="s">
        <v>77</v>
      </c>
      <c r="D203" s="21" t="s">
        <v>52</v>
      </c>
      <c r="E203" s="23" t="s">
        <v>42</v>
      </c>
      <c r="F203" s="23" t="s">
        <v>38</v>
      </c>
      <c r="G203" s="23" t="s">
        <v>31</v>
      </c>
      <c r="H203" s="12" t="b">
        <f t="shared" si="9"/>
        <v>0</v>
      </c>
      <c r="I203" s="22" t="s">
        <v>14</v>
      </c>
      <c r="J203" s="20" t="s">
        <v>33</v>
      </c>
      <c r="K203" s="20" t="s">
        <v>21</v>
      </c>
      <c r="L203" s="25" t="b">
        <f t="shared" si="10"/>
        <v>0</v>
      </c>
      <c r="M203" s="22" t="s">
        <v>19</v>
      </c>
      <c r="N203" s="20" t="s">
        <v>119</v>
      </c>
      <c r="O203" s="20" t="s">
        <v>21</v>
      </c>
      <c r="P203" s="25" t="b">
        <f t="shared" si="11"/>
        <v>0</v>
      </c>
    </row>
    <row r="204" spans="1:16" s="14" customFormat="1" ht="30" x14ac:dyDescent="0.25">
      <c r="A204" s="15">
        <v>45974</v>
      </c>
      <c r="B204" s="20" t="s">
        <v>73</v>
      </c>
      <c r="C204" s="16" t="s">
        <v>119</v>
      </c>
      <c r="D204" s="21" t="s">
        <v>21</v>
      </c>
      <c r="E204" s="23" t="s">
        <v>17</v>
      </c>
      <c r="F204" s="23" t="s">
        <v>33</v>
      </c>
      <c r="G204" s="23" t="s">
        <v>21</v>
      </c>
      <c r="H204" s="12">
        <f t="shared" si="9"/>
        <v>0.5</v>
      </c>
      <c r="I204" s="22" t="s">
        <v>29</v>
      </c>
      <c r="J204" s="20" t="s">
        <v>25</v>
      </c>
      <c r="K204" s="20" t="s">
        <v>37</v>
      </c>
      <c r="L204" s="25" t="b">
        <f t="shared" si="10"/>
        <v>0</v>
      </c>
      <c r="M204" s="22" t="s">
        <v>42</v>
      </c>
      <c r="N204" s="20" t="s">
        <v>36</v>
      </c>
      <c r="O204" s="20" t="s">
        <v>37</v>
      </c>
      <c r="P204" s="25" t="b">
        <f t="shared" si="11"/>
        <v>0</v>
      </c>
    </row>
    <row r="205" spans="1:16" s="14" customFormat="1" ht="30.75" thickBot="1" x14ac:dyDescent="0.3">
      <c r="A205" s="67">
        <v>45975</v>
      </c>
      <c r="B205" s="68" t="s">
        <v>185</v>
      </c>
      <c r="C205" s="69" t="s">
        <v>183</v>
      </c>
      <c r="D205" s="70" t="s">
        <v>184</v>
      </c>
      <c r="E205" s="76" t="s">
        <v>105</v>
      </c>
      <c r="F205" s="76" t="s">
        <v>38</v>
      </c>
      <c r="G205" s="76" t="s">
        <v>31</v>
      </c>
      <c r="H205" s="77" t="b">
        <f t="shared" si="9"/>
        <v>0</v>
      </c>
      <c r="I205" s="78" t="s">
        <v>105</v>
      </c>
      <c r="J205" s="79" t="s">
        <v>182</v>
      </c>
      <c r="K205" s="79" t="s">
        <v>186</v>
      </c>
      <c r="L205" s="80" t="b">
        <f t="shared" si="10"/>
        <v>0</v>
      </c>
      <c r="M205" s="78" t="s">
        <v>76</v>
      </c>
      <c r="N205" s="79" t="s">
        <v>38</v>
      </c>
      <c r="O205" s="79" t="s">
        <v>16</v>
      </c>
      <c r="P205" s="71" t="b">
        <f t="shared" si="11"/>
        <v>0</v>
      </c>
    </row>
    <row r="206" spans="1:16" s="14" customFormat="1" ht="30.75" thickTop="1" x14ac:dyDescent="0.25">
      <c r="A206" s="33">
        <v>45978</v>
      </c>
      <c r="B206" s="48" t="s">
        <v>19</v>
      </c>
      <c r="C206" s="34" t="s">
        <v>74</v>
      </c>
      <c r="D206" s="36" t="s">
        <v>27</v>
      </c>
      <c r="E206" s="83" t="s">
        <v>101</v>
      </c>
      <c r="F206" s="83" t="s">
        <v>51</v>
      </c>
      <c r="G206" s="83" t="s">
        <v>52</v>
      </c>
      <c r="H206" s="84" t="b">
        <f t="shared" si="9"/>
        <v>0</v>
      </c>
      <c r="I206" s="81" t="s">
        <v>42</v>
      </c>
      <c r="J206" s="82" t="s">
        <v>12</v>
      </c>
      <c r="K206" s="82" t="s">
        <v>21</v>
      </c>
      <c r="L206" s="85" t="b">
        <f t="shared" si="10"/>
        <v>0</v>
      </c>
      <c r="M206" s="81" t="s">
        <v>19</v>
      </c>
      <c r="N206" s="82" t="s">
        <v>74</v>
      </c>
      <c r="O206" s="82" t="s">
        <v>21</v>
      </c>
      <c r="P206" s="85">
        <f t="shared" si="11"/>
        <v>1.5</v>
      </c>
    </row>
    <row r="207" spans="1:16" s="14" customFormat="1" ht="30" x14ac:dyDescent="0.25">
      <c r="A207" s="15">
        <v>45979</v>
      </c>
      <c r="B207" s="20" t="s">
        <v>105</v>
      </c>
      <c r="C207" s="16" t="s">
        <v>82</v>
      </c>
      <c r="D207" s="21" t="s">
        <v>168</v>
      </c>
      <c r="E207" s="86" t="s">
        <v>105</v>
      </c>
      <c r="F207" s="86" t="s">
        <v>125</v>
      </c>
      <c r="G207" s="86" t="s">
        <v>31</v>
      </c>
      <c r="H207" s="87">
        <f t="shared" si="9"/>
        <v>1</v>
      </c>
      <c r="I207" s="64" t="s">
        <v>14</v>
      </c>
      <c r="J207" s="65" t="s">
        <v>38</v>
      </c>
      <c r="K207" s="65" t="s">
        <v>31</v>
      </c>
      <c r="L207" s="66" t="b">
        <f t="shared" si="10"/>
        <v>0</v>
      </c>
      <c r="M207" s="64" t="s">
        <v>76</v>
      </c>
      <c r="N207" s="65" t="s">
        <v>82</v>
      </c>
      <c r="O207" s="65" t="s">
        <v>168</v>
      </c>
      <c r="P207" s="25">
        <f t="shared" si="11"/>
        <v>1</v>
      </c>
    </row>
    <row r="208" spans="1:16" s="14" customFormat="1" x14ac:dyDescent="0.25">
      <c r="A208" s="15">
        <v>45980</v>
      </c>
      <c r="B208" s="20" t="s">
        <v>66</v>
      </c>
      <c r="C208" s="16" t="s">
        <v>151</v>
      </c>
      <c r="D208" s="21" t="s">
        <v>16</v>
      </c>
      <c r="E208" s="86" t="s">
        <v>76</v>
      </c>
      <c r="F208" s="86" t="s">
        <v>38</v>
      </c>
      <c r="G208" s="86" t="s">
        <v>16</v>
      </c>
      <c r="H208" s="87">
        <f t="shared" si="9"/>
        <v>0.5</v>
      </c>
      <c r="I208" s="64" t="s">
        <v>76</v>
      </c>
      <c r="J208" s="65" t="s">
        <v>187</v>
      </c>
      <c r="K208" s="65" t="s">
        <v>21</v>
      </c>
      <c r="L208" s="66" t="b">
        <f t="shared" si="10"/>
        <v>0</v>
      </c>
      <c r="M208" s="64" t="s">
        <v>8</v>
      </c>
      <c r="N208" s="65" t="s">
        <v>36</v>
      </c>
      <c r="O208" s="65" t="s">
        <v>34</v>
      </c>
      <c r="P208" s="25" t="b">
        <f t="shared" si="11"/>
        <v>0</v>
      </c>
    </row>
    <row r="209" spans="1:16" s="14" customFormat="1" ht="30" x14ac:dyDescent="0.25">
      <c r="A209" s="15">
        <v>45981</v>
      </c>
      <c r="B209" s="20" t="s">
        <v>47</v>
      </c>
      <c r="C209" s="16" t="s">
        <v>68</v>
      </c>
      <c r="D209" s="21" t="s">
        <v>69</v>
      </c>
      <c r="E209" s="86" t="s">
        <v>8</v>
      </c>
      <c r="F209" s="86" t="s">
        <v>130</v>
      </c>
      <c r="G209" s="86" t="s">
        <v>21</v>
      </c>
      <c r="H209" s="87" t="b">
        <f t="shared" si="9"/>
        <v>0</v>
      </c>
      <c r="I209" s="64" t="s">
        <v>8</v>
      </c>
      <c r="J209" s="65" t="s">
        <v>36</v>
      </c>
      <c r="K209" s="65" t="s">
        <v>34</v>
      </c>
      <c r="L209" s="66" t="b">
        <f t="shared" si="10"/>
        <v>0</v>
      </c>
      <c r="M209" s="64" t="s">
        <v>76</v>
      </c>
      <c r="N209" s="65" t="s">
        <v>130</v>
      </c>
      <c r="O209" s="65" t="s">
        <v>21</v>
      </c>
      <c r="P209" s="66" t="b">
        <f t="shared" si="11"/>
        <v>0</v>
      </c>
    </row>
    <row r="210" spans="1:16" s="14" customFormat="1" ht="15.75" thickBot="1" x14ac:dyDescent="0.3">
      <c r="A210" s="52">
        <v>45982</v>
      </c>
      <c r="B210" s="40" t="s">
        <v>76</v>
      </c>
      <c r="C210" s="55" t="s">
        <v>118</v>
      </c>
      <c r="D210" s="41" t="s">
        <v>21</v>
      </c>
      <c r="E210" s="91" t="s">
        <v>120</v>
      </c>
      <c r="F210" s="91" t="s">
        <v>10</v>
      </c>
      <c r="G210" s="91" t="s">
        <v>11</v>
      </c>
      <c r="H210" s="92" t="b">
        <f t="shared" si="9"/>
        <v>0</v>
      </c>
      <c r="I210" s="88" t="s">
        <v>76</v>
      </c>
      <c r="J210" s="89" t="s">
        <v>30</v>
      </c>
      <c r="K210" s="89" t="s">
        <v>31</v>
      </c>
      <c r="L210" s="90">
        <f t="shared" si="10"/>
        <v>1</v>
      </c>
      <c r="M210" s="88" t="s">
        <v>42</v>
      </c>
      <c r="N210" s="89" t="s">
        <v>36</v>
      </c>
      <c r="O210" s="89" t="s">
        <v>34</v>
      </c>
      <c r="P210" s="90" t="b">
        <f t="shared" si="11"/>
        <v>0</v>
      </c>
    </row>
    <row r="211" spans="1:16" s="14" customFormat="1" ht="30.75" thickTop="1" x14ac:dyDescent="0.25">
      <c r="A211" s="33">
        <v>45985</v>
      </c>
      <c r="B211" s="48" t="s">
        <v>73</v>
      </c>
      <c r="C211" s="34" t="s">
        <v>117</v>
      </c>
      <c r="D211" s="36" t="s">
        <v>21</v>
      </c>
      <c r="E211" s="93" t="s">
        <v>73</v>
      </c>
      <c r="F211" s="93" t="s">
        <v>77</v>
      </c>
      <c r="G211" s="93" t="s">
        <v>52</v>
      </c>
      <c r="H211" s="36">
        <f t="shared" si="9"/>
        <v>1</v>
      </c>
      <c r="I211" s="94" t="s">
        <v>42</v>
      </c>
      <c r="J211" s="95" t="s">
        <v>111</v>
      </c>
      <c r="K211" s="95" t="s">
        <v>21</v>
      </c>
      <c r="L211" s="54">
        <f t="shared" si="10"/>
        <v>0.5</v>
      </c>
      <c r="M211" s="94" t="s">
        <v>22</v>
      </c>
      <c r="N211" s="95" t="s">
        <v>130</v>
      </c>
      <c r="O211" s="95" t="s">
        <v>21</v>
      </c>
      <c r="P211" s="54">
        <f t="shared" si="11"/>
        <v>0.5</v>
      </c>
    </row>
    <row r="212" spans="1:16" s="14" customFormat="1" ht="30" x14ac:dyDescent="0.25">
      <c r="A212" s="15">
        <v>45986</v>
      </c>
      <c r="B212" s="20" t="s">
        <v>144</v>
      </c>
      <c r="C212" s="16" t="s">
        <v>12</v>
      </c>
      <c r="D212" s="21" t="s">
        <v>168</v>
      </c>
      <c r="E212" s="86" t="s">
        <v>14</v>
      </c>
      <c r="F212" s="86" t="s">
        <v>30</v>
      </c>
      <c r="G212" s="86" t="s">
        <v>27</v>
      </c>
      <c r="H212" s="87" t="b">
        <f t="shared" si="9"/>
        <v>0</v>
      </c>
      <c r="I212" s="64" t="s">
        <v>8</v>
      </c>
      <c r="J212" s="65" t="s">
        <v>10</v>
      </c>
      <c r="K212" s="65" t="s">
        <v>11</v>
      </c>
      <c r="L212" s="66" t="b">
        <f t="shared" si="10"/>
        <v>0</v>
      </c>
      <c r="M212" s="64" t="s">
        <v>42</v>
      </c>
      <c r="N212" s="65" t="s">
        <v>77</v>
      </c>
      <c r="O212" s="65" t="s">
        <v>90</v>
      </c>
      <c r="P212" s="66" t="b">
        <f t="shared" si="11"/>
        <v>0</v>
      </c>
    </row>
    <row r="213" spans="1:16" s="14" customFormat="1" x14ac:dyDescent="0.25">
      <c r="A213" s="15">
        <v>45987</v>
      </c>
      <c r="B213" s="20" t="s">
        <v>22</v>
      </c>
      <c r="C213" s="16" t="s">
        <v>51</v>
      </c>
      <c r="D213" s="21" t="s">
        <v>13</v>
      </c>
      <c r="E213" s="86" t="s">
        <v>42</v>
      </c>
      <c r="F213" s="86" t="s">
        <v>38</v>
      </c>
      <c r="G213" s="86" t="s">
        <v>31</v>
      </c>
      <c r="H213" s="87" t="b">
        <f t="shared" si="9"/>
        <v>0</v>
      </c>
      <c r="I213" s="64" t="s">
        <v>35</v>
      </c>
      <c r="J213" s="65" t="s">
        <v>36</v>
      </c>
      <c r="K213" s="65" t="s">
        <v>34</v>
      </c>
      <c r="L213" s="66" t="b">
        <f t="shared" si="10"/>
        <v>0</v>
      </c>
      <c r="M213" s="64" t="s">
        <v>8</v>
      </c>
      <c r="N213" s="65" t="s">
        <v>36</v>
      </c>
      <c r="O213" s="65" t="s">
        <v>34</v>
      </c>
      <c r="P213" s="25" t="b">
        <f t="shared" si="11"/>
        <v>0</v>
      </c>
    </row>
    <row r="214" spans="1:16" s="14" customFormat="1" ht="60" x14ac:dyDescent="0.25">
      <c r="A214" s="15">
        <v>45988</v>
      </c>
      <c r="B214" s="20" t="s">
        <v>188</v>
      </c>
      <c r="C214" s="16" t="s">
        <v>77</v>
      </c>
      <c r="D214" s="21" t="s">
        <v>90</v>
      </c>
      <c r="E214" s="23" t="s">
        <v>8</v>
      </c>
      <c r="F214" s="23" t="s">
        <v>57</v>
      </c>
      <c r="G214" s="23" t="s">
        <v>16</v>
      </c>
      <c r="H214" s="12" t="b">
        <f t="shared" si="9"/>
        <v>0</v>
      </c>
      <c r="I214" s="22" t="s">
        <v>8</v>
      </c>
      <c r="J214" s="20" t="s">
        <v>38</v>
      </c>
      <c r="K214" s="20" t="s">
        <v>31</v>
      </c>
      <c r="L214" s="25" t="b">
        <f t="shared" si="10"/>
        <v>0</v>
      </c>
      <c r="M214" s="22" t="s">
        <v>42</v>
      </c>
      <c r="N214" s="20" t="s">
        <v>125</v>
      </c>
      <c r="O214" s="20" t="s">
        <v>31</v>
      </c>
      <c r="P214" s="25" t="b">
        <f t="shared" si="11"/>
        <v>0</v>
      </c>
    </row>
    <row r="215" spans="1:16" s="14" customFormat="1" ht="45.75" thickBot="1" x14ac:dyDescent="0.3">
      <c r="A215" s="52">
        <v>45989</v>
      </c>
      <c r="B215" s="40" t="s">
        <v>29</v>
      </c>
      <c r="C215" s="55" t="s">
        <v>10</v>
      </c>
      <c r="D215" s="41" t="s">
        <v>31</v>
      </c>
      <c r="E215" s="91" t="s">
        <v>178</v>
      </c>
      <c r="F215" s="91" t="s">
        <v>54</v>
      </c>
      <c r="G215" s="91" t="s">
        <v>31</v>
      </c>
      <c r="H215" s="92">
        <f t="shared" si="9"/>
        <v>0.5</v>
      </c>
      <c r="I215" s="88" t="s">
        <v>28</v>
      </c>
      <c r="J215" s="89" t="s">
        <v>28</v>
      </c>
      <c r="K215" s="89" t="s">
        <v>28</v>
      </c>
      <c r="L215" s="90" t="b">
        <f t="shared" si="10"/>
        <v>0</v>
      </c>
      <c r="M215" s="88" t="s">
        <v>14</v>
      </c>
      <c r="N215" s="89" t="s">
        <v>36</v>
      </c>
      <c r="O215" s="89" t="s">
        <v>37</v>
      </c>
      <c r="P215" s="90" t="b">
        <f t="shared" si="11"/>
        <v>0</v>
      </c>
    </row>
    <row r="216" spans="1:16" s="14" customFormat="1" ht="30.75" thickTop="1" x14ac:dyDescent="0.25">
      <c r="A216" s="33">
        <v>45992</v>
      </c>
      <c r="B216" s="48" t="s">
        <v>120</v>
      </c>
      <c r="C216" s="34" t="s">
        <v>74</v>
      </c>
      <c r="D216" s="36" t="s">
        <v>60</v>
      </c>
      <c r="E216" s="49" t="s">
        <v>113</v>
      </c>
      <c r="F216" s="49" t="s">
        <v>106</v>
      </c>
      <c r="G216" s="49" t="s">
        <v>52</v>
      </c>
      <c r="H216" s="36" t="b">
        <f t="shared" si="9"/>
        <v>0</v>
      </c>
      <c r="I216" s="47" t="s">
        <v>42</v>
      </c>
      <c r="J216" s="48" t="s">
        <v>130</v>
      </c>
      <c r="K216" s="48" t="s">
        <v>21</v>
      </c>
      <c r="L216" s="54" t="b">
        <f t="shared" si="10"/>
        <v>0</v>
      </c>
      <c r="M216" s="47" t="s">
        <v>19</v>
      </c>
      <c r="N216" s="34" t="s">
        <v>74</v>
      </c>
      <c r="O216" s="48" t="s">
        <v>21</v>
      </c>
      <c r="P216" s="54">
        <f t="shared" si="11"/>
        <v>0.5</v>
      </c>
    </row>
    <row r="217" spans="1:16" s="14" customFormat="1" ht="45" x14ac:dyDescent="0.25">
      <c r="A217" s="15">
        <v>45993</v>
      </c>
      <c r="B217" s="20" t="s">
        <v>190</v>
      </c>
      <c r="C217" s="16" t="s">
        <v>130</v>
      </c>
      <c r="D217" s="21" t="s">
        <v>21</v>
      </c>
      <c r="E217" s="23" t="s">
        <v>14</v>
      </c>
      <c r="F217" s="23" t="s">
        <v>57</v>
      </c>
      <c r="G217" s="23" t="s">
        <v>21</v>
      </c>
      <c r="H217" s="12">
        <f t="shared" si="9"/>
        <v>0.5</v>
      </c>
      <c r="I217" s="22" t="s">
        <v>22</v>
      </c>
      <c r="J217" s="20" t="s">
        <v>38</v>
      </c>
      <c r="K217" s="20" t="s">
        <v>31</v>
      </c>
      <c r="L217" s="25" t="b">
        <f t="shared" si="10"/>
        <v>0</v>
      </c>
      <c r="M217" s="22" t="s">
        <v>42</v>
      </c>
      <c r="N217" s="20" t="s">
        <v>82</v>
      </c>
      <c r="O217" s="20" t="s">
        <v>168</v>
      </c>
      <c r="P217" s="25" t="b">
        <f t="shared" si="11"/>
        <v>0</v>
      </c>
    </row>
    <row r="218" spans="1:16" s="14" customFormat="1" ht="30" x14ac:dyDescent="0.25">
      <c r="A218" s="15">
        <v>45994</v>
      </c>
      <c r="B218" s="20" t="s">
        <v>32</v>
      </c>
      <c r="C218" s="16" t="s">
        <v>163</v>
      </c>
      <c r="D218" s="21" t="s">
        <v>31</v>
      </c>
      <c r="E218" s="86" t="s">
        <v>101</v>
      </c>
      <c r="F218" s="86" t="s">
        <v>38</v>
      </c>
      <c r="G218" s="86" t="s">
        <v>31</v>
      </c>
      <c r="H218" s="87">
        <f t="shared" si="9"/>
        <v>0.5</v>
      </c>
      <c r="I218" s="64" t="s">
        <v>42</v>
      </c>
      <c r="J218" s="65" t="s">
        <v>36</v>
      </c>
      <c r="K218" s="65" t="s">
        <v>34</v>
      </c>
      <c r="L218" s="66" t="b">
        <f t="shared" si="10"/>
        <v>0</v>
      </c>
      <c r="M218" s="64" t="s">
        <v>14</v>
      </c>
      <c r="N218" s="65" t="s">
        <v>36</v>
      </c>
      <c r="O218" s="65" t="s">
        <v>34</v>
      </c>
      <c r="P218" s="66" t="b">
        <f t="shared" si="11"/>
        <v>0</v>
      </c>
    </row>
    <row r="219" spans="1:16" s="14" customFormat="1" ht="30" x14ac:dyDescent="0.25">
      <c r="A219" s="15">
        <v>45995</v>
      </c>
      <c r="B219" s="20" t="s">
        <v>42</v>
      </c>
      <c r="C219" s="16" t="s">
        <v>77</v>
      </c>
      <c r="D219" s="21" t="s">
        <v>13</v>
      </c>
      <c r="E219" s="23" t="s">
        <v>42</v>
      </c>
      <c r="F219" s="23" t="s">
        <v>51</v>
      </c>
      <c r="G219" s="23" t="s">
        <v>13</v>
      </c>
      <c r="H219" s="12">
        <f t="shared" si="9"/>
        <v>1.5</v>
      </c>
      <c r="I219" s="22" t="s">
        <v>22</v>
      </c>
      <c r="J219" s="20" t="s">
        <v>119</v>
      </c>
      <c r="K219" s="20" t="s">
        <v>21</v>
      </c>
      <c r="L219" s="25" t="b">
        <f t="shared" si="10"/>
        <v>0</v>
      </c>
      <c r="M219" s="22" t="s">
        <v>76</v>
      </c>
      <c r="N219" s="20" t="s">
        <v>82</v>
      </c>
      <c r="O219" s="20" t="s">
        <v>168</v>
      </c>
      <c r="P219" s="25" t="b">
        <f t="shared" si="11"/>
        <v>0</v>
      </c>
    </row>
    <row r="220" spans="1:16" s="14" customFormat="1" ht="30.75" thickBot="1" x14ac:dyDescent="0.3">
      <c r="A220" s="52">
        <v>45996</v>
      </c>
      <c r="B220" s="40" t="s">
        <v>191</v>
      </c>
      <c r="C220" s="55" t="s">
        <v>192</v>
      </c>
      <c r="D220" s="41" t="s">
        <v>69</v>
      </c>
      <c r="E220" s="51" t="s">
        <v>101</v>
      </c>
      <c r="F220" s="51" t="s">
        <v>26</v>
      </c>
      <c r="G220" s="51" t="s">
        <v>27</v>
      </c>
      <c r="H220" s="43" t="b">
        <f t="shared" si="9"/>
        <v>0</v>
      </c>
      <c r="I220" s="42" t="s">
        <v>191</v>
      </c>
      <c r="J220" s="40" t="s">
        <v>36</v>
      </c>
      <c r="K220" s="40" t="s">
        <v>34</v>
      </c>
      <c r="L220" s="45">
        <f t="shared" si="10"/>
        <v>1</v>
      </c>
      <c r="M220" s="42" t="s">
        <v>14</v>
      </c>
      <c r="N220" s="40" t="s">
        <v>36</v>
      </c>
      <c r="O220" s="40" t="s">
        <v>34</v>
      </c>
      <c r="P220" s="45" t="b">
        <f t="shared" si="11"/>
        <v>0</v>
      </c>
    </row>
    <row r="221" spans="1:16" s="14" customFormat="1" ht="30.75" thickTop="1" x14ac:dyDescent="0.25">
      <c r="A221" s="33">
        <v>46000</v>
      </c>
      <c r="B221" s="48" t="s">
        <v>19</v>
      </c>
      <c r="C221" s="34" t="s">
        <v>82</v>
      </c>
      <c r="D221" s="36" t="s">
        <v>21</v>
      </c>
      <c r="E221" s="93" t="s">
        <v>29</v>
      </c>
      <c r="F221" s="93" t="s">
        <v>51</v>
      </c>
      <c r="G221" s="93" t="s">
        <v>52</v>
      </c>
      <c r="H221" s="97" t="b">
        <f t="shared" si="9"/>
        <v>0</v>
      </c>
      <c r="I221" s="94" t="s">
        <v>42</v>
      </c>
      <c r="J221" s="95" t="s">
        <v>130</v>
      </c>
      <c r="K221" s="95" t="s">
        <v>21</v>
      </c>
      <c r="L221" s="98">
        <f t="shared" si="10"/>
        <v>0.5</v>
      </c>
      <c r="M221" s="94" t="s">
        <v>19</v>
      </c>
      <c r="N221" s="95" t="s">
        <v>130</v>
      </c>
      <c r="O221" s="95" t="s">
        <v>21</v>
      </c>
      <c r="P221" s="54">
        <f t="shared" si="11"/>
        <v>1.5</v>
      </c>
    </row>
    <row r="222" spans="1:16" s="14" customFormat="1" ht="30" x14ac:dyDescent="0.25">
      <c r="A222" s="15">
        <v>46001</v>
      </c>
      <c r="B222" s="20" t="s">
        <v>14</v>
      </c>
      <c r="C222" s="16" t="s">
        <v>36</v>
      </c>
      <c r="D222" s="21" t="s">
        <v>34</v>
      </c>
      <c r="E222" s="23" t="s">
        <v>185</v>
      </c>
      <c r="F222" s="23" t="s">
        <v>38</v>
      </c>
      <c r="G222" s="23" t="s">
        <v>31</v>
      </c>
      <c r="H222" s="12" t="b">
        <f t="shared" si="9"/>
        <v>0</v>
      </c>
      <c r="I222" s="22" t="s">
        <v>105</v>
      </c>
      <c r="J222" s="16" t="s">
        <v>74</v>
      </c>
      <c r="K222" s="20" t="s">
        <v>13</v>
      </c>
      <c r="L222" s="25" t="b">
        <f t="shared" si="10"/>
        <v>0</v>
      </c>
      <c r="M222" s="64" t="s">
        <v>76</v>
      </c>
      <c r="N222" s="99" t="s">
        <v>74</v>
      </c>
      <c r="O222" s="65" t="s">
        <v>90</v>
      </c>
      <c r="P222" s="66" t="b">
        <f t="shared" si="11"/>
        <v>0</v>
      </c>
    </row>
    <row r="223" spans="1:16" s="14" customFormat="1" ht="30" x14ac:dyDescent="0.25">
      <c r="A223" s="15">
        <v>46002</v>
      </c>
      <c r="B223" s="20" t="s">
        <v>138</v>
      </c>
      <c r="C223" s="16" t="s">
        <v>38</v>
      </c>
      <c r="D223" s="21" t="s">
        <v>16</v>
      </c>
      <c r="E223" s="23" t="s">
        <v>73</v>
      </c>
      <c r="F223" s="23" t="s">
        <v>10</v>
      </c>
      <c r="G223" s="23" t="s">
        <v>11</v>
      </c>
      <c r="H223" s="12" t="b">
        <f t="shared" si="9"/>
        <v>0</v>
      </c>
      <c r="I223" s="22" t="s">
        <v>101</v>
      </c>
      <c r="J223" s="20" t="s">
        <v>38</v>
      </c>
      <c r="K223" s="20" t="s">
        <v>31</v>
      </c>
      <c r="L223" s="25">
        <f t="shared" si="10"/>
        <v>0.5</v>
      </c>
      <c r="M223" s="22" t="s">
        <v>47</v>
      </c>
      <c r="N223" s="20" t="s">
        <v>68</v>
      </c>
      <c r="O223" s="20" t="s">
        <v>69</v>
      </c>
      <c r="P223" s="25" t="b">
        <f t="shared" si="11"/>
        <v>0</v>
      </c>
    </row>
    <row r="224" spans="1:16" s="14" customFormat="1" ht="30.75" thickBot="1" x14ac:dyDescent="0.3">
      <c r="A224" s="52">
        <v>46003</v>
      </c>
      <c r="B224" s="40" t="s">
        <v>101</v>
      </c>
      <c r="C224" s="55" t="s">
        <v>88</v>
      </c>
      <c r="D224" s="41" t="s">
        <v>21</v>
      </c>
      <c r="E224" s="51" t="s">
        <v>101</v>
      </c>
      <c r="F224" s="51" t="s">
        <v>51</v>
      </c>
      <c r="G224" s="51" t="s">
        <v>52</v>
      </c>
      <c r="H224" s="43">
        <f t="shared" si="9"/>
        <v>1</v>
      </c>
      <c r="I224" s="42" t="s">
        <v>73</v>
      </c>
      <c r="J224" s="40" t="s">
        <v>119</v>
      </c>
      <c r="K224" s="40" t="s">
        <v>21</v>
      </c>
      <c r="L224" s="45">
        <f t="shared" si="10"/>
        <v>0.5</v>
      </c>
      <c r="M224" s="42" t="s">
        <v>76</v>
      </c>
      <c r="N224" s="40" t="s">
        <v>130</v>
      </c>
      <c r="O224" s="40" t="s">
        <v>90</v>
      </c>
      <c r="P224" s="45" t="b">
        <f t="shared" si="11"/>
        <v>0</v>
      </c>
    </row>
    <row r="225" spans="1:16" s="14" customFormat="1" ht="45.75" thickTop="1" x14ac:dyDescent="0.25">
      <c r="A225" s="33">
        <v>46006</v>
      </c>
      <c r="B225" s="48" t="s">
        <v>29</v>
      </c>
      <c r="C225" s="34" t="s">
        <v>119</v>
      </c>
      <c r="D225" s="36" t="s">
        <v>21</v>
      </c>
      <c r="E225" s="93" t="s">
        <v>73</v>
      </c>
      <c r="F225" s="93" t="s">
        <v>130</v>
      </c>
      <c r="G225" s="93" t="s">
        <v>90</v>
      </c>
      <c r="H225" s="97" t="b">
        <f t="shared" si="9"/>
        <v>0</v>
      </c>
      <c r="I225" s="94" t="s">
        <v>22</v>
      </c>
      <c r="J225" s="100" t="s">
        <v>74</v>
      </c>
      <c r="K225" s="95" t="s">
        <v>13</v>
      </c>
      <c r="L225" s="98" t="b">
        <f t="shared" si="10"/>
        <v>0</v>
      </c>
      <c r="M225" s="94" t="s">
        <v>178</v>
      </c>
      <c r="N225" s="100" t="s">
        <v>74</v>
      </c>
      <c r="O225" s="95" t="s">
        <v>90</v>
      </c>
      <c r="P225" s="54" t="b">
        <f t="shared" si="11"/>
        <v>0</v>
      </c>
    </row>
    <row r="226" spans="1:16" s="14" customFormat="1" ht="30" x14ac:dyDescent="0.25">
      <c r="A226" s="15">
        <v>46007</v>
      </c>
      <c r="B226" s="20" t="s">
        <v>22</v>
      </c>
      <c r="C226" s="16" t="s">
        <v>25</v>
      </c>
      <c r="D226" s="21" t="s">
        <v>33</v>
      </c>
      <c r="E226" s="86" t="s">
        <v>47</v>
      </c>
      <c r="F226" s="86" t="s">
        <v>57</v>
      </c>
      <c r="G226" s="86" t="s">
        <v>31</v>
      </c>
      <c r="H226" s="87" t="b">
        <f t="shared" si="9"/>
        <v>0</v>
      </c>
      <c r="I226" s="64" t="s">
        <v>62</v>
      </c>
      <c r="J226" s="65" t="s">
        <v>30</v>
      </c>
      <c r="K226" s="65" t="s">
        <v>31</v>
      </c>
      <c r="L226" s="66" t="b">
        <f t="shared" si="10"/>
        <v>0</v>
      </c>
      <c r="M226" s="64" t="s">
        <v>22</v>
      </c>
      <c r="N226" s="65" t="s">
        <v>82</v>
      </c>
      <c r="O226" s="65" t="s">
        <v>168</v>
      </c>
      <c r="P226" s="25">
        <f t="shared" si="11"/>
        <v>1</v>
      </c>
    </row>
    <row r="227" spans="1:16" s="14" customFormat="1" ht="30" x14ac:dyDescent="0.25">
      <c r="A227" s="15">
        <v>46008</v>
      </c>
      <c r="B227" s="20" t="s">
        <v>76</v>
      </c>
      <c r="C227" s="16" t="s">
        <v>30</v>
      </c>
      <c r="D227" s="21" t="s">
        <v>31</v>
      </c>
      <c r="E227" s="86" t="s">
        <v>42</v>
      </c>
      <c r="F227" s="86" t="s">
        <v>77</v>
      </c>
      <c r="G227" s="86" t="s">
        <v>90</v>
      </c>
      <c r="H227" s="87" t="b">
        <f t="shared" si="9"/>
        <v>0</v>
      </c>
      <c r="I227" s="64" t="s">
        <v>73</v>
      </c>
      <c r="J227" s="99" t="s">
        <v>74</v>
      </c>
      <c r="K227" s="65" t="s">
        <v>27</v>
      </c>
      <c r="L227" s="66" t="b">
        <f t="shared" si="10"/>
        <v>0</v>
      </c>
      <c r="M227" s="64" t="s">
        <v>76</v>
      </c>
      <c r="N227" s="65" t="s">
        <v>130</v>
      </c>
      <c r="O227" s="65" t="s">
        <v>90</v>
      </c>
      <c r="P227" s="66">
        <f t="shared" si="11"/>
        <v>1</v>
      </c>
    </row>
    <row r="228" spans="1:16" s="14" customFormat="1" ht="30" x14ac:dyDescent="0.25">
      <c r="A228" s="15">
        <v>46009</v>
      </c>
      <c r="B228" s="20" t="s">
        <v>141</v>
      </c>
      <c r="C228" s="16" t="s">
        <v>57</v>
      </c>
      <c r="D228" s="21" t="s">
        <v>27</v>
      </c>
      <c r="E228" s="23" t="s">
        <v>105</v>
      </c>
      <c r="F228" s="23" t="s">
        <v>51</v>
      </c>
      <c r="G228" s="23" t="s">
        <v>52</v>
      </c>
      <c r="H228" s="12" t="b">
        <f t="shared" si="9"/>
        <v>0</v>
      </c>
      <c r="I228" s="22" t="s">
        <v>42</v>
      </c>
      <c r="J228" s="20" t="s">
        <v>36</v>
      </c>
      <c r="K228" s="20" t="s">
        <v>37</v>
      </c>
      <c r="L228" s="25" t="b">
        <f t="shared" si="10"/>
        <v>0</v>
      </c>
      <c r="M228" s="64" t="s">
        <v>8</v>
      </c>
      <c r="N228" s="65" t="s">
        <v>82</v>
      </c>
      <c r="O228" s="65" t="s">
        <v>168</v>
      </c>
      <c r="P228" s="66" t="b">
        <f t="shared" si="11"/>
        <v>0</v>
      </c>
    </row>
    <row r="229" spans="1:16" s="14" customFormat="1" ht="30.75" thickBot="1" x14ac:dyDescent="0.3">
      <c r="A229" s="52">
        <v>46010</v>
      </c>
      <c r="B229" s="40" t="s">
        <v>113</v>
      </c>
      <c r="C229" s="55" t="s">
        <v>151</v>
      </c>
      <c r="D229" s="41" t="s">
        <v>16</v>
      </c>
      <c r="E229" s="91" t="s">
        <v>42</v>
      </c>
      <c r="F229" s="91" t="s">
        <v>10</v>
      </c>
      <c r="G229" s="91" t="s">
        <v>11</v>
      </c>
      <c r="H229" s="92">
        <f>2*(IF(ISBLANK($B229),$S$18,IF(AND($B229=E229,$C229=F229,$D229=G229),$S$15,IF(AND($B229=E229,OR($C229=F229,$D229=G229)),$S$16+$S$17,IF(OR($B229=E229,AND($C229=F229,$D229=G229)),$S$16,IF(OR($C229=F229,$D229=G229),$S$17))))))</f>
        <v>0</v>
      </c>
      <c r="I229" s="88" t="s">
        <v>35</v>
      </c>
      <c r="J229" s="89" t="s">
        <v>151</v>
      </c>
      <c r="K229" s="89" t="s">
        <v>31</v>
      </c>
      <c r="L229" s="90">
        <f>2*(IF(ISBLANK($B229),$S$18,IF(AND($B229=I229,$C229=J229,$D229=K229),$S$15,IF(AND($B229=I229,OR($C229=J229,$D229=K229)),$S$16+$S$17,IF(OR($B229=I229,AND($C229=J229,$D229=K229)),$S$16,IF(OR($C229=J229,$D229=K229),$S$17))))))</f>
        <v>1</v>
      </c>
      <c r="M229" s="88" t="s">
        <v>14</v>
      </c>
      <c r="N229" s="89" t="s">
        <v>96</v>
      </c>
      <c r="O229" s="89" t="s">
        <v>13</v>
      </c>
      <c r="P229" s="45">
        <f>2*(IF(ISBLANK($B229),$S$18,IF(AND($B229=M229,$C229=N229,$D229=O229),$S$15,IF(AND($B229=M229,OR($C229=N229,$D229=O229)),$S$16+$S$17,IF(OR($B229=M229,AND($C229=N229,$D229=O229)),$S$16,IF(OR($C229=N229,$D229=O229),$S$17))))))</f>
        <v>0</v>
      </c>
    </row>
    <row r="230" spans="1:16" ht="15.75" thickTop="1" x14ac:dyDescent="0.25"/>
  </sheetData>
  <mergeCells count="17">
    <mergeCell ref="A1:D2"/>
    <mergeCell ref="E1:H2"/>
    <mergeCell ref="I1:L2"/>
    <mergeCell ref="M1:P2"/>
    <mergeCell ref="E3:G3"/>
    <mergeCell ref="I3:K3"/>
    <mergeCell ref="M3:O3"/>
    <mergeCell ref="A3:D7"/>
    <mergeCell ref="E4:G4"/>
    <mergeCell ref="I4:K4"/>
    <mergeCell ref="M4:O4"/>
    <mergeCell ref="E5:G6"/>
    <mergeCell ref="I5:K6"/>
    <mergeCell ref="M5:O6"/>
    <mergeCell ref="E7:G7"/>
    <mergeCell ref="I7:K7"/>
    <mergeCell ref="M7:O7"/>
  </mergeCells>
  <conditionalFormatting sqref="E9:E229">
    <cfRule type="expression" dxfId="32" priority="4">
      <formula>$E9=$B9</formula>
    </cfRule>
  </conditionalFormatting>
  <conditionalFormatting sqref="F9:F229">
    <cfRule type="expression" dxfId="31" priority="5">
      <formula>$F9=$C9</formula>
    </cfRule>
  </conditionalFormatting>
  <conditionalFormatting sqref="F21">
    <cfRule type="expression" dxfId="30" priority="6">
      <formula>$N21=$C21</formula>
    </cfRule>
  </conditionalFormatting>
  <conditionalFormatting sqref="G9:G52 G54:G229">
    <cfRule type="expression" dxfId="29" priority="7">
      <formula>$G9=$D9</formula>
    </cfRule>
  </conditionalFormatting>
  <conditionalFormatting sqref="G21">
    <cfRule type="expression" dxfId="28" priority="8">
      <formula>$O21=$D21</formula>
    </cfRule>
  </conditionalFormatting>
  <conditionalFormatting sqref="I9:I51 I54:I109 I111:I210 I212:I229">
    <cfRule type="expression" dxfId="27" priority="10">
      <formula>$I9=$B9</formula>
    </cfRule>
  </conditionalFormatting>
  <conditionalFormatting sqref="I211">
    <cfRule type="expression" dxfId="26" priority="2">
      <formula>$M211=$B211</formula>
    </cfRule>
  </conditionalFormatting>
  <conditionalFormatting sqref="J47:J125 J127:J210 J212:J229">
    <cfRule type="expression" dxfId="25" priority="13">
      <formula>$J47=$C47</formula>
    </cfRule>
  </conditionalFormatting>
  <conditionalFormatting sqref="J211">
    <cfRule type="expression" dxfId="24" priority="3">
      <formula>$N211=$C211</formula>
    </cfRule>
  </conditionalFormatting>
  <conditionalFormatting sqref="K9:K52 K54:K108 K110:K210 K212:K229">
    <cfRule type="expression" dxfId="23" priority="14">
      <formula>$K9=$D9</formula>
    </cfRule>
  </conditionalFormatting>
  <conditionalFormatting sqref="K53">
    <cfRule type="expression" dxfId="22" priority="15">
      <formula>$O53=$D53</formula>
    </cfRule>
  </conditionalFormatting>
  <conditionalFormatting sqref="K109">
    <cfRule type="expression" dxfId="21" priority="16">
      <formula>$O109=$D109</formula>
    </cfRule>
  </conditionalFormatting>
  <conditionalFormatting sqref="K211">
    <cfRule type="expression" dxfId="20" priority="1">
      <formula>$O211=$D211</formula>
    </cfRule>
  </conditionalFormatting>
  <conditionalFormatting sqref="M9:M229 I52">
    <cfRule type="expression" dxfId="19" priority="11">
      <formula>$M9=$B9</formula>
    </cfRule>
  </conditionalFormatting>
  <conditionalFormatting sqref="N9:N229 I53:J53">
    <cfRule type="expression" dxfId="18" priority="12">
      <formula>$N9=$C9</formula>
    </cfRule>
  </conditionalFormatting>
  <conditionalFormatting sqref="O9:O229 G53">
    <cfRule type="expression" dxfId="17" priority="9">
      <formula>$O9=$D9</formula>
    </cfRule>
  </conditionalFormatting>
  <pageMargins left="0.7" right="0.7" top="0.78749999999999998" bottom="0.78749999999999998"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O257"/>
  <sheetViews>
    <sheetView tabSelected="1" zoomScale="80" zoomScaleNormal="80" workbookViewId="0">
      <pane ySplit="8" topLeftCell="A185" activePane="bottomLeft" state="frozen"/>
      <selection pane="bottomLeft" activeCell="M203" sqref="M203"/>
    </sheetView>
  </sheetViews>
  <sheetFormatPr defaultColWidth="9.140625" defaultRowHeight="15" x14ac:dyDescent="0.25"/>
  <cols>
    <col min="1" max="1" width="32.7109375" style="2" bestFit="1" customWidth="1"/>
    <col min="2" max="2" width="15.7109375" style="3" customWidth="1"/>
    <col min="3" max="3" width="17.140625" style="3" customWidth="1"/>
    <col min="4" max="7" width="16.7109375" style="3" customWidth="1"/>
    <col min="8" max="8" width="10.7109375" style="3" customWidth="1"/>
    <col min="9" max="11" width="16.7109375" style="3" customWidth="1"/>
    <col min="12" max="12" width="10.7109375" style="3" customWidth="1"/>
    <col min="13" max="15" width="16.7109375" style="3" customWidth="1"/>
    <col min="16" max="16" width="10.7109375" style="3" customWidth="1"/>
    <col min="17" max="19" width="16.7109375" style="3" customWidth="1"/>
    <col min="20" max="20" width="10.7109375" style="3" customWidth="1"/>
    <col min="21" max="21" width="19" style="3" customWidth="1"/>
    <col min="22" max="22" width="39.7109375" style="3" customWidth="1"/>
    <col min="23" max="23" width="17.85546875" style="3" customWidth="1"/>
    <col min="24" max="1029" width="9.140625" style="3" customWidth="1"/>
  </cols>
  <sheetData>
    <row r="1" spans="1:21" ht="33" thickTop="1" thickBot="1" x14ac:dyDescent="0.3">
      <c r="A1" s="202" t="s">
        <v>172</v>
      </c>
      <c r="B1" s="203"/>
      <c r="C1" s="203"/>
      <c r="D1" s="204"/>
      <c r="E1" s="202" t="s">
        <v>4</v>
      </c>
      <c r="F1" s="203"/>
      <c r="G1" s="203"/>
      <c r="H1" s="204"/>
      <c r="I1" s="202" t="s">
        <v>5</v>
      </c>
      <c r="J1" s="203"/>
      <c r="K1" s="203"/>
      <c r="L1" s="204"/>
      <c r="M1" s="202" t="s">
        <v>6</v>
      </c>
      <c r="N1" s="203"/>
      <c r="O1" s="203"/>
      <c r="P1" s="204"/>
      <c r="Q1" s="202" t="s">
        <v>200</v>
      </c>
      <c r="R1" s="203"/>
      <c r="S1" s="203"/>
      <c r="T1" s="204"/>
    </row>
    <row r="2" spans="1:21" ht="22.5" thickTop="1" thickBot="1" x14ac:dyDescent="0.3">
      <c r="A2" s="190" t="s">
        <v>221</v>
      </c>
      <c r="B2" s="191"/>
      <c r="C2" s="191"/>
      <c r="D2" s="192"/>
      <c r="E2" s="179" t="s">
        <v>7</v>
      </c>
      <c r="F2" s="179"/>
      <c r="G2" s="179"/>
      <c r="H2" s="26">
        <f>SUM(H9:H256)</f>
        <v>44.5</v>
      </c>
      <c r="I2" s="179" t="s">
        <v>7</v>
      </c>
      <c r="J2" s="179"/>
      <c r="K2" s="179"/>
      <c r="L2" s="26">
        <f>SUM(L9:L256)</f>
        <v>45.5</v>
      </c>
      <c r="M2" s="179" t="s">
        <v>7</v>
      </c>
      <c r="N2" s="179"/>
      <c r="O2" s="179"/>
      <c r="P2" s="26">
        <f>SUM(P9:P256)</f>
        <v>41.5</v>
      </c>
      <c r="Q2" s="179" t="s">
        <v>7</v>
      </c>
      <c r="R2" s="179"/>
      <c r="S2" s="179"/>
      <c r="T2" s="26">
        <f>SUM(T9:T256)</f>
        <v>41</v>
      </c>
    </row>
    <row r="3" spans="1:21" ht="24.95" customHeight="1" thickTop="1" thickBot="1" x14ac:dyDescent="0.3">
      <c r="A3" s="193"/>
      <c r="B3" s="194"/>
      <c r="C3" s="194"/>
      <c r="D3" s="195"/>
      <c r="E3" s="199" t="s">
        <v>189</v>
      </c>
      <c r="F3" s="200"/>
      <c r="G3" s="201"/>
      <c r="H3" s="96">
        <f>(100/(3*COUNTIFS($B$9:$B$256,"&lt;&gt;",$B$9:$B$256,"&lt;&gt;frei")))*H2</f>
        <v>8.2407407407407405</v>
      </c>
      <c r="I3" s="199" t="s">
        <v>189</v>
      </c>
      <c r="J3" s="200"/>
      <c r="K3" s="201"/>
      <c r="L3" s="96">
        <f>(100/(3*COUNTIFS($B$9:$B$256,"&lt;&gt;",$B$9:$B$256,"&lt;&gt;frei")))*L2</f>
        <v>8.4259259259259256</v>
      </c>
      <c r="M3" s="199" t="s">
        <v>189</v>
      </c>
      <c r="N3" s="200"/>
      <c r="O3" s="201"/>
      <c r="P3" s="96">
        <f>(100/(3*COUNTIFS($B$9:$B$256,"&lt;&gt;",$B$9:$B$256,"&lt;&gt;frei")))*P2</f>
        <v>7.6851851851851851</v>
      </c>
      <c r="Q3" s="199" t="s">
        <v>189</v>
      </c>
      <c r="R3" s="200"/>
      <c r="S3" s="201"/>
      <c r="T3" s="96">
        <f>(100/(3*COUNTIFS($B$9:$B$256,"&lt;&gt;",$B$9:$B$256,"&lt;&gt;frei")))*T2</f>
        <v>7.5925925925925926</v>
      </c>
    </row>
    <row r="4" spans="1:21" ht="24.95" customHeight="1" thickTop="1" thickBot="1" x14ac:dyDescent="0.3">
      <c r="A4" s="193"/>
      <c r="B4" s="194"/>
      <c r="C4" s="194"/>
      <c r="D4" s="195"/>
      <c r="E4" s="199" t="s">
        <v>248</v>
      </c>
      <c r="F4" s="200"/>
      <c r="G4" s="201"/>
      <c r="H4" s="158">
        <f ca="1">H2/_xlfn.ISOWEEKNUM(TODAY())</f>
        <v>1.0853658536585367</v>
      </c>
      <c r="I4" s="199" t="s">
        <v>248</v>
      </c>
      <c r="J4" s="200"/>
      <c r="K4" s="201"/>
      <c r="L4" s="158">
        <f ca="1">L2/_xlfn.ISOWEEKNUM(TODAY())</f>
        <v>1.1097560975609757</v>
      </c>
      <c r="M4" s="199" t="s">
        <v>248</v>
      </c>
      <c r="N4" s="200"/>
      <c r="O4" s="201"/>
      <c r="P4" s="158">
        <f ca="1">P2/_xlfn.ISOWEEKNUM(TODAY())</f>
        <v>1.0121951219512195</v>
      </c>
      <c r="Q4" s="199" t="s">
        <v>248</v>
      </c>
      <c r="R4" s="200"/>
      <c r="S4" s="201"/>
      <c r="T4" s="158">
        <f ca="1">T2/_xlfn.ISOWEEKNUM(TODAY())</f>
        <v>1</v>
      </c>
    </row>
    <row r="5" spans="1:21" ht="24.95" customHeight="1" thickTop="1" thickBot="1" x14ac:dyDescent="0.3">
      <c r="A5" s="193"/>
      <c r="B5" s="194"/>
      <c r="C5" s="194"/>
      <c r="D5" s="195"/>
      <c r="E5" s="184" t="s">
        <v>99</v>
      </c>
      <c r="F5" s="185"/>
      <c r="G5" s="186"/>
      <c r="H5" s="1">
        <f>COUNTIF(H9:H256,"Falsch")</f>
        <v>135</v>
      </c>
      <c r="I5" s="184" t="s">
        <v>99</v>
      </c>
      <c r="J5" s="185"/>
      <c r="K5" s="186"/>
      <c r="L5" s="1">
        <f>COUNTIF(L9:L256,"Falsch")</f>
        <v>134</v>
      </c>
      <c r="M5" s="184" t="s">
        <v>99</v>
      </c>
      <c r="N5" s="185"/>
      <c r="O5" s="186"/>
      <c r="P5" s="1">
        <f>COUNTIF(P9:P256,"Falsch")</f>
        <v>142</v>
      </c>
      <c r="Q5" s="184" t="s">
        <v>99</v>
      </c>
      <c r="R5" s="185"/>
      <c r="S5" s="186"/>
      <c r="T5" s="1">
        <f>COUNTIF(T9:T256,"Falsch")</f>
        <v>144</v>
      </c>
    </row>
    <row r="6" spans="1:21" ht="24.95" customHeight="1" thickTop="1" thickBot="1" x14ac:dyDescent="0.3">
      <c r="A6" s="193"/>
      <c r="B6" s="194"/>
      <c r="C6" s="194"/>
      <c r="D6" s="195"/>
      <c r="E6" s="187"/>
      <c r="F6" s="188"/>
      <c r="G6" s="189"/>
      <c r="H6" s="96">
        <f>(100/COUNTIFS($B$9:$B$256,"&lt;&gt;",$B$9:$B$256,"&lt;&gt;frei"))*H5</f>
        <v>75</v>
      </c>
      <c r="I6" s="187"/>
      <c r="J6" s="188"/>
      <c r="K6" s="189"/>
      <c r="L6" s="96">
        <f>(100/COUNTIFS($B$9:$B$256,"&lt;&gt;",$B$9:$B$256,"&lt;&gt;frei"))*L5</f>
        <v>74.444444444444443</v>
      </c>
      <c r="M6" s="187"/>
      <c r="N6" s="188"/>
      <c r="O6" s="189"/>
      <c r="P6" s="96">
        <f>(100/COUNTIFS($B$9:$B$256,"&lt;&gt;",$B$9:$B$256,"&lt;&gt;frei"))*P5</f>
        <v>78.888888888888886</v>
      </c>
      <c r="Q6" s="187"/>
      <c r="R6" s="188"/>
      <c r="S6" s="189"/>
      <c r="T6" s="96">
        <f>(100/COUNTIFS($B$9:$B$256,"&lt;&gt;",$B$9:$B$256,"&lt;&gt;frei"))*T5</f>
        <v>80</v>
      </c>
    </row>
    <row r="7" spans="1:21" ht="24.95" customHeight="1" thickTop="1" thickBot="1" x14ac:dyDescent="0.3">
      <c r="A7" s="196"/>
      <c r="B7" s="197"/>
      <c r="C7" s="197"/>
      <c r="D7" s="198"/>
      <c r="E7" s="182" t="s">
        <v>100</v>
      </c>
      <c r="F7" s="182"/>
      <c r="G7" s="182"/>
      <c r="H7" s="1">
        <f>COUNTIF(H9:H256,"3")</f>
        <v>0</v>
      </c>
      <c r="I7" s="182" t="s">
        <v>100</v>
      </c>
      <c r="J7" s="182"/>
      <c r="K7" s="182"/>
      <c r="L7" s="1">
        <f>COUNTIF(L9:L256,"3")</f>
        <v>1</v>
      </c>
      <c r="M7" s="182" t="s">
        <v>100</v>
      </c>
      <c r="N7" s="182"/>
      <c r="O7" s="182"/>
      <c r="P7" s="1">
        <f>COUNTIF(P9:P256,"3")</f>
        <v>1</v>
      </c>
      <c r="Q7" s="182" t="s">
        <v>100</v>
      </c>
      <c r="R7" s="182"/>
      <c r="S7" s="182"/>
      <c r="T7" s="1">
        <f>COUNTIF(T9:T256,"3")</f>
        <v>2</v>
      </c>
    </row>
    <row r="8" spans="1:21" ht="16.5" thickTop="1" thickBot="1" x14ac:dyDescent="0.3">
      <c r="A8" s="27" t="s">
        <v>0</v>
      </c>
      <c r="B8" s="28" t="s">
        <v>1</v>
      </c>
      <c r="C8" s="29" t="s">
        <v>2</v>
      </c>
      <c r="D8" s="29" t="s">
        <v>3</v>
      </c>
      <c r="E8" s="30" t="s">
        <v>1</v>
      </c>
      <c r="F8" s="29" t="s">
        <v>2</v>
      </c>
      <c r="G8" s="29" t="s">
        <v>3</v>
      </c>
      <c r="H8" s="31" t="s">
        <v>7</v>
      </c>
      <c r="I8" s="30" t="s">
        <v>1</v>
      </c>
      <c r="J8" s="29" t="s">
        <v>2</v>
      </c>
      <c r="K8" s="29" t="s">
        <v>3</v>
      </c>
      <c r="L8" s="31" t="s">
        <v>7</v>
      </c>
      <c r="M8" s="32" t="s">
        <v>1</v>
      </c>
      <c r="N8" s="29" t="s">
        <v>2</v>
      </c>
      <c r="O8" s="29" t="s">
        <v>3</v>
      </c>
      <c r="P8" s="31" t="s">
        <v>7</v>
      </c>
      <c r="Q8" s="32" t="s">
        <v>1</v>
      </c>
      <c r="R8" s="29" t="s">
        <v>2</v>
      </c>
      <c r="S8" s="29" t="s">
        <v>3</v>
      </c>
      <c r="T8" s="31" t="s">
        <v>7</v>
      </c>
    </row>
    <row r="9" spans="1:21" s="14" customFormat="1" ht="26.25" thickTop="1" x14ac:dyDescent="0.25">
      <c r="A9" s="33">
        <v>46034</v>
      </c>
      <c r="B9" s="34" t="s">
        <v>73</v>
      </c>
      <c r="C9" s="34" t="s">
        <v>82</v>
      </c>
      <c r="D9" s="34" t="s">
        <v>21</v>
      </c>
      <c r="E9" s="35" t="s">
        <v>101</v>
      </c>
      <c r="F9" s="34" t="s">
        <v>130</v>
      </c>
      <c r="G9" s="34" t="s">
        <v>21</v>
      </c>
      <c r="H9" s="140">
        <f t="shared" ref="H9:H72" si="0">IF(ISBLANK($B9),$W$53,IF(AND($B9=E9,$C9=F9,$D9=G9),$W$50,IF(AND($B9=E9,OR($C9=F9,$D9=G9)),$W$51+$W$52,IF(OR($B9=E9,AND($C9=F9,$D9=G9)),$W$51,IF(OR($C9=F9,$D9=G9),$W$52)))))</f>
        <v>0.5</v>
      </c>
      <c r="I9" s="35" t="s">
        <v>42</v>
      </c>
      <c r="J9" s="34" t="s">
        <v>130</v>
      </c>
      <c r="K9" s="34" t="s">
        <v>21</v>
      </c>
      <c r="L9" s="140">
        <f t="shared" ref="L9:L72" si="1">IF(ISBLANK($B9),$W$53,IF(AND($B9=I9,$C9=J9,$D9=K9),$W$50,IF(AND($B9=I9,OR($C9=J9,$D9=K9)),$W$51+$W$52,IF(OR($B9=I9,AND($C9=J9,$D9=K9)),$W$51,IF(OR($C9=J9,$D9=K9),$W$52)))))</f>
        <v>0.5</v>
      </c>
      <c r="M9" s="37" t="s">
        <v>28</v>
      </c>
      <c r="N9" s="34" t="s">
        <v>28</v>
      </c>
      <c r="O9" s="34" t="s">
        <v>28</v>
      </c>
      <c r="P9" s="140" t="b">
        <f t="shared" ref="P9:P72" si="2">IF(ISBLANK($B9),$W$53,IF(AND($B9=M9,$C9=N9,$D9=O9),$W$50,IF(AND($B9=M9,OR($C9=N9,$D9=O9)),$W$51+$W$52,IF(OR($B9=M9,AND($C9=N9,$D9=O9)),$W$51,IF(OR($C9=N9,$D9=O9),$W$52)))))</f>
        <v>0</v>
      </c>
      <c r="Q9" s="37" t="s">
        <v>28</v>
      </c>
      <c r="R9" s="34" t="s">
        <v>28</v>
      </c>
      <c r="S9" s="34" t="s">
        <v>28</v>
      </c>
      <c r="T9" s="140" t="b">
        <f t="shared" ref="T9:T72" si="3">IF(ISBLANK($B9),$W$53,IF(AND($B9=Q9,$C9=R9,$D9=S9),$W$50,IF(AND($B9=Q9,OR($C9=R9,$D9=S9)),$W$51+$W$52,IF(OR($B9=Q9,AND($C9=R9,$D9=S9)),$W$51,IF(OR($C9=R9,$D9=S9),$W$52)))))</f>
        <v>0</v>
      </c>
      <c r="U9"/>
    </row>
    <row r="10" spans="1:21" s="14" customFormat="1" ht="25.5" x14ac:dyDescent="0.25">
      <c r="A10" s="8">
        <v>46035</v>
      </c>
      <c r="B10" s="9" t="s">
        <v>29</v>
      </c>
      <c r="C10" s="9" t="s">
        <v>117</v>
      </c>
      <c r="D10" s="101" t="s">
        <v>168</v>
      </c>
      <c r="E10" s="118" t="s">
        <v>105</v>
      </c>
      <c r="F10" s="119" t="s">
        <v>51</v>
      </c>
      <c r="G10" s="119" t="s">
        <v>52</v>
      </c>
      <c r="H10" s="141" t="b">
        <f t="shared" si="0"/>
        <v>0</v>
      </c>
      <c r="I10" s="120" t="s">
        <v>105</v>
      </c>
      <c r="J10" s="119" t="s">
        <v>74</v>
      </c>
      <c r="K10" s="119" t="s">
        <v>27</v>
      </c>
      <c r="L10" s="141" t="b">
        <f t="shared" si="1"/>
        <v>0</v>
      </c>
      <c r="M10" s="121" t="s">
        <v>19</v>
      </c>
      <c r="N10" s="119" t="s">
        <v>45</v>
      </c>
      <c r="O10" s="119" t="s">
        <v>27</v>
      </c>
      <c r="P10" s="141" t="b">
        <f t="shared" si="2"/>
        <v>0</v>
      </c>
      <c r="Q10" s="121" t="s">
        <v>28</v>
      </c>
      <c r="R10" s="119" t="s">
        <v>28</v>
      </c>
      <c r="S10" s="119" t="s">
        <v>28</v>
      </c>
      <c r="T10" s="141" t="b">
        <f t="shared" si="3"/>
        <v>0</v>
      </c>
    </row>
    <row r="11" spans="1:21" s="14" customFormat="1" ht="25.5" x14ac:dyDescent="0.25">
      <c r="A11" s="8">
        <v>46036</v>
      </c>
      <c r="B11" s="9" t="s">
        <v>101</v>
      </c>
      <c r="C11" s="9" t="s">
        <v>151</v>
      </c>
      <c r="D11" s="101" t="s">
        <v>16</v>
      </c>
      <c r="E11" s="11" t="s">
        <v>101</v>
      </c>
      <c r="F11" s="9" t="s">
        <v>106</v>
      </c>
      <c r="G11" s="9" t="s">
        <v>13</v>
      </c>
      <c r="H11" s="17">
        <f t="shared" si="0"/>
        <v>1</v>
      </c>
      <c r="I11" s="11" t="s">
        <v>19</v>
      </c>
      <c r="J11" s="9" t="s">
        <v>30</v>
      </c>
      <c r="K11" s="9" t="s">
        <v>31</v>
      </c>
      <c r="L11" s="17" t="b">
        <f t="shared" si="1"/>
        <v>0</v>
      </c>
      <c r="M11" s="13" t="s">
        <v>42</v>
      </c>
      <c r="N11" s="9" t="s">
        <v>12</v>
      </c>
      <c r="O11" s="9" t="s">
        <v>90</v>
      </c>
      <c r="P11" s="17" t="b">
        <f t="shared" si="2"/>
        <v>0</v>
      </c>
      <c r="Q11" s="13" t="s">
        <v>28</v>
      </c>
      <c r="R11" s="9" t="s">
        <v>28</v>
      </c>
      <c r="S11" s="9" t="s">
        <v>28</v>
      </c>
      <c r="T11" s="17" t="b">
        <f t="shared" si="3"/>
        <v>0</v>
      </c>
    </row>
    <row r="12" spans="1:21" s="14" customFormat="1" x14ac:dyDescent="0.25">
      <c r="A12" s="8">
        <v>46037</v>
      </c>
      <c r="B12" s="9" t="s">
        <v>50</v>
      </c>
      <c r="C12" s="9" t="s">
        <v>57</v>
      </c>
      <c r="D12" s="101" t="s">
        <v>31</v>
      </c>
      <c r="E12" s="11" t="s">
        <v>8</v>
      </c>
      <c r="F12" s="9" t="s">
        <v>77</v>
      </c>
      <c r="G12" s="9" t="s">
        <v>90</v>
      </c>
      <c r="H12" s="17" t="b">
        <f t="shared" si="0"/>
        <v>0</v>
      </c>
      <c r="I12" s="11" t="s">
        <v>42</v>
      </c>
      <c r="J12" s="9" t="s">
        <v>96</v>
      </c>
      <c r="K12" s="9" t="s">
        <v>27</v>
      </c>
      <c r="L12" s="17" t="b">
        <f t="shared" si="1"/>
        <v>0</v>
      </c>
      <c r="M12" s="13" t="s">
        <v>193</v>
      </c>
      <c r="N12" s="9" t="s">
        <v>57</v>
      </c>
      <c r="O12" s="9" t="s">
        <v>27</v>
      </c>
      <c r="P12" s="17">
        <f t="shared" si="2"/>
        <v>0.5</v>
      </c>
      <c r="Q12" s="13" t="s">
        <v>50</v>
      </c>
      <c r="R12" s="9" t="s">
        <v>28</v>
      </c>
      <c r="S12" s="9" t="s">
        <v>28</v>
      </c>
      <c r="T12" s="17">
        <f t="shared" si="3"/>
        <v>1</v>
      </c>
    </row>
    <row r="13" spans="1:21" s="14" customFormat="1" ht="15.75" thickBot="1" x14ac:dyDescent="0.3">
      <c r="A13" s="39">
        <v>46038</v>
      </c>
      <c r="B13" s="53" t="s">
        <v>193</v>
      </c>
      <c r="C13" s="53" t="s">
        <v>118</v>
      </c>
      <c r="D13" s="102" t="s">
        <v>13</v>
      </c>
      <c r="E13" s="104" t="s">
        <v>193</v>
      </c>
      <c r="F13" s="53" t="s">
        <v>163</v>
      </c>
      <c r="G13" s="53" t="s">
        <v>13</v>
      </c>
      <c r="H13" s="142">
        <f t="shared" si="0"/>
        <v>1.5</v>
      </c>
      <c r="I13" s="104" t="s">
        <v>28</v>
      </c>
      <c r="J13" s="53" t="s">
        <v>28</v>
      </c>
      <c r="K13" s="53" t="s">
        <v>28</v>
      </c>
      <c r="L13" s="142" t="b">
        <f t="shared" si="1"/>
        <v>0</v>
      </c>
      <c r="M13" s="103" t="s">
        <v>113</v>
      </c>
      <c r="N13" s="53" t="s">
        <v>10</v>
      </c>
      <c r="O13" s="53" t="s">
        <v>11</v>
      </c>
      <c r="P13" s="142" t="b">
        <f t="shared" si="2"/>
        <v>0</v>
      </c>
      <c r="Q13" s="103" t="s">
        <v>28</v>
      </c>
      <c r="R13" s="53" t="s">
        <v>28</v>
      </c>
      <c r="S13" s="53" t="s">
        <v>28</v>
      </c>
      <c r="T13" s="142" t="b">
        <f t="shared" si="3"/>
        <v>0</v>
      </c>
    </row>
    <row r="14" spans="1:21" s="14" customFormat="1" ht="26.25" thickTop="1" x14ac:dyDescent="0.25">
      <c r="A14" s="33">
        <v>46041</v>
      </c>
      <c r="B14" s="34" t="s">
        <v>47</v>
      </c>
      <c r="C14" s="34" t="s">
        <v>130</v>
      </c>
      <c r="D14" s="106" t="s">
        <v>21</v>
      </c>
      <c r="E14" s="122" t="s">
        <v>22</v>
      </c>
      <c r="F14" s="100" t="s">
        <v>130</v>
      </c>
      <c r="G14" s="100" t="s">
        <v>90</v>
      </c>
      <c r="H14" s="143">
        <f t="shared" si="0"/>
        <v>0.5</v>
      </c>
      <c r="I14" s="122" t="s">
        <v>19</v>
      </c>
      <c r="J14" s="100" t="s">
        <v>130</v>
      </c>
      <c r="K14" s="100" t="s">
        <v>21</v>
      </c>
      <c r="L14" s="143">
        <f t="shared" si="1"/>
        <v>1</v>
      </c>
      <c r="M14" s="123" t="s">
        <v>19</v>
      </c>
      <c r="N14" s="100" t="s">
        <v>130</v>
      </c>
      <c r="O14" s="100" t="s">
        <v>21</v>
      </c>
      <c r="P14" s="143">
        <f t="shared" si="2"/>
        <v>1</v>
      </c>
      <c r="Q14" s="123" t="s">
        <v>28</v>
      </c>
      <c r="R14" s="100" t="s">
        <v>28</v>
      </c>
      <c r="S14" s="100" t="s">
        <v>28</v>
      </c>
      <c r="T14" s="143" t="b">
        <f t="shared" si="3"/>
        <v>0</v>
      </c>
    </row>
    <row r="15" spans="1:21" s="14" customFormat="1" ht="25.5" x14ac:dyDescent="0.25">
      <c r="A15" s="8">
        <v>46042</v>
      </c>
      <c r="B15" s="9" t="s">
        <v>66</v>
      </c>
      <c r="C15" s="9" t="s">
        <v>30</v>
      </c>
      <c r="D15" s="101" t="s">
        <v>31</v>
      </c>
      <c r="E15" s="120" t="s">
        <v>14</v>
      </c>
      <c r="F15" s="119" t="s">
        <v>30</v>
      </c>
      <c r="G15" s="119" t="s">
        <v>31</v>
      </c>
      <c r="H15" s="141">
        <f t="shared" si="0"/>
        <v>1</v>
      </c>
      <c r="I15" s="120" t="s">
        <v>105</v>
      </c>
      <c r="J15" s="119" t="s">
        <v>30</v>
      </c>
      <c r="K15" s="119" t="s">
        <v>31</v>
      </c>
      <c r="L15" s="141">
        <f t="shared" si="1"/>
        <v>1</v>
      </c>
      <c r="M15" s="121" t="s">
        <v>14</v>
      </c>
      <c r="N15" s="119" t="s">
        <v>77</v>
      </c>
      <c r="O15" s="119" t="s">
        <v>52</v>
      </c>
      <c r="P15" s="141" t="b">
        <f t="shared" si="2"/>
        <v>0</v>
      </c>
      <c r="Q15" s="121" t="s">
        <v>66</v>
      </c>
      <c r="R15" s="119" t="s">
        <v>28</v>
      </c>
      <c r="S15" s="119" t="s">
        <v>28</v>
      </c>
      <c r="T15" s="141">
        <f t="shared" si="3"/>
        <v>1</v>
      </c>
    </row>
    <row r="16" spans="1:21" s="14" customFormat="1" ht="25.5" x14ac:dyDescent="0.25">
      <c r="A16" s="8">
        <v>46043</v>
      </c>
      <c r="B16" s="9" t="s">
        <v>87</v>
      </c>
      <c r="C16" s="9" t="s">
        <v>88</v>
      </c>
      <c r="D16" s="101" t="s">
        <v>168</v>
      </c>
      <c r="E16" s="124" t="s">
        <v>8</v>
      </c>
      <c r="F16" s="125" t="s">
        <v>51</v>
      </c>
      <c r="G16" s="125" t="s">
        <v>90</v>
      </c>
      <c r="H16" s="144" t="b">
        <f t="shared" si="0"/>
        <v>0</v>
      </c>
      <c r="I16" s="124" t="s">
        <v>113</v>
      </c>
      <c r="J16" s="125" t="s">
        <v>57</v>
      </c>
      <c r="K16" s="125" t="s">
        <v>27</v>
      </c>
      <c r="L16" s="144" t="b">
        <f t="shared" si="1"/>
        <v>0</v>
      </c>
      <c r="M16" s="126" t="s">
        <v>8</v>
      </c>
      <c r="N16" s="125" t="s">
        <v>82</v>
      </c>
      <c r="O16" s="125" t="s">
        <v>168</v>
      </c>
      <c r="P16" s="17">
        <f t="shared" si="2"/>
        <v>0.5</v>
      </c>
      <c r="Q16" s="126" t="s">
        <v>28</v>
      </c>
      <c r="R16" s="125" t="s">
        <v>28</v>
      </c>
      <c r="S16" s="125" t="s">
        <v>28</v>
      </c>
      <c r="T16" s="17" t="b">
        <f t="shared" si="3"/>
        <v>0</v>
      </c>
    </row>
    <row r="17" spans="1:20" s="14" customFormat="1" ht="25.5" x14ac:dyDescent="0.25">
      <c r="A17" s="8">
        <v>46044</v>
      </c>
      <c r="B17" s="9" t="s">
        <v>19</v>
      </c>
      <c r="C17" s="9" t="s">
        <v>10</v>
      </c>
      <c r="D17" s="101" t="s">
        <v>11</v>
      </c>
      <c r="E17" s="120" t="s">
        <v>113</v>
      </c>
      <c r="F17" s="119" t="s">
        <v>10</v>
      </c>
      <c r="G17" s="119" t="s">
        <v>11</v>
      </c>
      <c r="H17" s="141">
        <f t="shared" si="0"/>
        <v>1</v>
      </c>
      <c r="I17" s="120" t="s">
        <v>19</v>
      </c>
      <c r="J17" s="119" t="s">
        <v>82</v>
      </c>
      <c r="K17" s="119" t="s">
        <v>21</v>
      </c>
      <c r="L17" s="141">
        <f t="shared" si="1"/>
        <v>1</v>
      </c>
      <c r="M17" s="121" t="s">
        <v>22</v>
      </c>
      <c r="N17" s="119" t="s">
        <v>45</v>
      </c>
      <c r="O17" s="119" t="s">
        <v>27</v>
      </c>
      <c r="P17" s="141" t="b">
        <f t="shared" si="2"/>
        <v>0</v>
      </c>
      <c r="Q17" s="121" t="s">
        <v>126</v>
      </c>
      <c r="R17" s="119" t="s">
        <v>57</v>
      </c>
      <c r="S17" s="119" t="s">
        <v>21</v>
      </c>
      <c r="T17" s="17" t="b">
        <f t="shared" si="3"/>
        <v>0</v>
      </c>
    </row>
    <row r="18" spans="1:20" s="132" customFormat="1" ht="26.25" thickBot="1" x14ac:dyDescent="0.3">
      <c r="A18" s="127">
        <v>46045</v>
      </c>
      <c r="B18" s="128" t="s">
        <v>14</v>
      </c>
      <c r="C18" s="128" t="s">
        <v>195</v>
      </c>
      <c r="D18" s="129" t="s">
        <v>21</v>
      </c>
      <c r="E18" s="130" t="s">
        <v>53</v>
      </c>
      <c r="F18" s="128" t="s">
        <v>194</v>
      </c>
      <c r="G18" s="128" t="s">
        <v>27</v>
      </c>
      <c r="H18" s="145" t="b">
        <f t="shared" si="0"/>
        <v>0</v>
      </c>
      <c r="I18" s="130" t="s">
        <v>42</v>
      </c>
      <c r="J18" s="128" t="s">
        <v>38</v>
      </c>
      <c r="K18" s="128" t="s">
        <v>31</v>
      </c>
      <c r="L18" s="145" t="b">
        <f t="shared" si="1"/>
        <v>0</v>
      </c>
      <c r="M18" s="131" t="s">
        <v>193</v>
      </c>
      <c r="N18" s="128" t="s">
        <v>77</v>
      </c>
      <c r="O18" s="128" t="s">
        <v>13</v>
      </c>
      <c r="P18" s="145" t="b">
        <f t="shared" si="2"/>
        <v>0</v>
      </c>
      <c r="Q18" s="131" t="s">
        <v>105</v>
      </c>
      <c r="R18" s="128" t="s">
        <v>51</v>
      </c>
      <c r="S18" s="128" t="s">
        <v>52</v>
      </c>
      <c r="T18" s="145" t="b">
        <f t="shared" si="3"/>
        <v>0</v>
      </c>
    </row>
    <row r="19" spans="1:20" s="14" customFormat="1" ht="39" thickTop="1" x14ac:dyDescent="0.25">
      <c r="A19" s="8">
        <v>46048</v>
      </c>
      <c r="B19" s="9" t="s">
        <v>22</v>
      </c>
      <c r="C19" s="9" t="s">
        <v>197</v>
      </c>
      <c r="D19" s="101" t="s">
        <v>21</v>
      </c>
      <c r="E19" s="120" t="s">
        <v>101</v>
      </c>
      <c r="F19" s="119" t="s">
        <v>106</v>
      </c>
      <c r="G19" s="119" t="s">
        <v>52</v>
      </c>
      <c r="H19" s="146" t="b">
        <f t="shared" si="0"/>
        <v>0</v>
      </c>
      <c r="I19" s="120" t="s">
        <v>28</v>
      </c>
      <c r="J19" s="119" t="s">
        <v>28</v>
      </c>
      <c r="K19" s="119" t="s">
        <v>28</v>
      </c>
      <c r="L19" s="146" t="b">
        <f t="shared" si="1"/>
        <v>0</v>
      </c>
      <c r="M19" s="121" t="s">
        <v>22</v>
      </c>
      <c r="N19" s="119" t="s">
        <v>160</v>
      </c>
      <c r="O19" s="119" t="s">
        <v>21</v>
      </c>
      <c r="P19" s="146">
        <f t="shared" si="2"/>
        <v>1.5</v>
      </c>
      <c r="Q19" s="121" t="s">
        <v>196</v>
      </c>
      <c r="R19" s="119" t="s">
        <v>36</v>
      </c>
      <c r="S19" s="119" t="s">
        <v>34</v>
      </c>
      <c r="T19" s="146" t="b">
        <f t="shared" si="3"/>
        <v>0</v>
      </c>
    </row>
    <row r="20" spans="1:20" s="14" customFormat="1" ht="25.5" x14ac:dyDescent="0.25">
      <c r="A20" s="8">
        <v>46049</v>
      </c>
      <c r="B20" s="9" t="s">
        <v>35</v>
      </c>
      <c r="C20" s="9" t="s">
        <v>77</v>
      </c>
      <c r="D20" s="101" t="s">
        <v>27</v>
      </c>
      <c r="E20" s="120" t="s">
        <v>105</v>
      </c>
      <c r="F20" s="119" t="s">
        <v>57</v>
      </c>
      <c r="G20" s="119" t="s">
        <v>31</v>
      </c>
      <c r="H20" s="141" t="b">
        <f t="shared" si="0"/>
        <v>0</v>
      </c>
      <c r="I20" s="120" t="s">
        <v>105</v>
      </c>
      <c r="J20" s="119" t="s">
        <v>82</v>
      </c>
      <c r="K20" s="119" t="s">
        <v>168</v>
      </c>
      <c r="L20" s="141" t="b">
        <f t="shared" si="1"/>
        <v>0</v>
      </c>
      <c r="M20" s="121" t="s">
        <v>101</v>
      </c>
      <c r="N20" s="119" t="s">
        <v>82</v>
      </c>
      <c r="O20" s="119" t="s">
        <v>168</v>
      </c>
      <c r="P20" s="141" t="b">
        <f t="shared" si="2"/>
        <v>0</v>
      </c>
      <c r="Q20" s="121" t="s">
        <v>193</v>
      </c>
      <c r="R20" s="119" t="s">
        <v>57</v>
      </c>
      <c r="S20" s="119" t="s">
        <v>60</v>
      </c>
      <c r="T20" s="141" t="b">
        <f t="shared" si="3"/>
        <v>0</v>
      </c>
    </row>
    <row r="21" spans="1:20" s="14" customFormat="1" ht="38.25" x14ac:dyDescent="0.25">
      <c r="A21" s="8">
        <v>46050</v>
      </c>
      <c r="B21" s="9" t="s">
        <v>105</v>
      </c>
      <c r="C21" s="9" t="s">
        <v>163</v>
      </c>
      <c r="D21" s="101" t="s">
        <v>199</v>
      </c>
      <c r="E21" s="120" t="s">
        <v>66</v>
      </c>
      <c r="F21" s="119" t="s">
        <v>38</v>
      </c>
      <c r="G21" s="119" t="s">
        <v>16</v>
      </c>
      <c r="H21" s="141" t="b">
        <f t="shared" si="0"/>
        <v>0</v>
      </c>
      <c r="I21" s="120" t="s">
        <v>29</v>
      </c>
      <c r="J21" s="119" t="s">
        <v>26</v>
      </c>
      <c r="K21" s="119" t="s">
        <v>90</v>
      </c>
      <c r="L21" s="141" t="b">
        <f t="shared" si="1"/>
        <v>0</v>
      </c>
      <c r="M21" s="121" t="s">
        <v>193</v>
      </c>
      <c r="N21" s="119" t="s">
        <v>57</v>
      </c>
      <c r="O21" s="119" t="s">
        <v>31</v>
      </c>
      <c r="P21" s="141" t="b">
        <f t="shared" si="2"/>
        <v>0</v>
      </c>
      <c r="Q21" s="121" t="s">
        <v>198</v>
      </c>
      <c r="R21" s="119" t="s">
        <v>45</v>
      </c>
      <c r="S21" s="119" t="s">
        <v>90</v>
      </c>
      <c r="T21" s="141" t="b">
        <f t="shared" si="3"/>
        <v>0</v>
      </c>
    </row>
    <row r="22" spans="1:20" s="14" customFormat="1" ht="25.5" x14ac:dyDescent="0.25">
      <c r="A22" s="8">
        <v>46051</v>
      </c>
      <c r="B22" s="9" t="s">
        <v>29</v>
      </c>
      <c r="C22" s="9" t="s">
        <v>36</v>
      </c>
      <c r="D22" s="101" t="s">
        <v>34</v>
      </c>
      <c r="E22" s="11" t="s">
        <v>42</v>
      </c>
      <c r="F22" s="9" t="s">
        <v>57</v>
      </c>
      <c r="G22" s="9" t="s">
        <v>31</v>
      </c>
      <c r="H22" s="17" t="b">
        <f t="shared" si="0"/>
        <v>0</v>
      </c>
      <c r="I22" s="11" t="s">
        <v>101</v>
      </c>
      <c r="J22" s="9" t="s">
        <v>82</v>
      </c>
      <c r="K22" s="9" t="s">
        <v>168</v>
      </c>
      <c r="L22" s="17" t="b">
        <f t="shared" si="1"/>
        <v>0</v>
      </c>
      <c r="M22" s="121" t="s">
        <v>101</v>
      </c>
      <c r="N22" s="119" t="s">
        <v>82</v>
      </c>
      <c r="O22" s="119" t="s">
        <v>168</v>
      </c>
      <c r="P22" s="17" t="b">
        <f t="shared" si="2"/>
        <v>0</v>
      </c>
      <c r="Q22" s="13" t="s">
        <v>50</v>
      </c>
      <c r="R22" s="9" t="s">
        <v>12</v>
      </c>
      <c r="S22" s="9" t="s">
        <v>21</v>
      </c>
      <c r="T22" s="17" t="b">
        <f t="shared" si="3"/>
        <v>0</v>
      </c>
    </row>
    <row r="23" spans="1:20" s="14" customFormat="1" ht="26.25" thickBot="1" x14ac:dyDescent="0.3">
      <c r="A23" s="107">
        <v>46052</v>
      </c>
      <c r="B23" s="113" t="s">
        <v>73</v>
      </c>
      <c r="C23" s="113" t="s">
        <v>125</v>
      </c>
      <c r="D23" s="114" t="s">
        <v>31</v>
      </c>
      <c r="E23" s="133" t="s">
        <v>193</v>
      </c>
      <c r="F23" s="134" t="s">
        <v>38</v>
      </c>
      <c r="G23" s="134" t="s">
        <v>16</v>
      </c>
      <c r="H23" s="147" t="b">
        <f t="shared" si="0"/>
        <v>0</v>
      </c>
      <c r="I23" s="133" t="s">
        <v>42</v>
      </c>
      <c r="J23" s="134" t="s">
        <v>38</v>
      </c>
      <c r="K23" s="134" t="s">
        <v>31</v>
      </c>
      <c r="L23" s="147">
        <f t="shared" si="1"/>
        <v>0.5</v>
      </c>
      <c r="M23" s="135" t="s">
        <v>8</v>
      </c>
      <c r="N23" s="134" t="s">
        <v>57</v>
      </c>
      <c r="O23" s="134" t="s">
        <v>31</v>
      </c>
      <c r="P23" s="147">
        <f t="shared" si="2"/>
        <v>0.5</v>
      </c>
      <c r="Q23" s="135" t="s">
        <v>42</v>
      </c>
      <c r="R23" s="134" t="s">
        <v>38</v>
      </c>
      <c r="S23" s="134" t="s">
        <v>31</v>
      </c>
      <c r="T23" s="147">
        <f t="shared" si="3"/>
        <v>0.5</v>
      </c>
    </row>
    <row r="24" spans="1:20" s="14" customFormat="1" ht="26.25" thickTop="1" x14ac:dyDescent="0.25">
      <c r="A24" s="33">
        <v>46055</v>
      </c>
      <c r="B24" s="34" t="s">
        <v>42</v>
      </c>
      <c r="C24" s="34" t="s">
        <v>82</v>
      </c>
      <c r="D24" s="106" t="s">
        <v>21</v>
      </c>
      <c r="E24" s="122" t="s">
        <v>113</v>
      </c>
      <c r="F24" s="100" t="s">
        <v>130</v>
      </c>
      <c r="G24" s="100" t="s">
        <v>21</v>
      </c>
      <c r="H24" s="143">
        <f t="shared" si="0"/>
        <v>0.5</v>
      </c>
      <c r="I24" s="122" t="s">
        <v>17</v>
      </c>
      <c r="J24" s="100" t="s">
        <v>130</v>
      </c>
      <c r="K24" s="100" t="s">
        <v>21</v>
      </c>
      <c r="L24" s="143">
        <f t="shared" si="1"/>
        <v>0.5</v>
      </c>
      <c r="M24" s="123" t="s">
        <v>19</v>
      </c>
      <c r="N24" s="100" t="s">
        <v>130</v>
      </c>
      <c r="O24" s="100" t="s">
        <v>21</v>
      </c>
      <c r="P24" s="143">
        <f t="shared" si="2"/>
        <v>0.5</v>
      </c>
      <c r="Q24" s="123" t="s">
        <v>42</v>
      </c>
      <c r="R24" s="100" t="s">
        <v>12</v>
      </c>
      <c r="S24" s="100" t="s">
        <v>21</v>
      </c>
      <c r="T24" s="143">
        <f t="shared" si="3"/>
        <v>1.5</v>
      </c>
    </row>
    <row r="25" spans="1:20" s="14" customFormat="1" ht="38.25" x14ac:dyDescent="0.25">
      <c r="A25" s="8">
        <v>46056</v>
      </c>
      <c r="B25" s="9" t="s">
        <v>101</v>
      </c>
      <c r="C25" s="9" t="s">
        <v>117</v>
      </c>
      <c r="D25" s="101" t="s">
        <v>60</v>
      </c>
      <c r="E25" s="124" t="s">
        <v>14</v>
      </c>
      <c r="F25" s="125" t="s">
        <v>38</v>
      </c>
      <c r="G25" s="125" t="s">
        <v>31</v>
      </c>
      <c r="H25" s="144" t="b">
        <f t="shared" si="0"/>
        <v>0</v>
      </c>
      <c r="I25" s="124" t="s">
        <v>193</v>
      </c>
      <c r="J25" s="125" t="s">
        <v>26</v>
      </c>
      <c r="K25" s="125" t="s">
        <v>27</v>
      </c>
      <c r="L25" s="144" t="b">
        <f t="shared" si="1"/>
        <v>0</v>
      </c>
      <c r="M25" s="126" t="s">
        <v>101</v>
      </c>
      <c r="N25" s="125" t="s">
        <v>160</v>
      </c>
      <c r="O25" s="125" t="s">
        <v>168</v>
      </c>
      <c r="P25" s="144">
        <f t="shared" si="2"/>
        <v>1</v>
      </c>
      <c r="Q25" s="126" t="s">
        <v>14</v>
      </c>
      <c r="R25" s="125" t="s">
        <v>118</v>
      </c>
      <c r="S25" s="125" t="s">
        <v>168</v>
      </c>
      <c r="T25" s="17" t="b">
        <f t="shared" si="3"/>
        <v>0</v>
      </c>
    </row>
    <row r="26" spans="1:20" s="14" customFormat="1" ht="25.5" x14ac:dyDescent="0.25">
      <c r="A26" s="8">
        <v>46057</v>
      </c>
      <c r="B26" s="9" t="s">
        <v>230</v>
      </c>
      <c r="C26" s="9" t="s">
        <v>77</v>
      </c>
      <c r="D26" s="101" t="s">
        <v>52</v>
      </c>
      <c r="E26" s="120" t="s">
        <v>53</v>
      </c>
      <c r="F26" s="119" t="s">
        <v>151</v>
      </c>
      <c r="G26" s="119" t="s">
        <v>16</v>
      </c>
      <c r="H26" s="141" t="b">
        <f t="shared" si="0"/>
        <v>0</v>
      </c>
      <c r="I26" s="120" t="s">
        <v>62</v>
      </c>
      <c r="J26" s="119" t="s">
        <v>151</v>
      </c>
      <c r="K26" s="119" t="s">
        <v>16</v>
      </c>
      <c r="L26" s="141" t="b">
        <f t="shared" si="1"/>
        <v>0</v>
      </c>
      <c r="M26" s="121" t="s">
        <v>14</v>
      </c>
      <c r="N26" s="119" t="s">
        <v>77</v>
      </c>
      <c r="O26" s="119" t="s">
        <v>27</v>
      </c>
      <c r="P26" s="141">
        <f t="shared" si="2"/>
        <v>0.5</v>
      </c>
      <c r="Q26" s="121" t="s">
        <v>47</v>
      </c>
      <c r="R26" s="119" t="s">
        <v>38</v>
      </c>
      <c r="S26" s="119" t="s">
        <v>16</v>
      </c>
      <c r="T26" s="141" t="b">
        <f t="shared" si="3"/>
        <v>0</v>
      </c>
    </row>
    <row r="27" spans="1:20" s="14" customFormat="1" ht="25.5" x14ac:dyDescent="0.25">
      <c r="A27" s="8">
        <v>46058</v>
      </c>
      <c r="B27" s="9" t="s">
        <v>113</v>
      </c>
      <c r="C27" s="9" t="s">
        <v>70</v>
      </c>
      <c r="D27" s="101" t="s">
        <v>13</v>
      </c>
      <c r="E27" s="120" t="s">
        <v>73</v>
      </c>
      <c r="F27" s="119" t="s">
        <v>38</v>
      </c>
      <c r="G27" s="119" t="s">
        <v>31</v>
      </c>
      <c r="H27" s="141" t="b">
        <f t="shared" si="0"/>
        <v>0</v>
      </c>
      <c r="I27" s="120" t="s">
        <v>17</v>
      </c>
      <c r="J27" s="119" t="s">
        <v>10</v>
      </c>
      <c r="K27" s="119" t="s">
        <v>11</v>
      </c>
      <c r="L27" s="141" t="b">
        <f t="shared" si="1"/>
        <v>0</v>
      </c>
      <c r="M27" s="121" t="s">
        <v>19</v>
      </c>
      <c r="N27" s="119" t="s">
        <v>51</v>
      </c>
      <c r="O27" s="119" t="s">
        <v>90</v>
      </c>
      <c r="P27" s="141" t="b">
        <f t="shared" si="2"/>
        <v>0</v>
      </c>
      <c r="Q27" s="121" t="s">
        <v>193</v>
      </c>
      <c r="R27" s="119" t="s">
        <v>74</v>
      </c>
      <c r="S27" s="119" t="s">
        <v>13</v>
      </c>
      <c r="T27" s="141">
        <f t="shared" si="3"/>
        <v>0.5</v>
      </c>
    </row>
    <row r="28" spans="1:20" s="14" customFormat="1" ht="26.25" thickBot="1" x14ac:dyDescent="0.3">
      <c r="A28" s="39">
        <v>46059</v>
      </c>
      <c r="B28" s="53" t="s">
        <v>166</v>
      </c>
      <c r="C28" s="53" t="s">
        <v>68</v>
      </c>
      <c r="D28" s="102" t="s">
        <v>69</v>
      </c>
      <c r="E28" s="130" t="s">
        <v>193</v>
      </c>
      <c r="F28" s="128" t="s">
        <v>10</v>
      </c>
      <c r="G28" s="128" t="s">
        <v>21</v>
      </c>
      <c r="H28" s="145" t="b">
        <f t="shared" si="0"/>
        <v>0</v>
      </c>
      <c r="I28" s="130" t="s">
        <v>42</v>
      </c>
      <c r="J28" s="128" t="s">
        <v>38</v>
      </c>
      <c r="K28" s="128" t="s">
        <v>31</v>
      </c>
      <c r="L28" s="145" t="b">
        <f t="shared" si="1"/>
        <v>0</v>
      </c>
      <c r="M28" s="131" t="s">
        <v>87</v>
      </c>
      <c r="N28" s="128" t="s">
        <v>10</v>
      </c>
      <c r="O28" s="128" t="s">
        <v>11</v>
      </c>
      <c r="P28" s="145" t="b">
        <f t="shared" si="2"/>
        <v>0</v>
      </c>
      <c r="Q28" s="131" t="s">
        <v>126</v>
      </c>
      <c r="R28" s="128" t="s">
        <v>10</v>
      </c>
      <c r="S28" s="128" t="s">
        <v>21</v>
      </c>
      <c r="T28" s="145" t="b">
        <f t="shared" si="3"/>
        <v>0</v>
      </c>
    </row>
    <row r="29" spans="1:20" s="14" customFormat="1" ht="26.25" thickTop="1" x14ac:dyDescent="0.25">
      <c r="A29" s="8">
        <v>46062</v>
      </c>
      <c r="B29" s="9" t="s">
        <v>73</v>
      </c>
      <c r="C29" s="9" t="s">
        <v>38</v>
      </c>
      <c r="D29" s="101" t="s">
        <v>16</v>
      </c>
      <c r="E29" s="11" t="s">
        <v>22</v>
      </c>
      <c r="F29" s="9" t="s">
        <v>130</v>
      </c>
      <c r="G29" s="9" t="s">
        <v>21</v>
      </c>
      <c r="H29" s="10" t="b">
        <f t="shared" si="0"/>
        <v>0</v>
      </c>
      <c r="I29" s="11" t="s">
        <v>22</v>
      </c>
      <c r="J29" s="9" t="s">
        <v>130</v>
      </c>
      <c r="K29" s="9" t="s">
        <v>21</v>
      </c>
      <c r="L29" s="10" t="b">
        <f t="shared" si="1"/>
        <v>0</v>
      </c>
      <c r="M29" s="121" t="s">
        <v>19</v>
      </c>
      <c r="N29" s="119" t="s">
        <v>130</v>
      </c>
      <c r="O29" s="119" t="s">
        <v>21</v>
      </c>
      <c r="P29" s="10" t="b">
        <f t="shared" si="2"/>
        <v>0</v>
      </c>
      <c r="Q29" s="13" t="s">
        <v>28</v>
      </c>
      <c r="R29" s="9" t="s">
        <v>28</v>
      </c>
      <c r="S29" s="9" t="s">
        <v>28</v>
      </c>
      <c r="T29" s="10" t="b">
        <f t="shared" si="3"/>
        <v>0</v>
      </c>
    </row>
    <row r="30" spans="1:20" s="14" customFormat="1" ht="38.25" x14ac:dyDescent="0.25">
      <c r="A30" s="8">
        <v>46063</v>
      </c>
      <c r="B30" s="9" t="s">
        <v>149</v>
      </c>
      <c r="C30" s="9" t="s">
        <v>33</v>
      </c>
      <c r="D30" s="101" t="s">
        <v>21</v>
      </c>
      <c r="E30" s="120" t="s">
        <v>29</v>
      </c>
      <c r="F30" s="119" t="s">
        <v>82</v>
      </c>
      <c r="G30" s="119" t="s">
        <v>168</v>
      </c>
      <c r="H30" s="141" t="b">
        <f t="shared" si="0"/>
        <v>0</v>
      </c>
      <c r="I30" s="120" t="s">
        <v>14</v>
      </c>
      <c r="J30" s="119" t="s">
        <v>26</v>
      </c>
      <c r="K30" s="119" t="s">
        <v>27</v>
      </c>
      <c r="L30" s="141" t="b">
        <f t="shared" si="1"/>
        <v>0</v>
      </c>
      <c r="M30" s="121" t="s">
        <v>14</v>
      </c>
      <c r="N30" s="119" t="s">
        <v>160</v>
      </c>
      <c r="O30" s="119" t="s">
        <v>90</v>
      </c>
      <c r="P30" s="141" t="b">
        <f t="shared" si="2"/>
        <v>0</v>
      </c>
      <c r="Q30" s="121" t="s">
        <v>28</v>
      </c>
      <c r="R30" s="119" t="s">
        <v>28</v>
      </c>
      <c r="S30" s="119" t="s">
        <v>28</v>
      </c>
      <c r="T30" s="141" t="b">
        <f t="shared" si="3"/>
        <v>0</v>
      </c>
    </row>
    <row r="31" spans="1:20" s="14" customFormat="1" ht="25.5" x14ac:dyDescent="0.25">
      <c r="A31" s="8">
        <v>46064</v>
      </c>
      <c r="B31" s="9" t="s">
        <v>64</v>
      </c>
      <c r="C31" s="9" t="s">
        <v>74</v>
      </c>
      <c r="D31" s="101" t="s">
        <v>232</v>
      </c>
      <c r="E31" s="120" t="s">
        <v>14</v>
      </c>
      <c r="F31" s="119" t="s">
        <v>30</v>
      </c>
      <c r="G31" s="119" t="s">
        <v>31</v>
      </c>
      <c r="H31" s="141" t="b">
        <f t="shared" si="0"/>
        <v>0</v>
      </c>
      <c r="I31" s="120" t="s">
        <v>231</v>
      </c>
      <c r="J31" s="119" t="s">
        <v>30</v>
      </c>
      <c r="K31" s="119" t="s">
        <v>31</v>
      </c>
      <c r="L31" s="141" t="b">
        <f t="shared" si="1"/>
        <v>0</v>
      </c>
      <c r="M31" s="121" t="s">
        <v>35</v>
      </c>
      <c r="N31" s="119" t="s">
        <v>82</v>
      </c>
      <c r="O31" s="119" t="s">
        <v>168</v>
      </c>
      <c r="P31" s="141" t="b">
        <f t="shared" si="2"/>
        <v>0</v>
      </c>
      <c r="Q31" s="121" t="s">
        <v>28</v>
      </c>
      <c r="R31" s="119" t="s">
        <v>28</v>
      </c>
      <c r="S31" s="119" t="s">
        <v>28</v>
      </c>
      <c r="T31" s="141" t="b">
        <f t="shared" si="3"/>
        <v>0</v>
      </c>
    </row>
    <row r="32" spans="1:20" s="132" customFormat="1" ht="25.5" x14ac:dyDescent="0.25">
      <c r="A32" s="138">
        <v>46065</v>
      </c>
      <c r="B32" s="119" t="s">
        <v>22</v>
      </c>
      <c r="C32" s="119" t="s">
        <v>111</v>
      </c>
      <c r="D32" s="139" t="s">
        <v>168</v>
      </c>
      <c r="E32" s="120" t="s">
        <v>8</v>
      </c>
      <c r="F32" s="119" t="s">
        <v>82</v>
      </c>
      <c r="G32" s="119" t="s">
        <v>168</v>
      </c>
      <c r="H32" s="141">
        <f t="shared" si="0"/>
        <v>0.5</v>
      </c>
      <c r="I32" s="120" t="s">
        <v>14</v>
      </c>
      <c r="J32" s="119" t="s">
        <v>10</v>
      </c>
      <c r="K32" s="119" t="s">
        <v>11</v>
      </c>
      <c r="L32" s="141" t="b">
        <f t="shared" si="1"/>
        <v>0</v>
      </c>
      <c r="M32" s="121" t="s">
        <v>87</v>
      </c>
      <c r="N32" s="119" t="s">
        <v>77</v>
      </c>
      <c r="O32" s="119" t="s">
        <v>90</v>
      </c>
      <c r="P32" s="141" t="b">
        <f t="shared" si="2"/>
        <v>0</v>
      </c>
      <c r="Q32" s="121" t="s">
        <v>28</v>
      </c>
      <c r="R32" s="119" t="s">
        <v>28</v>
      </c>
      <c r="S32" s="119" t="s">
        <v>28</v>
      </c>
      <c r="T32" s="141" t="b">
        <f t="shared" si="3"/>
        <v>0</v>
      </c>
    </row>
    <row r="33" spans="1:20" s="14" customFormat="1" ht="26.25" thickBot="1" x14ac:dyDescent="0.3">
      <c r="A33" s="107">
        <v>46066</v>
      </c>
      <c r="B33" s="113" t="s">
        <v>105</v>
      </c>
      <c r="C33" s="113" t="s">
        <v>163</v>
      </c>
      <c r="D33" s="114" t="s">
        <v>31</v>
      </c>
      <c r="E33" s="115" t="s">
        <v>14</v>
      </c>
      <c r="F33" s="113" t="s">
        <v>77</v>
      </c>
      <c r="G33" s="113" t="s">
        <v>21</v>
      </c>
      <c r="H33" s="148" t="b">
        <f t="shared" si="0"/>
        <v>0</v>
      </c>
      <c r="I33" s="115" t="s">
        <v>42</v>
      </c>
      <c r="J33" s="113" t="s">
        <v>38</v>
      </c>
      <c r="K33" s="113" t="s">
        <v>31</v>
      </c>
      <c r="L33" s="148">
        <f t="shared" si="1"/>
        <v>0.5</v>
      </c>
      <c r="M33" s="116" t="s">
        <v>35</v>
      </c>
      <c r="N33" s="113" t="s">
        <v>57</v>
      </c>
      <c r="O33" s="113" t="s">
        <v>27</v>
      </c>
      <c r="P33" s="148" t="b">
        <f t="shared" si="2"/>
        <v>0</v>
      </c>
      <c r="Q33" s="116" t="s">
        <v>87</v>
      </c>
      <c r="R33" s="113" t="s">
        <v>10</v>
      </c>
      <c r="S33" s="113" t="s">
        <v>11</v>
      </c>
      <c r="T33" s="148" t="b">
        <f t="shared" si="3"/>
        <v>0</v>
      </c>
    </row>
    <row r="34" spans="1:20" s="14" customFormat="1" ht="26.25" thickTop="1" x14ac:dyDescent="0.25">
      <c r="A34" s="33">
        <v>46069</v>
      </c>
      <c r="B34" s="34" t="s">
        <v>19</v>
      </c>
      <c r="C34" s="34" t="s">
        <v>183</v>
      </c>
      <c r="D34" s="106" t="s">
        <v>27</v>
      </c>
      <c r="E34" s="122" t="s">
        <v>101</v>
      </c>
      <c r="F34" s="100" t="s">
        <v>130</v>
      </c>
      <c r="G34" s="100" t="s">
        <v>21</v>
      </c>
      <c r="H34" s="143" t="b">
        <f t="shared" si="0"/>
        <v>0</v>
      </c>
      <c r="I34" s="122" t="s">
        <v>47</v>
      </c>
      <c r="J34" s="100" t="s">
        <v>130</v>
      </c>
      <c r="K34" s="100" t="s">
        <v>21</v>
      </c>
      <c r="L34" s="143" t="b">
        <f t="shared" si="1"/>
        <v>0</v>
      </c>
      <c r="M34" s="123" t="s">
        <v>19</v>
      </c>
      <c r="N34" s="100" t="s">
        <v>130</v>
      </c>
      <c r="O34" s="100" t="s">
        <v>21</v>
      </c>
      <c r="P34" s="143">
        <f t="shared" si="2"/>
        <v>1</v>
      </c>
      <c r="Q34" s="123" t="s">
        <v>113</v>
      </c>
      <c r="R34" s="100" t="s">
        <v>151</v>
      </c>
      <c r="S34" s="100" t="s">
        <v>21</v>
      </c>
      <c r="T34" s="143" t="b">
        <f t="shared" si="3"/>
        <v>0</v>
      </c>
    </row>
    <row r="35" spans="1:20" s="132" customFormat="1" ht="38.25" x14ac:dyDescent="0.25">
      <c r="A35" s="138">
        <v>46070</v>
      </c>
      <c r="B35" s="119" t="s">
        <v>234</v>
      </c>
      <c r="C35" s="119" t="s">
        <v>130</v>
      </c>
      <c r="D35" s="139" t="s">
        <v>21</v>
      </c>
      <c r="E35" s="120" t="s">
        <v>8</v>
      </c>
      <c r="F35" s="119" t="s">
        <v>77</v>
      </c>
      <c r="G35" s="119" t="s">
        <v>52</v>
      </c>
      <c r="H35" s="141" t="b">
        <f t="shared" si="0"/>
        <v>0</v>
      </c>
      <c r="I35" s="120" t="s">
        <v>101</v>
      </c>
      <c r="J35" s="119" t="s">
        <v>10</v>
      </c>
      <c r="K35" s="119" t="s">
        <v>11</v>
      </c>
      <c r="L35" s="141" t="b">
        <f t="shared" si="1"/>
        <v>0</v>
      </c>
      <c r="M35" s="121" t="s">
        <v>87</v>
      </c>
      <c r="N35" s="119" t="s">
        <v>82</v>
      </c>
      <c r="O35" s="119" t="s">
        <v>168</v>
      </c>
      <c r="P35" s="141" t="b">
        <f t="shared" si="2"/>
        <v>0</v>
      </c>
      <c r="Q35" s="121" t="s">
        <v>101</v>
      </c>
      <c r="R35" s="119" t="s">
        <v>130</v>
      </c>
      <c r="S35" s="119" t="s">
        <v>31</v>
      </c>
      <c r="T35" s="141">
        <f t="shared" si="3"/>
        <v>0.5</v>
      </c>
    </row>
    <row r="36" spans="1:20" s="14" customFormat="1" ht="38.25" x14ac:dyDescent="0.25">
      <c r="A36" s="8">
        <v>46071</v>
      </c>
      <c r="B36" s="9" t="s">
        <v>50</v>
      </c>
      <c r="C36" s="9" t="s">
        <v>235</v>
      </c>
      <c r="D36" s="101" t="s">
        <v>16</v>
      </c>
      <c r="E36" s="11" t="s">
        <v>73</v>
      </c>
      <c r="F36" s="9" t="s">
        <v>233</v>
      </c>
      <c r="G36" s="9" t="s">
        <v>69</v>
      </c>
      <c r="H36" s="17" t="b">
        <f t="shared" si="0"/>
        <v>0</v>
      </c>
      <c r="I36" s="11" t="s">
        <v>47</v>
      </c>
      <c r="J36" s="9" t="s">
        <v>131</v>
      </c>
      <c r="K36" s="9" t="s">
        <v>34</v>
      </c>
      <c r="L36" s="17" t="b">
        <f t="shared" si="1"/>
        <v>0</v>
      </c>
      <c r="M36" s="13" t="s">
        <v>193</v>
      </c>
      <c r="N36" s="9" t="s">
        <v>233</v>
      </c>
      <c r="O36" s="9" t="s">
        <v>69</v>
      </c>
      <c r="P36" s="17" t="b">
        <f t="shared" si="2"/>
        <v>0</v>
      </c>
      <c r="Q36" s="13" t="s">
        <v>47</v>
      </c>
      <c r="R36" s="9" t="s">
        <v>235</v>
      </c>
      <c r="S36" s="9" t="s">
        <v>60</v>
      </c>
      <c r="T36" s="17">
        <f t="shared" si="3"/>
        <v>0.5</v>
      </c>
    </row>
    <row r="37" spans="1:20" s="132" customFormat="1" ht="25.5" x14ac:dyDescent="0.25">
      <c r="A37" s="138">
        <v>46072</v>
      </c>
      <c r="B37" s="119" t="s">
        <v>42</v>
      </c>
      <c r="C37" s="119" t="s">
        <v>82</v>
      </c>
      <c r="D37" s="139" t="s">
        <v>168</v>
      </c>
      <c r="E37" s="120" t="s">
        <v>8</v>
      </c>
      <c r="F37" s="119" t="s">
        <v>194</v>
      </c>
      <c r="G37" s="119" t="s">
        <v>11</v>
      </c>
      <c r="H37" s="141" t="b">
        <f t="shared" si="0"/>
        <v>0</v>
      </c>
      <c r="I37" s="120" t="s">
        <v>42</v>
      </c>
      <c r="J37" s="119" t="s">
        <v>10</v>
      </c>
      <c r="K37" s="119" t="s">
        <v>11</v>
      </c>
      <c r="L37" s="141">
        <f t="shared" si="1"/>
        <v>1</v>
      </c>
      <c r="M37" s="121" t="s">
        <v>8</v>
      </c>
      <c r="N37" s="119" t="s">
        <v>82</v>
      </c>
      <c r="O37" s="119" t="s">
        <v>168</v>
      </c>
      <c r="P37" s="141">
        <f t="shared" si="2"/>
        <v>1</v>
      </c>
      <c r="Q37" s="121" t="s">
        <v>101</v>
      </c>
      <c r="R37" s="119" t="s">
        <v>77</v>
      </c>
      <c r="S37" s="119" t="s">
        <v>34</v>
      </c>
      <c r="T37" s="141" t="b">
        <f t="shared" si="3"/>
        <v>0</v>
      </c>
    </row>
    <row r="38" spans="1:20" s="14" customFormat="1" ht="26.25" thickBot="1" x14ac:dyDescent="0.3">
      <c r="A38" s="39">
        <v>46073</v>
      </c>
      <c r="B38" s="53" t="s">
        <v>73</v>
      </c>
      <c r="C38" s="53" t="s">
        <v>237</v>
      </c>
      <c r="D38" s="102" t="s">
        <v>11</v>
      </c>
      <c r="E38" s="112" t="s">
        <v>53</v>
      </c>
      <c r="F38" s="128" t="s">
        <v>236</v>
      </c>
      <c r="G38" s="128" t="s">
        <v>69</v>
      </c>
      <c r="H38" s="145" t="b">
        <f t="shared" si="0"/>
        <v>0</v>
      </c>
      <c r="I38" s="130" t="s">
        <v>47</v>
      </c>
      <c r="J38" s="128" t="s">
        <v>131</v>
      </c>
      <c r="K38" s="128" t="s">
        <v>34</v>
      </c>
      <c r="L38" s="145" t="b">
        <f t="shared" si="1"/>
        <v>0</v>
      </c>
      <c r="M38" s="131" t="s">
        <v>193</v>
      </c>
      <c r="N38" s="128" t="s">
        <v>131</v>
      </c>
      <c r="O38" s="128" t="s">
        <v>34</v>
      </c>
      <c r="P38" s="145" t="b">
        <f t="shared" si="2"/>
        <v>0</v>
      </c>
      <c r="Q38" s="131" t="s">
        <v>64</v>
      </c>
      <c r="R38" s="128" t="s">
        <v>51</v>
      </c>
      <c r="S38" s="128" t="s">
        <v>13</v>
      </c>
      <c r="T38" s="142" t="b">
        <f t="shared" si="3"/>
        <v>0</v>
      </c>
    </row>
    <row r="39" spans="1:20" ht="39" thickTop="1" x14ac:dyDescent="0.25">
      <c r="A39" s="8">
        <v>46076</v>
      </c>
      <c r="B39" s="9" t="s">
        <v>47</v>
      </c>
      <c r="C39" s="9" t="s">
        <v>117</v>
      </c>
      <c r="D39" s="101" t="s">
        <v>21</v>
      </c>
      <c r="E39" s="35" t="s">
        <v>101</v>
      </c>
      <c r="F39" s="9" t="s">
        <v>51</v>
      </c>
      <c r="G39" s="9" t="s">
        <v>52</v>
      </c>
      <c r="H39" s="10" t="b">
        <f t="shared" si="0"/>
        <v>0</v>
      </c>
      <c r="I39" s="11" t="s">
        <v>113</v>
      </c>
      <c r="J39" s="9" t="s">
        <v>117</v>
      </c>
      <c r="K39" s="9" t="s">
        <v>21</v>
      </c>
      <c r="L39" s="10">
        <f t="shared" si="1"/>
        <v>1</v>
      </c>
      <c r="M39" s="13" t="s">
        <v>8</v>
      </c>
      <c r="N39" s="9" t="s">
        <v>160</v>
      </c>
      <c r="O39" s="9" t="s">
        <v>21</v>
      </c>
      <c r="P39" s="10">
        <f t="shared" si="2"/>
        <v>0.5</v>
      </c>
      <c r="Q39" s="13" t="s">
        <v>42</v>
      </c>
      <c r="R39" s="9" t="s">
        <v>57</v>
      </c>
      <c r="S39" s="9" t="s">
        <v>27</v>
      </c>
      <c r="T39" s="10" t="b">
        <f t="shared" si="3"/>
        <v>0</v>
      </c>
    </row>
    <row r="40" spans="1:20" ht="25.5" x14ac:dyDescent="0.25">
      <c r="A40" s="8">
        <v>46077</v>
      </c>
      <c r="B40" s="16" t="s">
        <v>14</v>
      </c>
      <c r="C40" s="16" t="s">
        <v>106</v>
      </c>
      <c r="D40" s="105" t="s">
        <v>52</v>
      </c>
      <c r="E40" s="118" t="s">
        <v>105</v>
      </c>
      <c r="F40" s="99" t="s">
        <v>77</v>
      </c>
      <c r="G40" s="99" t="s">
        <v>31</v>
      </c>
      <c r="H40" s="141" t="b">
        <f t="shared" si="0"/>
        <v>0</v>
      </c>
      <c r="I40" s="118" t="s">
        <v>35</v>
      </c>
      <c r="J40" s="99" t="s">
        <v>30</v>
      </c>
      <c r="K40" s="99" t="s">
        <v>31</v>
      </c>
      <c r="L40" s="141" t="b">
        <f t="shared" si="1"/>
        <v>0</v>
      </c>
      <c r="M40" s="149" t="s">
        <v>22</v>
      </c>
      <c r="N40" s="99" t="s">
        <v>82</v>
      </c>
      <c r="O40" s="99" t="s">
        <v>168</v>
      </c>
      <c r="P40" s="141" t="b">
        <f t="shared" si="2"/>
        <v>0</v>
      </c>
      <c r="Q40" s="149" t="s">
        <v>35</v>
      </c>
      <c r="R40" s="99" t="s">
        <v>82</v>
      </c>
      <c r="S40" s="99" t="s">
        <v>13</v>
      </c>
      <c r="T40" s="141" t="b">
        <f t="shared" si="3"/>
        <v>0</v>
      </c>
    </row>
    <row r="41" spans="1:20" ht="25.5" x14ac:dyDescent="0.25">
      <c r="A41" s="8">
        <v>46078</v>
      </c>
      <c r="B41" s="16" t="s">
        <v>101</v>
      </c>
      <c r="C41" s="16" t="s">
        <v>38</v>
      </c>
      <c r="D41" s="105" t="s">
        <v>16</v>
      </c>
      <c r="E41" s="18" t="s">
        <v>87</v>
      </c>
      <c r="F41" s="16" t="s">
        <v>82</v>
      </c>
      <c r="G41" s="16" t="s">
        <v>168</v>
      </c>
      <c r="H41" s="17" t="b">
        <f t="shared" si="0"/>
        <v>0</v>
      </c>
      <c r="I41" s="18" t="s">
        <v>28</v>
      </c>
      <c r="J41" s="16" t="s">
        <v>28</v>
      </c>
      <c r="K41" s="16" t="s">
        <v>28</v>
      </c>
      <c r="L41" s="17" t="b">
        <f t="shared" si="1"/>
        <v>0</v>
      </c>
      <c r="M41" s="19" t="s">
        <v>66</v>
      </c>
      <c r="N41" s="16" t="s">
        <v>77</v>
      </c>
      <c r="O41" s="16" t="s">
        <v>90</v>
      </c>
      <c r="P41" s="17" t="b">
        <f t="shared" si="2"/>
        <v>0</v>
      </c>
      <c r="Q41" s="19" t="s">
        <v>101</v>
      </c>
      <c r="R41" s="16" t="s">
        <v>57</v>
      </c>
      <c r="S41" s="16" t="s">
        <v>27</v>
      </c>
      <c r="T41" s="17">
        <f t="shared" si="3"/>
        <v>1</v>
      </c>
    </row>
    <row r="42" spans="1:20" ht="25.5" x14ac:dyDescent="0.25">
      <c r="A42" s="8">
        <v>46079</v>
      </c>
      <c r="B42" s="16" t="s">
        <v>32</v>
      </c>
      <c r="C42" s="16" t="s">
        <v>45</v>
      </c>
      <c r="D42" s="105" t="s">
        <v>90</v>
      </c>
      <c r="E42" s="118" t="s">
        <v>113</v>
      </c>
      <c r="F42" s="99" t="s">
        <v>77</v>
      </c>
      <c r="G42" s="99" t="s">
        <v>90</v>
      </c>
      <c r="H42" s="141">
        <f t="shared" si="0"/>
        <v>0.5</v>
      </c>
      <c r="I42" s="118" t="s">
        <v>28</v>
      </c>
      <c r="J42" s="99" t="s">
        <v>28</v>
      </c>
      <c r="K42" s="99" t="s">
        <v>28</v>
      </c>
      <c r="L42" s="141" t="b">
        <f t="shared" si="1"/>
        <v>0</v>
      </c>
      <c r="M42" s="149" t="s">
        <v>35</v>
      </c>
      <c r="N42" s="99" t="s">
        <v>82</v>
      </c>
      <c r="O42" s="99" t="s">
        <v>168</v>
      </c>
      <c r="P42" s="141" t="b">
        <f t="shared" si="2"/>
        <v>0</v>
      </c>
      <c r="Q42" s="149" t="s">
        <v>113</v>
      </c>
      <c r="R42" s="99" t="s">
        <v>77</v>
      </c>
      <c r="S42" s="99" t="s">
        <v>90</v>
      </c>
      <c r="T42" s="17">
        <f t="shared" si="3"/>
        <v>0.5</v>
      </c>
    </row>
    <row r="43" spans="1:20" ht="26.25" thickBot="1" x14ac:dyDescent="0.3">
      <c r="A43" s="107">
        <v>46080</v>
      </c>
      <c r="B43" s="69" t="s">
        <v>22</v>
      </c>
      <c r="C43" s="69" t="s">
        <v>238</v>
      </c>
      <c r="D43" s="108" t="s">
        <v>34</v>
      </c>
      <c r="E43" s="109" t="s">
        <v>84</v>
      </c>
      <c r="F43" s="69" t="s">
        <v>139</v>
      </c>
      <c r="G43" s="69" t="s">
        <v>69</v>
      </c>
      <c r="H43" s="148" t="b">
        <f t="shared" si="0"/>
        <v>0</v>
      </c>
      <c r="I43" s="109" t="s">
        <v>138</v>
      </c>
      <c r="J43" s="69" t="s">
        <v>233</v>
      </c>
      <c r="K43" s="69" t="s">
        <v>69</v>
      </c>
      <c r="L43" s="148" t="b">
        <f t="shared" si="1"/>
        <v>0</v>
      </c>
      <c r="M43" s="110" t="s">
        <v>135</v>
      </c>
      <c r="N43" s="69" t="s">
        <v>238</v>
      </c>
      <c r="O43" s="69" t="s">
        <v>34</v>
      </c>
      <c r="P43" s="148">
        <f t="shared" si="2"/>
        <v>1</v>
      </c>
      <c r="Q43" s="110" t="s">
        <v>126</v>
      </c>
      <c r="R43" s="69" t="s">
        <v>51</v>
      </c>
      <c r="S43" s="69" t="s">
        <v>13</v>
      </c>
      <c r="T43" s="148" t="b">
        <f t="shared" si="3"/>
        <v>0</v>
      </c>
    </row>
    <row r="44" spans="1:20" ht="26.25" thickTop="1" x14ac:dyDescent="0.25">
      <c r="A44" s="33">
        <v>46083</v>
      </c>
      <c r="B44" s="34" t="s">
        <v>113</v>
      </c>
      <c r="C44" s="34" t="s">
        <v>197</v>
      </c>
      <c r="D44" s="106" t="s">
        <v>13</v>
      </c>
      <c r="E44" s="35" t="s">
        <v>73</v>
      </c>
      <c r="F44" s="34" t="s">
        <v>119</v>
      </c>
      <c r="G44" s="34" t="s">
        <v>21</v>
      </c>
      <c r="H44" s="140" t="b">
        <f t="shared" si="0"/>
        <v>0</v>
      </c>
      <c r="I44" s="35" t="s">
        <v>19</v>
      </c>
      <c r="J44" s="34" t="s">
        <v>130</v>
      </c>
      <c r="K44" s="34" t="s">
        <v>21</v>
      </c>
      <c r="L44" s="140" t="b">
        <f t="shared" si="1"/>
        <v>0</v>
      </c>
      <c r="M44" s="37" t="s">
        <v>35</v>
      </c>
      <c r="N44" s="34" t="s">
        <v>130</v>
      </c>
      <c r="O44" s="34" t="s">
        <v>21</v>
      </c>
      <c r="P44" s="140" t="b">
        <f t="shared" si="2"/>
        <v>0</v>
      </c>
      <c r="Q44" s="37" t="s">
        <v>73</v>
      </c>
      <c r="R44" s="34" t="s">
        <v>119</v>
      </c>
      <c r="S44" s="34" t="s">
        <v>21</v>
      </c>
      <c r="T44" s="140" t="b">
        <f t="shared" si="3"/>
        <v>0</v>
      </c>
    </row>
    <row r="45" spans="1:20" ht="25.5" x14ac:dyDescent="0.25">
      <c r="A45" s="8">
        <v>46084</v>
      </c>
      <c r="B45" s="16" t="s">
        <v>241</v>
      </c>
      <c r="C45" s="16" t="s">
        <v>77</v>
      </c>
      <c r="D45" s="105" t="s">
        <v>239</v>
      </c>
      <c r="E45" s="18" t="s">
        <v>53</v>
      </c>
      <c r="F45" s="16" t="s">
        <v>30</v>
      </c>
      <c r="G45" s="16" t="s">
        <v>31</v>
      </c>
      <c r="H45" s="17" t="b">
        <f t="shared" si="0"/>
        <v>0</v>
      </c>
      <c r="I45" s="18" t="s">
        <v>28</v>
      </c>
      <c r="J45" s="16" t="s">
        <v>28</v>
      </c>
      <c r="K45" s="16" t="s">
        <v>28</v>
      </c>
      <c r="L45" s="17" t="b">
        <f t="shared" si="1"/>
        <v>0</v>
      </c>
      <c r="M45" s="149" t="s">
        <v>101</v>
      </c>
      <c r="N45" s="99" t="s">
        <v>82</v>
      </c>
      <c r="O45" s="99" t="s">
        <v>168</v>
      </c>
      <c r="P45" s="17" t="b">
        <f t="shared" si="2"/>
        <v>0</v>
      </c>
      <c r="Q45" s="19" t="s">
        <v>126</v>
      </c>
      <c r="R45" s="16" t="s">
        <v>130</v>
      </c>
      <c r="S45" s="16" t="s">
        <v>27</v>
      </c>
      <c r="T45" s="17" t="b">
        <f t="shared" si="3"/>
        <v>0</v>
      </c>
    </row>
    <row r="46" spans="1:20" ht="25.5" x14ac:dyDescent="0.25">
      <c r="A46" s="8">
        <v>46085</v>
      </c>
      <c r="B46" s="16" t="s">
        <v>240</v>
      </c>
      <c r="C46" s="16" t="s">
        <v>195</v>
      </c>
      <c r="D46" s="105" t="s">
        <v>21</v>
      </c>
      <c r="E46" s="18" t="s">
        <v>42</v>
      </c>
      <c r="F46" s="16" t="s">
        <v>38</v>
      </c>
      <c r="G46" s="16" t="s">
        <v>16</v>
      </c>
      <c r="H46" s="17" t="b">
        <f t="shared" si="0"/>
        <v>0</v>
      </c>
      <c r="I46" s="18" t="s">
        <v>28</v>
      </c>
      <c r="J46" s="16" t="s">
        <v>28</v>
      </c>
      <c r="K46" s="16" t="s">
        <v>28</v>
      </c>
      <c r="L46" s="17" t="b">
        <f t="shared" si="1"/>
        <v>0</v>
      </c>
      <c r="M46" s="149" t="s">
        <v>19</v>
      </c>
      <c r="N46" s="99" t="s">
        <v>130</v>
      </c>
      <c r="O46" s="99" t="s">
        <v>21</v>
      </c>
      <c r="P46" s="17">
        <f t="shared" si="2"/>
        <v>0.5</v>
      </c>
      <c r="Q46" s="19" t="s">
        <v>19</v>
      </c>
      <c r="R46" s="16" t="s">
        <v>38</v>
      </c>
      <c r="S46" s="16" t="s">
        <v>21</v>
      </c>
      <c r="T46" s="17">
        <f t="shared" si="3"/>
        <v>0.5</v>
      </c>
    </row>
    <row r="47" spans="1:20" ht="25.5" x14ac:dyDescent="0.25">
      <c r="A47" s="8">
        <v>46086</v>
      </c>
      <c r="B47" s="16" t="s">
        <v>8</v>
      </c>
      <c r="C47" s="16" t="s">
        <v>88</v>
      </c>
      <c r="D47" s="105" t="s">
        <v>168</v>
      </c>
      <c r="E47" s="18" t="s">
        <v>8</v>
      </c>
      <c r="F47" s="16" t="s">
        <v>125</v>
      </c>
      <c r="G47" s="16" t="s">
        <v>31</v>
      </c>
      <c r="H47" s="17">
        <f t="shared" si="0"/>
        <v>1</v>
      </c>
      <c r="I47" s="18" t="s">
        <v>193</v>
      </c>
      <c r="J47" s="16" t="s">
        <v>10</v>
      </c>
      <c r="K47" s="16" t="s">
        <v>11</v>
      </c>
      <c r="L47" s="17" t="b">
        <f t="shared" si="1"/>
        <v>0</v>
      </c>
      <c r="M47" s="19" t="s">
        <v>42</v>
      </c>
      <c r="N47" s="16" t="s">
        <v>82</v>
      </c>
      <c r="O47" s="16" t="s">
        <v>168</v>
      </c>
      <c r="P47" s="17">
        <f t="shared" si="2"/>
        <v>0.5</v>
      </c>
      <c r="Q47" s="19" t="s">
        <v>8</v>
      </c>
      <c r="R47" s="16" t="s">
        <v>125</v>
      </c>
      <c r="S47" s="16" t="s">
        <v>31</v>
      </c>
      <c r="T47" s="17">
        <f t="shared" si="3"/>
        <v>1</v>
      </c>
    </row>
    <row r="48" spans="1:20" ht="26.25" thickBot="1" x14ac:dyDescent="0.3">
      <c r="A48" s="39">
        <v>46087</v>
      </c>
      <c r="B48" s="55" t="s">
        <v>193</v>
      </c>
      <c r="C48" s="55" t="s">
        <v>143</v>
      </c>
      <c r="D48" s="111" t="s">
        <v>69</v>
      </c>
      <c r="E48" s="112" t="s">
        <v>84</v>
      </c>
      <c r="F48" s="55" t="s">
        <v>133</v>
      </c>
      <c r="G48" s="55" t="s">
        <v>69</v>
      </c>
      <c r="H48" s="142">
        <f t="shared" si="0"/>
        <v>0.5</v>
      </c>
      <c r="I48" s="150" t="s">
        <v>47</v>
      </c>
      <c r="J48" s="151" t="s">
        <v>38</v>
      </c>
      <c r="K48" s="151" t="s">
        <v>16</v>
      </c>
      <c r="L48" s="145" t="b">
        <f t="shared" si="1"/>
        <v>0</v>
      </c>
      <c r="M48" s="152" t="s">
        <v>105</v>
      </c>
      <c r="N48" s="151" t="s">
        <v>233</v>
      </c>
      <c r="O48" s="151" t="s">
        <v>69</v>
      </c>
      <c r="P48" s="145">
        <f t="shared" si="2"/>
        <v>0.5</v>
      </c>
      <c r="Q48" s="152" t="s">
        <v>105</v>
      </c>
      <c r="R48" s="151" t="s">
        <v>10</v>
      </c>
      <c r="S48" s="151" t="s">
        <v>69</v>
      </c>
      <c r="T48" s="145">
        <f t="shared" si="3"/>
        <v>0.5</v>
      </c>
    </row>
    <row r="49" spans="1:23" ht="48.75" thickTop="1" x14ac:dyDescent="0.25">
      <c r="A49" s="8">
        <v>46090</v>
      </c>
      <c r="B49" s="153" t="s">
        <v>115</v>
      </c>
      <c r="C49" s="9" t="s">
        <v>12</v>
      </c>
      <c r="D49" s="101" t="s">
        <v>21</v>
      </c>
      <c r="E49" s="11" t="s">
        <v>101</v>
      </c>
      <c r="F49" s="9" t="s">
        <v>51</v>
      </c>
      <c r="G49" s="9" t="s">
        <v>21</v>
      </c>
      <c r="H49" s="10">
        <f t="shared" si="0"/>
        <v>0.5</v>
      </c>
      <c r="I49" s="11" t="s">
        <v>19</v>
      </c>
      <c r="J49" s="9" t="s">
        <v>130</v>
      </c>
      <c r="K49" s="9" t="s">
        <v>21</v>
      </c>
      <c r="L49" s="10">
        <f t="shared" si="1"/>
        <v>0.5</v>
      </c>
      <c r="M49" s="35" t="s">
        <v>19</v>
      </c>
      <c r="N49" s="34" t="s">
        <v>130</v>
      </c>
      <c r="O49" s="100" t="s">
        <v>21</v>
      </c>
      <c r="P49" s="140">
        <f t="shared" si="2"/>
        <v>0.5</v>
      </c>
      <c r="Q49" s="13" t="str">
        <f>E49</f>
        <v>Nudel mit Käsesoße</v>
      </c>
      <c r="R49" s="9" t="str">
        <f>F49</f>
        <v>Schweinsfilet</v>
      </c>
      <c r="S49" s="9" t="str">
        <f>G49</f>
        <v>Reis</v>
      </c>
      <c r="T49" s="10">
        <f t="shared" si="3"/>
        <v>0.5</v>
      </c>
    </row>
    <row r="50" spans="1:23" ht="25.5" x14ac:dyDescent="0.25">
      <c r="A50" s="8">
        <v>46091</v>
      </c>
      <c r="B50" s="16" t="s">
        <v>42</v>
      </c>
      <c r="C50" s="16" t="s">
        <v>30</v>
      </c>
      <c r="D50" s="105" t="s">
        <v>31</v>
      </c>
      <c r="E50" s="118" t="s">
        <v>105</v>
      </c>
      <c r="F50" s="99" t="s">
        <v>30</v>
      </c>
      <c r="G50" s="99" t="s">
        <v>31</v>
      </c>
      <c r="H50" s="141">
        <f t="shared" si="0"/>
        <v>1</v>
      </c>
      <c r="I50" s="118" t="s">
        <v>17</v>
      </c>
      <c r="J50" s="99" t="s">
        <v>38</v>
      </c>
      <c r="K50" s="99" t="s">
        <v>31</v>
      </c>
      <c r="L50" s="141">
        <f t="shared" si="1"/>
        <v>0.5</v>
      </c>
      <c r="M50" s="118" t="s">
        <v>35</v>
      </c>
      <c r="N50" s="99" t="s">
        <v>82</v>
      </c>
      <c r="O50" s="99" t="s">
        <v>168</v>
      </c>
      <c r="P50" s="141" t="b">
        <f t="shared" si="2"/>
        <v>0</v>
      </c>
      <c r="Q50" s="149" t="s">
        <v>87</v>
      </c>
      <c r="R50" s="99" t="s">
        <v>77</v>
      </c>
      <c r="S50" s="99" t="s">
        <v>52</v>
      </c>
      <c r="T50" s="17" t="b">
        <f t="shared" si="3"/>
        <v>0</v>
      </c>
      <c r="V50" s="14" t="s">
        <v>44</v>
      </c>
      <c r="W50" s="14">
        <v>3</v>
      </c>
    </row>
    <row r="51" spans="1:23" ht="30" x14ac:dyDescent="0.25">
      <c r="A51" s="8">
        <v>46092</v>
      </c>
      <c r="B51" s="16" t="s">
        <v>29</v>
      </c>
      <c r="C51" s="16" t="s">
        <v>38</v>
      </c>
      <c r="D51" s="105" t="s">
        <v>16</v>
      </c>
      <c r="E51" s="18" t="s">
        <v>53</v>
      </c>
      <c r="F51" s="16" t="s">
        <v>51</v>
      </c>
      <c r="G51" s="16" t="s">
        <v>52</v>
      </c>
      <c r="H51" s="17" t="b">
        <f t="shared" si="0"/>
        <v>0</v>
      </c>
      <c r="I51" s="18" t="s">
        <v>66</v>
      </c>
      <c r="J51" s="16" t="s">
        <v>10</v>
      </c>
      <c r="K51" s="16" t="s">
        <v>11</v>
      </c>
      <c r="L51" s="17" t="b">
        <f t="shared" si="1"/>
        <v>0</v>
      </c>
      <c r="M51" s="18" t="s">
        <v>101</v>
      </c>
      <c r="N51" s="16" t="s">
        <v>130</v>
      </c>
      <c r="O51" s="99" t="s">
        <v>90</v>
      </c>
      <c r="P51" s="17" t="b">
        <f t="shared" si="2"/>
        <v>0</v>
      </c>
      <c r="Q51" s="19" t="str">
        <f t="shared" ref="Q51:S52" si="4">M51</f>
        <v>Nudel mit Käsesoße</v>
      </c>
      <c r="R51" s="16" t="str">
        <f t="shared" si="4"/>
        <v>Champignonschnitzel</v>
      </c>
      <c r="S51" s="16" t="str">
        <f t="shared" si="4"/>
        <v>Kartoffelgratin</v>
      </c>
      <c r="T51" s="17" t="b">
        <f t="shared" si="3"/>
        <v>0</v>
      </c>
      <c r="V51" s="14" t="s">
        <v>46</v>
      </c>
      <c r="W51" s="14">
        <v>1</v>
      </c>
    </row>
    <row r="52" spans="1:23" ht="25.5" x14ac:dyDescent="0.25">
      <c r="A52" s="8">
        <v>46093</v>
      </c>
      <c r="B52" s="16" t="s">
        <v>87</v>
      </c>
      <c r="C52" s="16" t="s">
        <v>45</v>
      </c>
      <c r="D52" s="105" t="s">
        <v>13</v>
      </c>
      <c r="E52" s="118" t="s">
        <v>14</v>
      </c>
      <c r="F52" s="99" t="s">
        <v>118</v>
      </c>
      <c r="G52" s="99" t="s">
        <v>168</v>
      </c>
      <c r="H52" s="141" t="b">
        <f t="shared" si="0"/>
        <v>0</v>
      </c>
      <c r="I52" s="118" t="s">
        <v>105</v>
      </c>
      <c r="J52" s="99" t="s">
        <v>130</v>
      </c>
      <c r="K52" s="99" t="s">
        <v>21</v>
      </c>
      <c r="L52" s="141" t="b">
        <f t="shared" si="1"/>
        <v>0</v>
      </c>
      <c r="M52" s="118" t="s">
        <v>22</v>
      </c>
      <c r="N52" s="99" t="s">
        <v>82</v>
      </c>
      <c r="O52" s="99" t="s">
        <v>168</v>
      </c>
      <c r="P52" s="141" t="b">
        <f t="shared" si="2"/>
        <v>0</v>
      </c>
      <c r="Q52" s="149" t="str">
        <f t="shared" si="4"/>
        <v>Arrabbiata</v>
      </c>
      <c r="R52" s="99" t="str">
        <f t="shared" si="4"/>
        <v>Truthahngeschnetzeltes</v>
      </c>
      <c r="S52" s="99" t="str">
        <f t="shared" si="4"/>
        <v>Püree</v>
      </c>
      <c r="T52" s="141" t="b">
        <f t="shared" si="3"/>
        <v>0</v>
      </c>
      <c r="V52" s="14" t="s">
        <v>49</v>
      </c>
      <c r="W52" s="14">
        <v>0.5</v>
      </c>
    </row>
    <row r="53" spans="1:23" ht="26.25" thickBot="1" x14ac:dyDescent="0.3">
      <c r="A53" s="107">
        <v>46094</v>
      </c>
      <c r="B53" s="69" t="s">
        <v>141</v>
      </c>
      <c r="C53" s="69" t="s">
        <v>244</v>
      </c>
      <c r="D53" s="108" t="s">
        <v>168</v>
      </c>
      <c r="E53" s="109" t="s">
        <v>101</v>
      </c>
      <c r="F53" s="69" t="s">
        <v>139</v>
      </c>
      <c r="G53" s="69" t="s">
        <v>52</v>
      </c>
      <c r="H53" s="148" t="b">
        <f t="shared" si="0"/>
        <v>0</v>
      </c>
      <c r="I53" s="154" t="s">
        <v>73</v>
      </c>
      <c r="J53" s="155" t="s">
        <v>237</v>
      </c>
      <c r="K53" s="155" t="s">
        <v>11</v>
      </c>
      <c r="L53" s="147" t="b">
        <f t="shared" si="1"/>
        <v>0</v>
      </c>
      <c r="M53" s="150" t="s">
        <v>193</v>
      </c>
      <c r="N53" s="151" t="s">
        <v>131</v>
      </c>
      <c r="O53" s="151" t="s">
        <v>34</v>
      </c>
      <c r="P53" s="145" t="b">
        <f t="shared" si="2"/>
        <v>0</v>
      </c>
      <c r="Q53" s="156" t="str">
        <f t="shared" ref="Q53:S54" si="5">M53</f>
        <v>Aglio Olio</v>
      </c>
      <c r="R53" s="155" t="str">
        <f t="shared" si="5"/>
        <v>Scombri</v>
      </c>
      <c r="S53" s="155" t="str">
        <f t="shared" si="5"/>
        <v>Plent</v>
      </c>
      <c r="T53" s="147" t="b">
        <f t="shared" si="3"/>
        <v>0</v>
      </c>
      <c r="V53" s="14" t="s">
        <v>55</v>
      </c>
      <c r="W53" s="14">
        <v>0</v>
      </c>
    </row>
    <row r="54" spans="1:23" ht="26.25" thickTop="1" x14ac:dyDescent="0.25">
      <c r="A54" s="33">
        <v>46097</v>
      </c>
      <c r="B54" s="34" t="s">
        <v>19</v>
      </c>
      <c r="C54" s="34" t="s">
        <v>130</v>
      </c>
      <c r="D54" s="106" t="s">
        <v>21</v>
      </c>
      <c r="E54" s="35" t="s">
        <v>22</v>
      </c>
      <c r="F54" s="34" t="s">
        <v>82</v>
      </c>
      <c r="G54" s="34" t="s">
        <v>168</v>
      </c>
      <c r="H54" s="140" t="b">
        <f t="shared" si="0"/>
        <v>0</v>
      </c>
      <c r="I54" s="35" t="s">
        <v>19</v>
      </c>
      <c r="J54" s="34" t="s">
        <v>130</v>
      </c>
      <c r="K54" s="34" t="s">
        <v>21</v>
      </c>
      <c r="L54" s="140">
        <f t="shared" si="1"/>
        <v>3</v>
      </c>
      <c r="M54" s="122" t="s">
        <v>19</v>
      </c>
      <c r="N54" s="100" t="s">
        <v>130</v>
      </c>
      <c r="O54" s="100" t="s">
        <v>21</v>
      </c>
      <c r="P54" s="140">
        <f t="shared" si="2"/>
        <v>3</v>
      </c>
      <c r="Q54" s="123" t="str">
        <f t="shared" si="5"/>
        <v>Amatriciana</v>
      </c>
      <c r="R54" s="100" t="str">
        <f t="shared" si="5"/>
        <v>Champignonschnitzel</v>
      </c>
      <c r="S54" s="100" t="str">
        <f t="shared" si="5"/>
        <v>Reis</v>
      </c>
      <c r="T54" s="140">
        <f t="shared" si="3"/>
        <v>3</v>
      </c>
    </row>
    <row r="55" spans="1:23" ht="25.5" x14ac:dyDescent="0.25">
      <c r="A55" s="8">
        <v>46098</v>
      </c>
      <c r="B55" s="16" t="s">
        <v>105</v>
      </c>
      <c r="C55" s="16" t="s">
        <v>125</v>
      </c>
      <c r="D55" s="105" t="s">
        <v>31</v>
      </c>
      <c r="E55" s="118" t="s">
        <v>105</v>
      </c>
      <c r="F55" s="155" t="s">
        <v>51</v>
      </c>
      <c r="G55" s="99" t="s">
        <v>52</v>
      </c>
      <c r="H55" s="141">
        <f t="shared" si="0"/>
        <v>1</v>
      </c>
      <c r="I55" s="118" t="s">
        <v>105</v>
      </c>
      <c r="J55" s="99" t="s">
        <v>25</v>
      </c>
      <c r="K55" s="99" t="s">
        <v>33</v>
      </c>
      <c r="L55" s="141">
        <f t="shared" si="1"/>
        <v>1</v>
      </c>
      <c r="M55" s="118" t="s">
        <v>14</v>
      </c>
      <c r="N55" s="99" t="s">
        <v>82</v>
      </c>
      <c r="O55" s="99" t="s">
        <v>168</v>
      </c>
      <c r="P55" s="141" t="b">
        <f t="shared" si="2"/>
        <v>0</v>
      </c>
      <c r="Q55" s="149" t="str">
        <f t="shared" ref="Q55:S56" si="6">I55</f>
        <v>Tortellini mit Schinken-Rahm</v>
      </c>
      <c r="R55" s="99" t="str">
        <f t="shared" si="6"/>
        <v>Knödel</v>
      </c>
      <c r="S55" s="99" t="str">
        <f t="shared" si="6"/>
        <v>Gulasch</v>
      </c>
      <c r="T55" s="141">
        <f t="shared" si="3"/>
        <v>1</v>
      </c>
    </row>
    <row r="56" spans="1:23" ht="25.5" x14ac:dyDescent="0.25">
      <c r="A56" s="8">
        <v>46099</v>
      </c>
      <c r="B56" s="16" t="s">
        <v>64</v>
      </c>
      <c r="C56" s="16" t="s">
        <v>246</v>
      </c>
      <c r="D56" s="105" t="s">
        <v>245</v>
      </c>
      <c r="E56" s="157" t="s">
        <v>42</v>
      </c>
      <c r="F56" s="99" t="s">
        <v>82</v>
      </c>
      <c r="G56" s="149" t="s">
        <v>90</v>
      </c>
      <c r="H56" s="141" t="b">
        <f t="shared" si="0"/>
        <v>0</v>
      </c>
      <c r="I56" s="118" t="s">
        <v>138</v>
      </c>
      <c r="J56" s="99" t="s">
        <v>70</v>
      </c>
      <c r="K56" s="99" t="s">
        <v>13</v>
      </c>
      <c r="L56" s="141" t="b">
        <f t="shared" si="1"/>
        <v>0</v>
      </c>
      <c r="M56" s="118" t="s">
        <v>28</v>
      </c>
      <c r="N56" s="99" t="s">
        <v>28</v>
      </c>
      <c r="O56" s="99" t="s">
        <v>28</v>
      </c>
      <c r="P56" s="141" t="b">
        <f t="shared" si="2"/>
        <v>0</v>
      </c>
      <c r="Q56" s="149" t="str">
        <f t="shared" si="6"/>
        <v>Gnocchi mit Tomatensoße</v>
      </c>
      <c r="R56" s="99" t="str">
        <f t="shared" si="6"/>
        <v>Ossobuchi</v>
      </c>
      <c r="S56" s="99" t="str">
        <f t="shared" si="6"/>
        <v>Spatzlen</v>
      </c>
      <c r="T56" s="17" t="b">
        <f t="shared" si="3"/>
        <v>0</v>
      </c>
    </row>
    <row r="57" spans="1:23" ht="25.5" x14ac:dyDescent="0.25">
      <c r="A57" s="8">
        <v>46100</v>
      </c>
      <c r="B57" s="16" t="s">
        <v>47</v>
      </c>
      <c r="C57" s="16" t="s">
        <v>12</v>
      </c>
      <c r="D57" s="105" t="s">
        <v>90</v>
      </c>
      <c r="E57" s="118" t="s">
        <v>8</v>
      </c>
      <c r="F57" s="119" t="s">
        <v>118</v>
      </c>
      <c r="G57" s="99" t="s">
        <v>168</v>
      </c>
      <c r="H57" s="17" t="b">
        <f t="shared" si="0"/>
        <v>0</v>
      </c>
      <c r="I57" s="18" t="s">
        <v>14</v>
      </c>
      <c r="J57" s="16" t="s">
        <v>82</v>
      </c>
      <c r="K57" s="16" t="s">
        <v>168</v>
      </c>
      <c r="L57" s="17" t="b">
        <f t="shared" si="1"/>
        <v>0</v>
      </c>
      <c r="M57" s="18" t="s">
        <v>8</v>
      </c>
      <c r="N57" s="16" t="s">
        <v>82</v>
      </c>
      <c r="O57" s="99" t="s">
        <v>168</v>
      </c>
      <c r="P57" s="17" t="b">
        <f t="shared" si="2"/>
        <v>0</v>
      </c>
      <c r="Q57" s="19" t="s">
        <v>28</v>
      </c>
      <c r="R57" s="16" t="s">
        <v>28</v>
      </c>
      <c r="S57" s="16" t="s">
        <v>28</v>
      </c>
      <c r="T57" s="17" t="b">
        <f t="shared" si="3"/>
        <v>0</v>
      </c>
    </row>
    <row r="58" spans="1:23" ht="26.25" thickBot="1" x14ac:dyDescent="0.3">
      <c r="A58" s="39">
        <v>46101</v>
      </c>
      <c r="B58" s="55" t="s">
        <v>250</v>
      </c>
      <c r="C58" s="55" t="s">
        <v>250</v>
      </c>
      <c r="D58" s="111" t="s">
        <v>250</v>
      </c>
      <c r="E58" s="112" t="s">
        <v>84</v>
      </c>
      <c r="F58" s="55" t="s">
        <v>237</v>
      </c>
      <c r="G58" s="55" t="s">
        <v>11</v>
      </c>
      <c r="H58" s="142" t="b">
        <f t="shared" si="0"/>
        <v>0</v>
      </c>
      <c r="I58" s="112" t="s">
        <v>47</v>
      </c>
      <c r="J58" s="55" t="s">
        <v>38</v>
      </c>
      <c r="K58" s="55" t="s">
        <v>31</v>
      </c>
      <c r="L58" s="142" t="b">
        <f t="shared" si="1"/>
        <v>0</v>
      </c>
      <c r="M58" s="112" t="s">
        <v>14</v>
      </c>
      <c r="N58" s="55" t="s">
        <v>131</v>
      </c>
      <c r="O58" s="151" t="s">
        <v>34</v>
      </c>
      <c r="P58" s="142" t="b">
        <f t="shared" si="2"/>
        <v>0</v>
      </c>
      <c r="Q58" s="44" t="s">
        <v>28</v>
      </c>
      <c r="R58" s="55" t="s">
        <v>28</v>
      </c>
      <c r="S58" s="55" t="s">
        <v>28</v>
      </c>
      <c r="T58" s="142" t="b">
        <f t="shared" si="3"/>
        <v>0</v>
      </c>
    </row>
    <row r="59" spans="1:23" ht="30.75" customHeight="1" thickTop="1" x14ac:dyDescent="0.25">
      <c r="A59" s="8">
        <v>46104</v>
      </c>
      <c r="B59" s="9" t="s">
        <v>101</v>
      </c>
      <c r="C59" s="9" t="s">
        <v>74</v>
      </c>
      <c r="D59" s="101" t="s">
        <v>21</v>
      </c>
      <c r="E59" s="120" t="s">
        <v>22</v>
      </c>
      <c r="F59" s="119" t="s">
        <v>33</v>
      </c>
      <c r="G59" s="119" t="s">
        <v>21</v>
      </c>
      <c r="H59" s="146">
        <f t="shared" si="0"/>
        <v>0.5</v>
      </c>
      <c r="I59" s="122" t="s">
        <v>101</v>
      </c>
      <c r="J59" s="100" t="s">
        <v>117</v>
      </c>
      <c r="K59" s="100" t="s">
        <v>21</v>
      </c>
      <c r="L59" s="143">
        <f t="shared" si="1"/>
        <v>1.5</v>
      </c>
      <c r="M59" s="122" t="s">
        <v>47</v>
      </c>
      <c r="N59" s="100" t="s">
        <v>82</v>
      </c>
      <c r="O59" s="100" t="s">
        <v>21</v>
      </c>
      <c r="P59" s="143">
        <f t="shared" si="2"/>
        <v>0.5</v>
      </c>
      <c r="Q59" s="121" t="s">
        <v>101</v>
      </c>
      <c r="R59" s="119" t="s">
        <v>51</v>
      </c>
      <c r="S59" s="119" t="s">
        <v>21</v>
      </c>
      <c r="T59" s="146">
        <f t="shared" si="3"/>
        <v>1.5</v>
      </c>
    </row>
    <row r="60" spans="1:23" ht="25.5" x14ac:dyDescent="0.25">
      <c r="A60" s="8">
        <v>46105</v>
      </c>
      <c r="B60" s="16" t="s">
        <v>8</v>
      </c>
      <c r="C60" s="16" t="s">
        <v>82</v>
      </c>
      <c r="D60" s="105" t="s">
        <v>168</v>
      </c>
      <c r="E60" s="18" t="s">
        <v>28</v>
      </c>
      <c r="F60" s="16" t="s">
        <v>28</v>
      </c>
      <c r="G60" s="16" t="s">
        <v>28</v>
      </c>
      <c r="H60" s="17" t="b">
        <f t="shared" si="0"/>
        <v>0</v>
      </c>
      <c r="I60" s="18" t="s">
        <v>14</v>
      </c>
      <c r="J60" s="16" t="s">
        <v>77</v>
      </c>
      <c r="K60" s="119" t="s">
        <v>168</v>
      </c>
      <c r="L60" s="17">
        <f t="shared" si="1"/>
        <v>0.5</v>
      </c>
      <c r="M60" s="18" t="s">
        <v>35</v>
      </c>
      <c r="N60" s="16" t="s">
        <v>57</v>
      </c>
      <c r="O60" s="99" t="s">
        <v>90</v>
      </c>
      <c r="P60" s="17" t="b">
        <f t="shared" si="2"/>
        <v>0</v>
      </c>
      <c r="Q60" s="19" t="str">
        <f>M60</f>
        <v>Carbonara</v>
      </c>
      <c r="R60" s="16" t="str">
        <f>N60</f>
        <v>Truthahnschnitzel</v>
      </c>
      <c r="S60" s="16" t="str">
        <f>O60</f>
        <v>Kartoffelgratin</v>
      </c>
      <c r="T60" s="17" t="b">
        <f t="shared" si="3"/>
        <v>0</v>
      </c>
    </row>
    <row r="61" spans="1:23" x14ac:dyDescent="0.25">
      <c r="A61" s="8">
        <v>46106</v>
      </c>
      <c r="B61" s="16" t="s">
        <v>42</v>
      </c>
      <c r="C61" s="16" t="s">
        <v>77</v>
      </c>
      <c r="D61" s="105" t="s">
        <v>52</v>
      </c>
      <c r="E61" s="118" t="s">
        <v>14</v>
      </c>
      <c r="F61" s="99" t="s">
        <v>38</v>
      </c>
      <c r="G61" s="99" t="s">
        <v>31</v>
      </c>
      <c r="H61" s="141" t="b">
        <f t="shared" si="0"/>
        <v>0</v>
      </c>
      <c r="I61" s="118" t="s">
        <v>35</v>
      </c>
      <c r="J61" s="99" t="s">
        <v>163</v>
      </c>
      <c r="K61" s="99" t="s">
        <v>27</v>
      </c>
      <c r="L61" s="141" t="b">
        <f t="shared" si="1"/>
        <v>0</v>
      </c>
      <c r="M61" s="118" t="s">
        <v>29</v>
      </c>
      <c r="N61" s="99" t="s">
        <v>38</v>
      </c>
      <c r="O61" s="99" t="s">
        <v>16</v>
      </c>
      <c r="P61" s="141" t="b">
        <f t="shared" si="2"/>
        <v>0</v>
      </c>
      <c r="Q61" s="149" t="s">
        <v>14</v>
      </c>
      <c r="R61" s="99" t="s">
        <v>119</v>
      </c>
      <c r="S61" s="99" t="s">
        <v>16</v>
      </c>
      <c r="T61" s="141" t="b">
        <f t="shared" si="3"/>
        <v>0</v>
      </c>
    </row>
    <row r="62" spans="1:23" ht="25.5" x14ac:dyDescent="0.25">
      <c r="A62" s="8">
        <v>46107</v>
      </c>
      <c r="B62" s="16" t="s">
        <v>193</v>
      </c>
      <c r="C62" s="16" t="s">
        <v>151</v>
      </c>
      <c r="D62" s="105" t="s">
        <v>16</v>
      </c>
      <c r="E62" s="118" t="s">
        <v>53</v>
      </c>
      <c r="F62" s="99" t="s">
        <v>151</v>
      </c>
      <c r="G62" s="99" t="s">
        <v>16</v>
      </c>
      <c r="H62" s="141">
        <f t="shared" si="0"/>
        <v>1</v>
      </c>
      <c r="I62" s="118" t="s">
        <v>14</v>
      </c>
      <c r="J62" s="99" t="s">
        <v>38</v>
      </c>
      <c r="K62" s="99" t="s">
        <v>16</v>
      </c>
      <c r="L62" s="141">
        <f t="shared" si="1"/>
        <v>0.5</v>
      </c>
      <c r="M62" s="118" t="s">
        <v>19</v>
      </c>
      <c r="N62" s="99" t="s">
        <v>119</v>
      </c>
      <c r="O62" s="99" t="s">
        <v>21</v>
      </c>
      <c r="P62" s="141" t="b">
        <f t="shared" si="2"/>
        <v>0</v>
      </c>
      <c r="Q62" s="149" t="str">
        <f>E62</f>
        <v>Ravioli mit Parmesan-Butter</v>
      </c>
      <c r="R62" s="99" t="s">
        <v>38</v>
      </c>
      <c r="S62" s="99" t="s">
        <v>31</v>
      </c>
      <c r="T62" s="141" t="b">
        <f t="shared" si="3"/>
        <v>0</v>
      </c>
      <c r="U62" s="159"/>
    </row>
    <row r="63" spans="1:23" ht="26.25" thickBot="1" x14ac:dyDescent="0.3">
      <c r="A63" s="107">
        <v>46108</v>
      </c>
      <c r="B63" s="69" t="s">
        <v>251</v>
      </c>
      <c r="C63" s="69" t="s">
        <v>36</v>
      </c>
      <c r="D63" s="108" t="s">
        <v>34</v>
      </c>
      <c r="E63" s="154" t="s">
        <v>84</v>
      </c>
      <c r="F63" s="155" t="s">
        <v>237</v>
      </c>
      <c r="G63" s="155" t="s">
        <v>11</v>
      </c>
      <c r="H63" s="147" t="b">
        <f t="shared" si="0"/>
        <v>0</v>
      </c>
      <c r="I63" s="150" t="s">
        <v>73</v>
      </c>
      <c r="J63" s="151" t="s">
        <v>143</v>
      </c>
      <c r="K63" s="151" t="s">
        <v>69</v>
      </c>
      <c r="L63" s="145" t="b">
        <f t="shared" si="1"/>
        <v>0</v>
      </c>
      <c r="M63" s="150" t="s">
        <v>14</v>
      </c>
      <c r="N63" s="151" t="s">
        <v>131</v>
      </c>
      <c r="O63" s="151" t="s">
        <v>34</v>
      </c>
      <c r="P63" s="145">
        <f t="shared" si="2"/>
        <v>0.5</v>
      </c>
      <c r="Q63" s="156" t="s">
        <v>50</v>
      </c>
      <c r="R63" s="155" t="str">
        <f>N63</f>
        <v>Scombri</v>
      </c>
      <c r="S63" s="155" t="str">
        <f>O63</f>
        <v>Plent</v>
      </c>
      <c r="T63" s="148">
        <f t="shared" si="3"/>
        <v>0.5</v>
      </c>
    </row>
    <row r="64" spans="1:23" ht="39" thickTop="1" x14ac:dyDescent="0.25">
      <c r="A64" s="33">
        <v>46111</v>
      </c>
      <c r="B64" s="34" t="s">
        <v>22</v>
      </c>
      <c r="C64" s="34" t="s">
        <v>160</v>
      </c>
      <c r="D64" s="106" t="s">
        <v>13</v>
      </c>
      <c r="E64" s="35" t="s">
        <v>22</v>
      </c>
      <c r="F64" s="34" t="s">
        <v>130</v>
      </c>
      <c r="G64" s="34" t="s">
        <v>21</v>
      </c>
      <c r="H64" s="140">
        <f t="shared" si="0"/>
        <v>1</v>
      </c>
      <c r="I64" s="120" t="s">
        <v>22</v>
      </c>
      <c r="J64" s="119" t="s">
        <v>117</v>
      </c>
      <c r="K64" s="119" t="s">
        <v>21</v>
      </c>
      <c r="L64" s="10">
        <f t="shared" si="1"/>
        <v>1</v>
      </c>
      <c r="M64" s="122" t="s">
        <v>19</v>
      </c>
      <c r="N64" s="100" t="s">
        <v>130</v>
      </c>
      <c r="O64" s="100" t="s">
        <v>21</v>
      </c>
      <c r="P64" s="140" t="b">
        <f t="shared" si="2"/>
        <v>0</v>
      </c>
      <c r="Q64" s="37" t="s">
        <v>19</v>
      </c>
      <c r="R64" s="34" t="s">
        <v>130</v>
      </c>
      <c r="S64" s="34" t="s">
        <v>21</v>
      </c>
      <c r="T64" s="140" t="b">
        <f t="shared" si="3"/>
        <v>0</v>
      </c>
    </row>
    <row r="65" spans="1:1029" s="161" customFormat="1" x14ac:dyDescent="0.25">
      <c r="A65" s="138">
        <v>46112</v>
      </c>
      <c r="B65" s="99" t="s">
        <v>29</v>
      </c>
      <c r="C65" s="99" t="s">
        <v>12</v>
      </c>
      <c r="D65" s="160" t="s">
        <v>90</v>
      </c>
      <c r="E65" s="118" t="s">
        <v>29</v>
      </c>
      <c r="F65" s="99" t="s">
        <v>77</v>
      </c>
      <c r="G65" s="99" t="s">
        <v>31</v>
      </c>
      <c r="H65" s="141">
        <f t="shared" si="0"/>
        <v>1</v>
      </c>
      <c r="I65" s="118" t="s">
        <v>14</v>
      </c>
      <c r="J65" s="99" t="s">
        <v>77</v>
      </c>
      <c r="K65" s="99" t="s">
        <v>27</v>
      </c>
      <c r="L65" s="141" t="b">
        <f t="shared" si="1"/>
        <v>0</v>
      </c>
      <c r="M65" s="118" t="s">
        <v>14</v>
      </c>
      <c r="N65" s="99" t="s">
        <v>77</v>
      </c>
      <c r="O65" s="99" t="s">
        <v>27</v>
      </c>
      <c r="P65" s="141" t="b">
        <f t="shared" si="2"/>
        <v>0</v>
      </c>
      <c r="Q65" s="149" t="s">
        <v>29</v>
      </c>
      <c r="R65" s="99" t="str">
        <f>F65</f>
        <v>Hühnerbrust</v>
      </c>
      <c r="S65" s="99" t="s">
        <v>16</v>
      </c>
      <c r="T65" s="141">
        <f t="shared" si="3"/>
        <v>1</v>
      </c>
      <c r="U65" s="159"/>
      <c r="V65" s="159"/>
      <c r="W65" s="159"/>
      <c r="X65" s="159"/>
      <c r="Y65" s="159"/>
      <c r="Z65" s="159"/>
      <c r="AA65" s="159"/>
      <c r="AB65" s="159"/>
      <c r="AC65" s="159"/>
      <c r="AD65" s="159"/>
      <c r="AE65" s="159"/>
      <c r="AF65" s="159"/>
      <c r="AG65" s="159"/>
      <c r="AH65" s="159"/>
      <c r="AI65" s="159"/>
      <c r="AJ65" s="159"/>
      <c r="AK65" s="159"/>
      <c r="AL65" s="159"/>
      <c r="AM65" s="159"/>
      <c r="AN65" s="159"/>
      <c r="AO65" s="159"/>
      <c r="AP65" s="159"/>
      <c r="AQ65" s="159"/>
      <c r="AR65" s="159"/>
      <c r="AS65" s="159"/>
      <c r="AT65" s="159"/>
      <c r="AU65" s="159"/>
      <c r="AV65" s="159"/>
      <c r="AW65" s="159"/>
      <c r="AX65" s="159"/>
      <c r="AY65" s="159"/>
      <c r="AZ65" s="159"/>
      <c r="BA65" s="159"/>
      <c r="BB65" s="159"/>
      <c r="BC65" s="159"/>
      <c r="BD65" s="159"/>
      <c r="BE65" s="159"/>
      <c r="BF65" s="159"/>
      <c r="BG65" s="159"/>
      <c r="BH65" s="159"/>
      <c r="BI65" s="159"/>
      <c r="BJ65" s="159"/>
      <c r="BK65" s="159"/>
      <c r="BL65" s="159"/>
      <c r="BM65" s="159"/>
      <c r="BN65" s="159"/>
      <c r="BO65" s="159"/>
      <c r="BP65" s="159"/>
      <c r="BQ65" s="159"/>
      <c r="BR65" s="159"/>
      <c r="BS65" s="159"/>
      <c r="BT65" s="159"/>
      <c r="BU65" s="159"/>
      <c r="BV65" s="159"/>
      <c r="BW65" s="159"/>
      <c r="BX65" s="159"/>
      <c r="BY65" s="159"/>
      <c r="BZ65" s="159"/>
      <c r="CA65" s="159"/>
      <c r="CB65" s="159"/>
      <c r="CC65" s="159"/>
      <c r="CD65" s="159"/>
      <c r="CE65" s="159"/>
      <c r="CF65" s="159"/>
      <c r="CG65" s="159"/>
      <c r="CH65" s="159"/>
      <c r="CI65" s="159"/>
      <c r="CJ65" s="159"/>
      <c r="CK65" s="159"/>
      <c r="CL65" s="159"/>
      <c r="CM65" s="159"/>
      <c r="CN65" s="159"/>
      <c r="CO65" s="159"/>
      <c r="CP65" s="159"/>
      <c r="CQ65" s="159"/>
      <c r="CR65" s="159"/>
      <c r="CS65" s="159"/>
      <c r="CT65" s="159"/>
      <c r="CU65" s="159"/>
      <c r="CV65" s="159"/>
      <c r="CW65" s="159"/>
      <c r="CX65" s="159"/>
      <c r="CY65" s="159"/>
      <c r="CZ65" s="159"/>
      <c r="DA65" s="159"/>
      <c r="DB65" s="159"/>
      <c r="DC65" s="159"/>
      <c r="DD65" s="159"/>
      <c r="DE65" s="159"/>
      <c r="DF65" s="159"/>
      <c r="DG65" s="159"/>
      <c r="DH65" s="159"/>
      <c r="DI65" s="159"/>
      <c r="DJ65" s="159"/>
      <c r="DK65" s="159"/>
      <c r="DL65" s="159"/>
      <c r="DM65" s="159"/>
      <c r="DN65" s="159"/>
      <c r="DO65" s="159"/>
      <c r="DP65" s="159"/>
      <c r="DQ65" s="159"/>
      <c r="DR65" s="159"/>
      <c r="DS65" s="159"/>
      <c r="DT65" s="159"/>
      <c r="DU65" s="159"/>
      <c r="DV65" s="159"/>
      <c r="DW65" s="159"/>
      <c r="DX65" s="159"/>
      <c r="DY65" s="159"/>
      <c r="DZ65" s="159"/>
      <c r="EA65" s="159"/>
      <c r="EB65" s="159"/>
      <c r="EC65" s="159"/>
      <c r="ED65" s="159"/>
      <c r="EE65" s="159"/>
      <c r="EF65" s="159"/>
      <c r="EG65" s="159"/>
      <c r="EH65" s="159"/>
      <c r="EI65" s="159"/>
      <c r="EJ65" s="159"/>
      <c r="EK65" s="159"/>
      <c r="EL65" s="159"/>
      <c r="EM65" s="159"/>
      <c r="EN65" s="159"/>
      <c r="EO65" s="159"/>
      <c r="EP65" s="159"/>
      <c r="EQ65" s="159"/>
      <c r="ER65" s="159"/>
      <c r="ES65" s="159"/>
      <c r="ET65" s="159"/>
      <c r="EU65" s="159"/>
      <c r="EV65" s="159"/>
      <c r="EW65" s="159"/>
      <c r="EX65" s="159"/>
      <c r="EY65" s="159"/>
      <c r="EZ65" s="159"/>
      <c r="FA65" s="159"/>
      <c r="FB65" s="159"/>
      <c r="FC65" s="159"/>
      <c r="FD65" s="159"/>
      <c r="FE65" s="159"/>
      <c r="FF65" s="159"/>
      <c r="FG65" s="159"/>
      <c r="FH65" s="159"/>
      <c r="FI65" s="159"/>
      <c r="FJ65" s="159"/>
      <c r="FK65" s="159"/>
      <c r="FL65" s="159"/>
      <c r="FM65" s="159"/>
      <c r="FN65" s="159"/>
      <c r="FO65" s="159"/>
      <c r="FP65" s="159"/>
      <c r="FQ65" s="159"/>
      <c r="FR65" s="159"/>
      <c r="FS65" s="159"/>
      <c r="FT65" s="159"/>
      <c r="FU65" s="159"/>
      <c r="FV65" s="159"/>
      <c r="FW65" s="159"/>
      <c r="FX65" s="159"/>
      <c r="FY65" s="159"/>
      <c r="FZ65" s="159"/>
      <c r="GA65" s="159"/>
      <c r="GB65" s="159"/>
      <c r="GC65" s="159"/>
      <c r="GD65" s="159"/>
      <c r="GE65" s="159"/>
      <c r="GF65" s="159"/>
      <c r="GG65" s="159"/>
      <c r="GH65" s="159"/>
      <c r="GI65" s="159"/>
      <c r="GJ65" s="159"/>
      <c r="GK65" s="159"/>
      <c r="GL65" s="159"/>
      <c r="GM65" s="159"/>
      <c r="GN65" s="159"/>
      <c r="GO65" s="159"/>
      <c r="GP65" s="159"/>
      <c r="GQ65" s="159"/>
      <c r="GR65" s="159"/>
      <c r="GS65" s="159"/>
      <c r="GT65" s="159"/>
      <c r="GU65" s="159"/>
      <c r="GV65" s="159"/>
      <c r="GW65" s="159"/>
      <c r="GX65" s="159"/>
      <c r="GY65" s="159"/>
      <c r="GZ65" s="159"/>
      <c r="HA65" s="159"/>
      <c r="HB65" s="159"/>
      <c r="HC65" s="159"/>
      <c r="HD65" s="159"/>
      <c r="HE65" s="159"/>
      <c r="HF65" s="159"/>
      <c r="HG65" s="159"/>
      <c r="HH65" s="159"/>
      <c r="HI65" s="159"/>
      <c r="HJ65" s="159"/>
      <c r="HK65" s="159"/>
      <c r="HL65" s="159"/>
      <c r="HM65" s="159"/>
      <c r="HN65" s="159"/>
      <c r="HO65" s="159"/>
      <c r="HP65" s="159"/>
      <c r="HQ65" s="159"/>
      <c r="HR65" s="159"/>
      <c r="HS65" s="159"/>
      <c r="HT65" s="159"/>
      <c r="HU65" s="159"/>
      <c r="HV65" s="159"/>
      <c r="HW65" s="159"/>
      <c r="HX65" s="159"/>
      <c r="HY65" s="159"/>
      <c r="HZ65" s="159"/>
      <c r="IA65" s="159"/>
      <c r="IB65" s="159"/>
      <c r="IC65" s="159"/>
      <c r="ID65" s="159"/>
      <c r="IE65" s="159"/>
      <c r="IF65" s="159"/>
      <c r="IG65" s="159"/>
      <c r="IH65" s="159"/>
      <c r="II65" s="159"/>
      <c r="IJ65" s="159"/>
      <c r="IK65" s="159"/>
      <c r="IL65" s="159"/>
      <c r="IM65" s="159"/>
      <c r="IN65" s="159"/>
      <c r="IO65" s="159"/>
      <c r="IP65" s="159"/>
      <c r="IQ65" s="159"/>
      <c r="IR65" s="159"/>
      <c r="IS65" s="159"/>
      <c r="IT65" s="159"/>
      <c r="IU65" s="159"/>
      <c r="IV65" s="159"/>
      <c r="IW65" s="159"/>
      <c r="IX65" s="159"/>
      <c r="IY65" s="159"/>
      <c r="IZ65" s="159"/>
      <c r="JA65" s="159"/>
      <c r="JB65" s="159"/>
      <c r="JC65" s="159"/>
      <c r="JD65" s="159"/>
      <c r="JE65" s="159"/>
      <c r="JF65" s="159"/>
      <c r="JG65" s="159"/>
      <c r="JH65" s="159"/>
      <c r="JI65" s="159"/>
      <c r="JJ65" s="159"/>
      <c r="JK65" s="159"/>
      <c r="JL65" s="159"/>
      <c r="JM65" s="159"/>
      <c r="JN65" s="159"/>
      <c r="JO65" s="159"/>
      <c r="JP65" s="159"/>
      <c r="JQ65" s="159"/>
      <c r="JR65" s="159"/>
      <c r="JS65" s="159"/>
      <c r="JT65" s="159"/>
      <c r="JU65" s="159"/>
      <c r="JV65" s="159"/>
      <c r="JW65" s="159"/>
      <c r="JX65" s="159"/>
      <c r="JY65" s="159"/>
      <c r="JZ65" s="159"/>
      <c r="KA65" s="159"/>
      <c r="KB65" s="159"/>
      <c r="KC65" s="159"/>
      <c r="KD65" s="159"/>
      <c r="KE65" s="159"/>
      <c r="KF65" s="159"/>
      <c r="KG65" s="159"/>
      <c r="KH65" s="159"/>
      <c r="KI65" s="159"/>
      <c r="KJ65" s="159"/>
      <c r="KK65" s="159"/>
      <c r="KL65" s="159"/>
      <c r="KM65" s="159"/>
      <c r="KN65" s="159"/>
      <c r="KO65" s="159"/>
      <c r="KP65" s="159"/>
      <c r="KQ65" s="159"/>
      <c r="KR65" s="159"/>
      <c r="KS65" s="159"/>
      <c r="KT65" s="159"/>
      <c r="KU65" s="159"/>
      <c r="KV65" s="159"/>
      <c r="KW65" s="159"/>
      <c r="KX65" s="159"/>
      <c r="KY65" s="159"/>
      <c r="KZ65" s="159"/>
      <c r="LA65" s="159"/>
      <c r="LB65" s="159"/>
      <c r="LC65" s="159"/>
      <c r="LD65" s="159"/>
      <c r="LE65" s="159"/>
      <c r="LF65" s="159"/>
      <c r="LG65" s="159"/>
      <c r="LH65" s="159"/>
      <c r="LI65" s="159"/>
      <c r="LJ65" s="159"/>
      <c r="LK65" s="159"/>
      <c r="LL65" s="159"/>
      <c r="LM65" s="159"/>
      <c r="LN65" s="159"/>
      <c r="LO65" s="159"/>
      <c r="LP65" s="159"/>
      <c r="LQ65" s="159"/>
      <c r="LR65" s="159"/>
      <c r="LS65" s="159"/>
      <c r="LT65" s="159"/>
      <c r="LU65" s="159"/>
      <c r="LV65" s="159"/>
      <c r="LW65" s="159"/>
      <c r="LX65" s="159"/>
      <c r="LY65" s="159"/>
      <c r="LZ65" s="159"/>
      <c r="MA65" s="159"/>
      <c r="MB65" s="159"/>
      <c r="MC65" s="159"/>
      <c r="MD65" s="159"/>
      <c r="ME65" s="159"/>
      <c r="MF65" s="159"/>
      <c r="MG65" s="159"/>
      <c r="MH65" s="159"/>
      <c r="MI65" s="159"/>
      <c r="MJ65" s="159"/>
      <c r="MK65" s="159"/>
      <c r="ML65" s="159"/>
      <c r="MM65" s="159"/>
      <c r="MN65" s="159"/>
      <c r="MO65" s="159"/>
      <c r="MP65" s="159"/>
      <c r="MQ65" s="159"/>
      <c r="MR65" s="159"/>
      <c r="MS65" s="159"/>
      <c r="MT65" s="159"/>
      <c r="MU65" s="159"/>
      <c r="MV65" s="159"/>
      <c r="MW65" s="159"/>
      <c r="MX65" s="159"/>
      <c r="MY65" s="159"/>
      <c r="MZ65" s="159"/>
      <c r="NA65" s="159"/>
      <c r="NB65" s="159"/>
      <c r="NC65" s="159"/>
      <c r="ND65" s="159"/>
      <c r="NE65" s="159"/>
      <c r="NF65" s="159"/>
      <c r="NG65" s="159"/>
      <c r="NH65" s="159"/>
      <c r="NI65" s="159"/>
      <c r="NJ65" s="159"/>
      <c r="NK65" s="159"/>
      <c r="NL65" s="159"/>
      <c r="NM65" s="159"/>
      <c r="NN65" s="159"/>
      <c r="NO65" s="159"/>
      <c r="NP65" s="159"/>
      <c r="NQ65" s="159"/>
      <c r="NR65" s="159"/>
      <c r="NS65" s="159"/>
      <c r="NT65" s="159"/>
      <c r="NU65" s="159"/>
      <c r="NV65" s="159"/>
      <c r="NW65" s="159"/>
      <c r="NX65" s="159"/>
      <c r="NY65" s="159"/>
      <c r="NZ65" s="159"/>
      <c r="OA65" s="159"/>
      <c r="OB65" s="159"/>
      <c r="OC65" s="159"/>
      <c r="OD65" s="159"/>
      <c r="OE65" s="159"/>
      <c r="OF65" s="159"/>
      <c r="OG65" s="159"/>
      <c r="OH65" s="159"/>
      <c r="OI65" s="159"/>
      <c r="OJ65" s="159"/>
      <c r="OK65" s="159"/>
      <c r="OL65" s="159"/>
      <c r="OM65" s="159"/>
      <c r="ON65" s="159"/>
      <c r="OO65" s="159"/>
      <c r="OP65" s="159"/>
      <c r="OQ65" s="159"/>
      <c r="OR65" s="159"/>
      <c r="OS65" s="159"/>
      <c r="OT65" s="159"/>
      <c r="OU65" s="159"/>
      <c r="OV65" s="159"/>
      <c r="OW65" s="159"/>
      <c r="OX65" s="159"/>
      <c r="OY65" s="159"/>
      <c r="OZ65" s="159"/>
      <c r="PA65" s="159"/>
      <c r="PB65" s="159"/>
      <c r="PC65" s="159"/>
      <c r="PD65" s="159"/>
      <c r="PE65" s="159"/>
      <c r="PF65" s="159"/>
      <c r="PG65" s="159"/>
      <c r="PH65" s="159"/>
      <c r="PI65" s="159"/>
      <c r="PJ65" s="159"/>
      <c r="PK65" s="159"/>
      <c r="PL65" s="159"/>
      <c r="PM65" s="159"/>
      <c r="PN65" s="159"/>
      <c r="PO65" s="159"/>
      <c r="PP65" s="159"/>
      <c r="PQ65" s="159"/>
      <c r="PR65" s="159"/>
      <c r="PS65" s="159"/>
      <c r="PT65" s="159"/>
      <c r="PU65" s="159"/>
      <c r="PV65" s="159"/>
      <c r="PW65" s="159"/>
      <c r="PX65" s="159"/>
      <c r="PY65" s="159"/>
      <c r="PZ65" s="159"/>
      <c r="QA65" s="159"/>
      <c r="QB65" s="159"/>
      <c r="QC65" s="159"/>
      <c r="QD65" s="159"/>
      <c r="QE65" s="159"/>
      <c r="QF65" s="159"/>
      <c r="QG65" s="159"/>
      <c r="QH65" s="159"/>
      <c r="QI65" s="159"/>
      <c r="QJ65" s="159"/>
      <c r="QK65" s="159"/>
      <c r="QL65" s="159"/>
      <c r="QM65" s="159"/>
      <c r="QN65" s="159"/>
      <c r="QO65" s="159"/>
      <c r="QP65" s="159"/>
      <c r="QQ65" s="159"/>
      <c r="QR65" s="159"/>
      <c r="QS65" s="159"/>
      <c r="QT65" s="159"/>
      <c r="QU65" s="159"/>
      <c r="QV65" s="159"/>
      <c r="QW65" s="159"/>
      <c r="QX65" s="159"/>
      <c r="QY65" s="159"/>
      <c r="QZ65" s="159"/>
      <c r="RA65" s="159"/>
      <c r="RB65" s="159"/>
      <c r="RC65" s="159"/>
      <c r="RD65" s="159"/>
      <c r="RE65" s="159"/>
      <c r="RF65" s="159"/>
      <c r="RG65" s="159"/>
      <c r="RH65" s="159"/>
      <c r="RI65" s="159"/>
      <c r="RJ65" s="159"/>
      <c r="RK65" s="159"/>
      <c r="RL65" s="159"/>
      <c r="RM65" s="159"/>
      <c r="RN65" s="159"/>
      <c r="RO65" s="159"/>
      <c r="RP65" s="159"/>
      <c r="RQ65" s="159"/>
      <c r="RR65" s="159"/>
      <c r="RS65" s="159"/>
      <c r="RT65" s="159"/>
      <c r="RU65" s="159"/>
      <c r="RV65" s="159"/>
      <c r="RW65" s="159"/>
      <c r="RX65" s="159"/>
      <c r="RY65" s="159"/>
      <c r="RZ65" s="159"/>
      <c r="SA65" s="159"/>
      <c r="SB65" s="159"/>
      <c r="SC65" s="159"/>
      <c r="SD65" s="159"/>
      <c r="SE65" s="159"/>
      <c r="SF65" s="159"/>
      <c r="SG65" s="159"/>
      <c r="SH65" s="159"/>
      <c r="SI65" s="159"/>
      <c r="SJ65" s="159"/>
      <c r="SK65" s="159"/>
      <c r="SL65" s="159"/>
      <c r="SM65" s="159"/>
      <c r="SN65" s="159"/>
      <c r="SO65" s="159"/>
      <c r="SP65" s="159"/>
      <c r="SQ65" s="159"/>
      <c r="SR65" s="159"/>
      <c r="SS65" s="159"/>
      <c r="ST65" s="159"/>
      <c r="SU65" s="159"/>
      <c r="SV65" s="159"/>
      <c r="SW65" s="159"/>
      <c r="SX65" s="159"/>
      <c r="SY65" s="159"/>
      <c r="SZ65" s="159"/>
      <c r="TA65" s="159"/>
      <c r="TB65" s="159"/>
      <c r="TC65" s="159"/>
      <c r="TD65" s="159"/>
      <c r="TE65" s="159"/>
      <c r="TF65" s="159"/>
      <c r="TG65" s="159"/>
      <c r="TH65" s="159"/>
      <c r="TI65" s="159"/>
      <c r="TJ65" s="159"/>
      <c r="TK65" s="159"/>
      <c r="TL65" s="159"/>
      <c r="TM65" s="159"/>
      <c r="TN65" s="159"/>
      <c r="TO65" s="159"/>
      <c r="TP65" s="159"/>
      <c r="TQ65" s="159"/>
      <c r="TR65" s="159"/>
      <c r="TS65" s="159"/>
      <c r="TT65" s="159"/>
      <c r="TU65" s="159"/>
      <c r="TV65" s="159"/>
      <c r="TW65" s="159"/>
      <c r="TX65" s="159"/>
      <c r="TY65" s="159"/>
      <c r="TZ65" s="159"/>
      <c r="UA65" s="159"/>
      <c r="UB65" s="159"/>
      <c r="UC65" s="159"/>
      <c r="UD65" s="159"/>
      <c r="UE65" s="159"/>
      <c r="UF65" s="159"/>
      <c r="UG65" s="159"/>
      <c r="UH65" s="159"/>
      <c r="UI65" s="159"/>
      <c r="UJ65" s="159"/>
      <c r="UK65" s="159"/>
      <c r="UL65" s="159"/>
      <c r="UM65" s="159"/>
      <c r="UN65" s="159"/>
      <c r="UO65" s="159"/>
      <c r="UP65" s="159"/>
      <c r="UQ65" s="159"/>
      <c r="UR65" s="159"/>
      <c r="US65" s="159"/>
      <c r="UT65" s="159"/>
      <c r="UU65" s="159"/>
      <c r="UV65" s="159"/>
      <c r="UW65" s="159"/>
      <c r="UX65" s="159"/>
      <c r="UY65" s="159"/>
      <c r="UZ65" s="159"/>
      <c r="VA65" s="159"/>
      <c r="VB65" s="159"/>
      <c r="VC65" s="159"/>
      <c r="VD65" s="159"/>
      <c r="VE65" s="159"/>
      <c r="VF65" s="159"/>
      <c r="VG65" s="159"/>
      <c r="VH65" s="159"/>
      <c r="VI65" s="159"/>
      <c r="VJ65" s="159"/>
      <c r="VK65" s="159"/>
      <c r="VL65" s="159"/>
      <c r="VM65" s="159"/>
      <c r="VN65" s="159"/>
      <c r="VO65" s="159"/>
      <c r="VP65" s="159"/>
      <c r="VQ65" s="159"/>
      <c r="VR65" s="159"/>
      <c r="VS65" s="159"/>
      <c r="VT65" s="159"/>
      <c r="VU65" s="159"/>
      <c r="VV65" s="159"/>
      <c r="VW65" s="159"/>
      <c r="VX65" s="159"/>
      <c r="VY65" s="159"/>
      <c r="VZ65" s="159"/>
      <c r="WA65" s="159"/>
      <c r="WB65" s="159"/>
      <c r="WC65" s="159"/>
      <c r="WD65" s="159"/>
      <c r="WE65" s="159"/>
      <c r="WF65" s="159"/>
      <c r="WG65" s="159"/>
      <c r="WH65" s="159"/>
      <c r="WI65" s="159"/>
      <c r="WJ65" s="159"/>
      <c r="WK65" s="159"/>
      <c r="WL65" s="159"/>
      <c r="WM65" s="159"/>
      <c r="WN65" s="159"/>
      <c r="WO65" s="159"/>
      <c r="WP65" s="159"/>
      <c r="WQ65" s="159"/>
      <c r="WR65" s="159"/>
      <c r="WS65" s="159"/>
      <c r="WT65" s="159"/>
      <c r="WU65" s="159"/>
      <c r="WV65" s="159"/>
      <c r="WW65" s="159"/>
      <c r="WX65" s="159"/>
      <c r="WY65" s="159"/>
      <c r="WZ65" s="159"/>
      <c r="XA65" s="159"/>
      <c r="XB65" s="159"/>
      <c r="XC65" s="159"/>
      <c r="XD65" s="159"/>
      <c r="XE65" s="159"/>
      <c r="XF65" s="159"/>
      <c r="XG65" s="159"/>
      <c r="XH65" s="159"/>
      <c r="XI65" s="159"/>
      <c r="XJ65" s="159"/>
      <c r="XK65" s="159"/>
      <c r="XL65" s="159"/>
      <c r="XM65" s="159"/>
      <c r="XN65" s="159"/>
      <c r="XO65" s="159"/>
      <c r="XP65" s="159"/>
      <c r="XQ65" s="159"/>
      <c r="XR65" s="159"/>
      <c r="XS65" s="159"/>
      <c r="XT65" s="159"/>
      <c r="XU65" s="159"/>
      <c r="XV65" s="159"/>
      <c r="XW65" s="159"/>
      <c r="XX65" s="159"/>
      <c r="XY65" s="159"/>
      <c r="XZ65" s="159"/>
      <c r="YA65" s="159"/>
      <c r="YB65" s="159"/>
      <c r="YC65" s="159"/>
      <c r="YD65" s="159"/>
      <c r="YE65" s="159"/>
      <c r="YF65" s="159"/>
      <c r="YG65" s="159"/>
      <c r="YH65" s="159"/>
      <c r="YI65" s="159"/>
      <c r="YJ65" s="159"/>
      <c r="YK65" s="159"/>
      <c r="YL65" s="159"/>
      <c r="YM65" s="159"/>
      <c r="YN65" s="159"/>
      <c r="YO65" s="159"/>
      <c r="YP65" s="159"/>
      <c r="YQ65" s="159"/>
      <c r="YR65" s="159"/>
      <c r="YS65" s="159"/>
      <c r="YT65" s="159"/>
      <c r="YU65" s="159"/>
      <c r="YV65" s="159"/>
      <c r="YW65" s="159"/>
      <c r="YX65" s="159"/>
      <c r="YY65" s="159"/>
      <c r="YZ65" s="159"/>
      <c r="ZA65" s="159"/>
      <c r="ZB65" s="159"/>
      <c r="ZC65" s="159"/>
      <c r="ZD65" s="159"/>
      <c r="ZE65" s="159"/>
      <c r="ZF65" s="159"/>
      <c r="ZG65" s="159"/>
      <c r="ZH65" s="159"/>
      <c r="ZI65" s="159"/>
      <c r="ZJ65" s="159"/>
      <c r="ZK65" s="159"/>
      <c r="ZL65" s="159"/>
      <c r="ZM65" s="159"/>
      <c r="ZN65" s="159"/>
      <c r="ZO65" s="159"/>
      <c r="ZP65" s="159"/>
      <c r="ZQ65" s="159"/>
      <c r="ZR65" s="159"/>
      <c r="ZS65" s="159"/>
      <c r="ZT65" s="159"/>
      <c r="ZU65" s="159"/>
      <c r="ZV65" s="159"/>
      <c r="ZW65" s="159"/>
      <c r="ZX65" s="159"/>
      <c r="ZY65" s="159"/>
      <c r="ZZ65" s="159"/>
      <c r="AAA65" s="159"/>
      <c r="AAB65" s="159"/>
      <c r="AAC65" s="159"/>
      <c r="AAD65" s="159"/>
      <c r="AAE65" s="159"/>
      <c r="AAF65" s="159"/>
      <c r="AAG65" s="159"/>
      <c r="AAH65" s="159"/>
      <c r="AAI65" s="159"/>
      <c r="AAJ65" s="159"/>
      <c r="AAK65" s="159"/>
      <c r="AAL65" s="159"/>
      <c r="AAM65" s="159"/>
      <c r="AAN65" s="159"/>
      <c r="AAO65" s="159"/>
      <c r="AAP65" s="159"/>
      <c r="AAQ65" s="159"/>
      <c r="AAR65" s="159"/>
      <c r="AAS65" s="159"/>
      <c r="AAT65" s="159"/>
      <c r="AAU65" s="159"/>
      <c r="AAV65" s="159"/>
      <c r="AAW65" s="159"/>
      <c r="AAX65" s="159"/>
      <c r="AAY65" s="159"/>
      <c r="AAZ65" s="159"/>
      <c r="ABA65" s="159"/>
      <c r="ABB65" s="159"/>
      <c r="ABC65" s="159"/>
      <c r="ABD65" s="159"/>
      <c r="ABE65" s="159"/>
      <c r="ABF65" s="159"/>
      <c r="ABG65" s="159"/>
      <c r="ABH65" s="159"/>
      <c r="ABI65" s="159"/>
      <c r="ABJ65" s="159"/>
      <c r="ABK65" s="159"/>
      <c r="ABL65" s="159"/>
      <c r="ABM65" s="159"/>
      <c r="ABN65" s="159"/>
      <c r="ABO65" s="159"/>
      <c r="ABP65" s="159"/>
      <c r="ABQ65" s="159"/>
      <c r="ABR65" s="159"/>
      <c r="ABS65" s="159"/>
      <c r="ABT65" s="159"/>
      <c r="ABU65" s="159"/>
      <c r="ABV65" s="159"/>
      <c r="ABW65" s="159"/>
      <c r="ABX65" s="159"/>
      <c r="ABY65" s="159"/>
      <c r="ABZ65" s="159"/>
      <c r="ACA65" s="159"/>
      <c r="ACB65" s="159"/>
      <c r="ACC65" s="159"/>
      <c r="ACD65" s="159"/>
      <c r="ACE65" s="159"/>
      <c r="ACF65" s="159"/>
      <c r="ACG65" s="159"/>
      <c r="ACH65" s="159"/>
      <c r="ACI65" s="159"/>
      <c r="ACJ65" s="159"/>
      <c r="ACK65" s="159"/>
      <c r="ACL65" s="159"/>
      <c r="ACM65" s="159"/>
      <c r="ACN65" s="159"/>
      <c r="ACO65" s="159"/>
      <c r="ACP65" s="159"/>
      <c r="ACQ65" s="159"/>
      <c r="ACR65" s="159"/>
      <c r="ACS65" s="159"/>
      <c r="ACT65" s="159"/>
      <c r="ACU65" s="159"/>
      <c r="ACV65" s="159"/>
      <c r="ACW65" s="159"/>
      <c r="ACX65" s="159"/>
      <c r="ACY65" s="159"/>
      <c r="ACZ65" s="159"/>
      <c r="ADA65" s="159"/>
      <c r="ADB65" s="159"/>
      <c r="ADC65" s="159"/>
      <c r="ADD65" s="159"/>
      <c r="ADE65" s="159"/>
      <c r="ADF65" s="159"/>
      <c r="ADG65" s="159"/>
      <c r="ADH65" s="159"/>
      <c r="ADI65" s="159"/>
      <c r="ADJ65" s="159"/>
      <c r="ADK65" s="159"/>
      <c r="ADL65" s="159"/>
      <c r="ADM65" s="159"/>
      <c r="ADN65" s="159"/>
      <c r="ADO65" s="159"/>
      <c r="ADP65" s="159"/>
      <c r="ADQ65" s="159"/>
      <c r="ADR65" s="159"/>
      <c r="ADS65" s="159"/>
      <c r="ADT65" s="159"/>
      <c r="ADU65" s="159"/>
      <c r="ADV65" s="159"/>
      <c r="ADW65" s="159"/>
      <c r="ADX65" s="159"/>
      <c r="ADY65" s="159"/>
      <c r="ADZ65" s="159"/>
      <c r="AEA65" s="159"/>
      <c r="AEB65" s="159"/>
      <c r="AEC65" s="159"/>
      <c r="AED65" s="159"/>
      <c r="AEE65" s="159"/>
      <c r="AEF65" s="159"/>
      <c r="AEG65" s="159"/>
      <c r="AEH65" s="159"/>
      <c r="AEI65" s="159"/>
      <c r="AEJ65" s="159"/>
      <c r="AEK65" s="159"/>
      <c r="AEL65" s="159"/>
      <c r="AEM65" s="159"/>
      <c r="AEN65" s="159"/>
      <c r="AEO65" s="159"/>
      <c r="AEP65" s="159"/>
      <c r="AEQ65" s="159"/>
      <c r="AER65" s="159"/>
      <c r="AES65" s="159"/>
      <c r="AET65" s="159"/>
      <c r="AEU65" s="159"/>
      <c r="AEV65" s="159"/>
      <c r="AEW65" s="159"/>
      <c r="AEX65" s="159"/>
      <c r="AEY65" s="159"/>
      <c r="AEZ65" s="159"/>
      <c r="AFA65" s="159"/>
      <c r="AFB65" s="159"/>
      <c r="AFC65" s="159"/>
      <c r="AFD65" s="159"/>
      <c r="AFE65" s="159"/>
      <c r="AFF65" s="159"/>
      <c r="AFG65" s="159"/>
      <c r="AFH65" s="159"/>
      <c r="AFI65" s="159"/>
      <c r="AFJ65" s="159"/>
      <c r="AFK65" s="159"/>
      <c r="AFL65" s="159"/>
      <c r="AFM65" s="159"/>
      <c r="AFN65" s="159"/>
      <c r="AFO65" s="159"/>
      <c r="AFP65" s="159"/>
      <c r="AFQ65" s="159"/>
      <c r="AFR65" s="159"/>
      <c r="AFS65" s="159"/>
      <c r="AFT65" s="159"/>
      <c r="AFU65" s="159"/>
      <c r="AFV65" s="159"/>
      <c r="AFW65" s="159"/>
      <c r="AFX65" s="159"/>
      <c r="AFY65" s="159"/>
      <c r="AFZ65" s="159"/>
      <c r="AGA65" s="159"/>
      <c r="AGB65" s="159"/>
      <c r="AGC65" s="159"/>
      <c r="AGD65" s="159"/>
      <c r="AGE65" s="159"/>
      <c r="AGF65" s="159"/>
      <c r="AGG65" s="159"/>
      <c r="AGH65" s="159"/>
      <c r="AGI65" s="159"/>
      <c r="AGJ65" s="159"/>
      <c r="AGK65" s="159"/>
      <c r="AGL65" s="159"/>
      <c r="AGM65" s="159"/>
      <c r="AGN65" s="159"/>
      <c r="AGO65" s="159"/>
      <c r="AGP65" s="159"/>
      <c r="AGQ65" s="159"/>
      <c r="AGR65" s="159"/>
      <c r="AGS65" s="159"/>
      <c r="AGT65" s="159"/>
      <c r="AGU65" s="159"/>
      <c r="AGV65" s="159"/>
      <c r="AGW65" s="159"/>
      <c r="AGX65" s="159"/>
      <c r="AGY65" s="159"/>
      <c r="AGZ65" s="159"/>
      <c r="AHA65" s="159"/>
      <c r="AHB65" s="159"/>
      <c r="AHC65" s="159"/>
      <c r="AHD65" s="159"/>
      <c r="AHE65" s="159"/>
      <c r="AHF65" s="159"/>
      <c r="AHG65" s="159"/>
      <c r="AHH65" s="159"/>
      <c r="AHI65" s="159"/>
      <c r="AHJ65" s="159"/>
      <c r="AHK65" s="159"/>
      <c r="AHL65" s="159"/>
      <c r="AHM65" s="159"/>
      <c r="AHN65" s="159"/>
      <c r="AHO65" s="159"/>
      <c r="AHP65" s="159"/>
      <c r="AHQ65" s="159"/>
      <c r="AHR65" s="159"/>
      <c r="AHS65" s="159"/>
      <c r="AHT65" s="159"/>
      <c r="AHU65" s="159"/>
      <c r="AHV65" s="159"/>
      <c r="AHW65" s="159"/>
      <c r="AHX65" s="159"/>
      <c r="AHY65" s="159"/>
      <c r="AHZ65" s="159"/>
      <c r="AIA65" s="159"/>
      <c r="AIB65" s="159"/>
      <c r="AIC65" s="159"/>
      <c r="AID65" s="159"/>
      <c r="AIE65" s="159"/>
      <c r="AIF65" s="159"/>
      <c r="AIG65" s="159"/>
      <c r="AIH65" s="159"/>
      <c r="AII65" s="159"/>
      <c r="AIJ65" s="159"/>
      <c r="AIK65" s="159"/>
      <c r="AIL65" s="159"/>
      <c r="AIM65" s="159"/>
      <c r="AIN65" s="159"/>
      <c r="AIO65" s="159"/>
      <c r="AIP65" s="159"/>
      <c r="AIQ65" s="159"/>
      <c r="AIR65" s="159"/>
      <c r="AIS65" s="159"/>
      <c r="AIT65" s="159"/>
      <c r="AIU65" s="159"/>
      <c r="AIV65" s="159"/>
      <c r="AIW65" s="159"/>
      <c r="AIX65" s="159"/>
      <c r="AIY65" s="159"/>
      <c r="AIZ65" s="159"/>
      <c r="AJA65" s="159"/>
      <c r="AJB65" s="159"/>
      <c r="AJC65" s="159"/>
      <c r="AJD65" s="159"/>
      <c r="AJE65" s="159"/>
      <c r="AJF65" s="159"/>
      <c r="AJG65" s="159"/>
      <c r="AJH65" s="159"/>
      <c r="AJI65" s="159"/>
      <c r="AJJ65" s="159"/>
      <c r="AJK65" s="159"/>
      <c r="AJL65" s="159"/>
      <c r="AJM65" s="159"/>
      <c r="AJN65" s="159"/>
      <c r="AJO65" s="159"/>
      <c r="AJP65" s="159"/>
      <c r="AJQ65" s="159"/>
      <c r="AJR65" s="159"/>
      <c r="AJS65" s="159"/>
      <c r="AJT65" s="159"/>
      <c r="AJU65" s="159"/>
      <c r="AJV65" s="159"/>
      <c r="AJW65" s="159"/>
      <c r="AJX65" s="159"/>
      <c r="AJY65" s="159"/>
      <c r="AJZ65" s="159"/>
      <c r="AKA65" s="159"/>
      <c r="AKB65" s="159"/>
      <c r="AKC65" s="159"/>
      <c r="AKD65" s="159"/>
      <c r="AKE65" s="159"/>
      <c r="AKF65" s="159"/>
      <c r="AKG65" s="159"/>
      <c r="AKH65" s="159"/>
      <c r="AKI65" s="159"/>
      <c r="AKJ65" s="159"/>
      <c r="AKK65" s="159"/>
      <c r="AKL65" s="159"/>
      <c r="AKM65" s="159"/>
      <c r="AKN65" s="159"/>
      <c r="AKO65" s="159"/>
      <c r="AKP65" s="159"/>
      <c r="AKQ65" s="159"/>
      <c r="AKR65" s="159"/>
      <c r="AKS65" s="159"/>
      <c r="AKT65" s="159"/>
      <c r="AKU65" s="159"/>
      <c r="AKV65" s="159"/>
      <c r="AKW65" s="159"/>
      <c r="AKX65" s="159"/>
      <c r="AKY65" s="159"/>
      <c r="AKZ65" s="159"/>
      <c r="ALA65" s="159"/>
      <c r="ALB65" s="159"/>
      <c r="ALC65" s="159"/>
      <c r="ALD65" s="159"/>
      <c r="ALE65" s="159"/>
      <c r="ALF65" s="159"/>
      <c r="ALG65" s="159"/>
      <c r="ALH65" s="159"/>
      <c r="ALI65" s="159"/>
      <c r="ALJ65" s="159"/>
      <c r="ALK65" s="159"/>
      <c r="ALL65" s="159"/>
      <c r="ALM65" s="159"/>
      <c r="ALN65" s="159"/>
      <c r="ALO65" s="159"/>
      <c r="ALP65" s="159"/>
      <c r="ALQ65" s="159"/>
      <c r="ALR65" s="159"/>
      <c r="ALS65" s="159"/>
      <c r="ALT65" s="159"/>
      <c r="ALU65" s="159"/>
      <c r="ALV65" s="159"/>
      <c r="ALW65" s="159"/>
      <c r="ALX65" s="159"/>
      <c r="ALY65" s="159"/>
      <c r="ALZ65" s="159"/>
      <c r="AMA65" s="159"/>
      <c r="AMB65" s="159"/>
      <c r="AMC65" s="159"/>
      <c r="AMD65" s="159"/>
      <c r="AME65" s="159"/>
      <c r="AMF65" s="159"/>
      <c r="AMG65" s="159"/>
      <c r="AMH65" s="159"/>
      <c r="AMI65" s="159"/>
      <c r="AMJ65" s="159"/>
      <c r="AMK65" s="159"/>
      <c r="AML65" s="159"/>
      <c r="AMM65" s="159"/>
      <c r="AMN65" s="159"/>
      <c r="AMO65" s="159"/>
    </row>
    <row r="66" spans="1:1029" s="161" customFormat="1" ht="25.5" x14ac:dyDescent="0.25">
      <c r="A66" s="138">
        <v>46113</v>
      </c>
      <c r="B66" s="99" t="s">
        <v>101</v>
      </c>
      <c r="C66" s="99" t="s">
        <v>195</v>
      </c>
      <c r="D66" s="160" t="s">
        <v>21</v>
      </c>
      <c r="E66" s="118" t="s">
        <v>35</v>
      </c>
      <c r="F66" s="99" t="s">
        <v>38</v>
      </c>
      <c r="G66" s="99" t="s">
        <v>16</v>
      </c>
      <c r="H66" s="141" t="b">
        <f t="shared" si="0"/>
        <v>0</v>
      </c>
      <c r="I66" s="118" t="s">
        <v>35</v>
      </c>
      <c r="J66" s="99" t="s">
        <v>30</v>
      </c>
      <c r="K66" s="99" t="s">
        <v>31</v>
      </c>
      <c r="L66" s="141" t="b">
        <f t="shared" si="1"/>
        <v>0</v>
      </c>
      <c r="M66" s="118" t="s">
        <v>101</v>
      </c>
      <c r="N66" s="99" t="s">
        <v>130</v>
      </c>
      <c r="O66" s="99" t="s">
        <v>21</v>
      </c>
      <c r="P66" s="141">
        <f t="shared" si="2"/>
        <v>1.5</v>
      </c>
      <c r="Q66" s="149" t="s">
        <v>14</v>
      </c>
      <c r="R66" s="99" t="s">
        <v>119</v>
      </c>
      <c r="S66" s="99" t="s">
        <v>21</v>
      </c>
      <c r="T66" s="141">
        <f t="shared" si="3"/>
        <v>1</v>
      </c>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c r="BM66" s="159"/>
      <c r="BN66" s="159"/>
      <c r="BO66" s="159"/>
      <c r="BP66" s="159"/>
      <c r="BQ66" s="159"/>
      <c r="BR66" s="159"/>
      <c r="BS66" s="159"/>
      <c r="BT66" s="159"/>
      <c r="BU66" s="159"/>
      <c r="BV66" s="159"/>
      <c r="BW66" s="159"/>
      <c r="BX66" s="159"/>
      <c r="BY66" s="159"/>
      <c r="BZ66" s="159"/>
      <c r="CA66" s="159"/>
      <c r="CB66" s="159"/>
      <c r="CC66" s="159"/>
      <c r="CD66" s="159"/>
      <c r="CE66" s="159"/>
      <c r="CF66" s="159"/>
      <c r="CG66" s="159"/>
      <c r="CH66" s="159"/>
      <c r="CI66" s="159"/>
      <c r="CJ66" s="159"/>
      <c r="CK66" s="159"/>
      <c r="CL66" s="159"/>
      <c r="CM66" s="159"/>
      <c r="CN66" s="159"/>
      <c r="CO66" s="159"/>
      <c r="CP66" s="159"/>
      <c r="CQ66" s="159"/>
      <c r="CR66" s="159"/>
      <c r="CS66" s="159"/>
      <c r="CT66" s="159"/>
      <c r="CU66" s="159"/>
      <c r="CV66" s="159"/>
      <c r="CW66" s="159"/>
      <c r="CX66" s="159"/>
      <c r="CY66" s="159"/>
      <c r="CZ66" s="159"/>
      <c r="DA66" s="159"/>
      <c r="DB66" s="159"/>
      <c r="DC66" s="159"/>
      <c r="DD66" s="159"/>
      <c r="DE66" s="159"/>
      <c r="DF66" s="159"/>
      <c r="DG66" s="159"/>
      <c r="DH66" s="159"/>
      <c r="DI66" s="159"/>
      <c r="DJ66" s="159"/>
      <c r="DK66" s="159"/>
      <c r="DL66" s="159"/>
      <c r="DM66" s="159"/>
      <c r="DN66" s="159"/>
      <c r="DO66" s="159"/>
      <c r="DP66" s="159"/>
      <c r="DQ66" s="159"/>
      <c r="DR66" s="159"/>
      <c r="DS66" s="159"/>
      <c r="DT66" s="159"/>
      <c r="DU66" s="159"/>
      <c r="DV66" s="159"/>
      <c r="DW66" s="159"/>
      <c r="DX66" s="159"/>
      <c r="DY66" s="159"/>
      <c r="DZ66" s="159"/>
      <c r="EA66" s="159"/>
      <c r="EB66" s="159"/>
      <c r="EC66" s="159"/>
      <c r="ED66" s="159"/>
      <c r="EE66" s="159"/>
      <c r="EF66" s="159"/>
      <c r="EG66" s="159"/>
      <c r="EH66" s="159"/>
      <c r="EI66" s="159"/>
      <c r="EJ66" s="159"/>
      <c r="EK66" s="159"/>
      <c r="EL66" s="159"/>
      <c r="EM66" s="159"/>
      <c r="EN66" s="159"/>
      <c r="EO66" s="159"/>
      <c r="EP66" s="159"/>
      <c r="EQ66" s="159"/>
      <c r="ER66" s="159"/>
      <c r="ES66" s="159"/>
      <c r="ET66" s="159"/>
      <c r="EU66" s="159"/>
      <c r="EV66" s="159"/>
      <c r="EW66" s="159"/>
      <c r="EX66" s="159"/>
      <c r="EY66" s="159"/>
      <c r="EZ66" s="159"/>
      <c r="FA66" s="159"/>
      <c r="FB66" s="159"/>
      <c r="FC66" s="159"/>
      <c r="FD66" s="159"/>
      <c r="FE66" s="159"/>
      <c r="FF66" s="159"/>
      <c r="FG66" s="159"/>
      <c r="FH66" s="159"/>
      <c r="FI66" s="159"/>
      <c r="FJ66" s="159"/>
      <c r="FK66" s="159"/>
      <c r="FL66" s="159"/>
      <c r="FM66" s="159"/>
      <c r="FN66" s="159"/>
      <c r="FO66" s="159"/>
      <c r="FP66" s="159"/>
      <c r="FQ66" s="159"/>
      <c r="FR66" s="159"/>
      <c r="FS66" s="159"/>
      <c r="FT66" s="159"/>
      <c r="FU66" s="159"/>
      <c r="FV66" s="159"/>
      <c r="FW66" s="159"/>
      <c r="FX66" s="159"/>
      <c r="FY66" s="159"/>
      <c r="FZ66" s="159"/>
      <c r="GA66" s="159"/>
      <c r="GB66" s="159"/>
      <c r="GC66" s="159"/>
      <c r="GD66" s="159"/>
      <c r="GE66" s="159"/>
      <c r="GF66" s="159"/>
      <c r="GG66" s="159"/>
      <c r="GH66" s="159"/>
      <c r="GI66" s="159"/>
      <c r="GJ66" s="159"/>
      <c r="GK66" s="159"/>
      <c r="GL66" s="159"/>
      <c r="GM66" s="159"/>
      <c r="GN66" s="159"/>
      <c r="GO66" s="159"/>
      <c r="GP66" s="159"/>
      <c r="GQ66" s="159"/>
      <c r="GR66" s="159"/>
      <c r="GS66" s="159"/>
      <c r="GT66" s="159"/>
      <c r="GU66" s="159"/>
      <c r="GV66" s="159"/>
      <c r="GW66" s="159"/>
      <c r="GX66" s="159"/>
      <c r="GY66" s="159"/>
      <c r="GZ66" s="159"/>
      <c r="HA66" s="159"/>
      <c r="HB66" s="159"/>
      <c r="HC66" s="159"/>
      <c r="HD66" s="159"/>
      <c r="HE66" s="159"/>
      <c r="HF66" s="159"/>
      <c r="HG66" s="159"/>
      <c r="HH66" s="159"/>
      <c r="HI66" s="159"/>
      <c r="HJ66" s="159"/>
      <c r="HK66" s="159"/>
      <c r="HL66" s="159"/>
      <c r="HM66" s="159"/>
      <c r="HN66" s="159"/>
      <c r="HO66" s="159"/>
      <c r="HP66" s="159"/>
      <c r="HQ66" s="159"/>
      <c r="HR66" s="159"/>
      <c r="HS66" s="159"/>
      <c r="HT66" s="159"/>
      <c r="HU66" s="159"/>
      <c r="HV66" s="159"/>
      <c r="HW66" s="159"/>
      <c r="HX66" s="159"/>
      <c r="HY66" s="159"/>
      <c r="HZ66" s="159"/>
      <c r="IA66" s="159"/>
      <c r="IB66" s="159"/>
      <c r="IC66" s="159"/>
      <c r="ID66" s="159"/>
      <c r="IE66" s="159"/>
      <c r="IF66" s="159"/>
      <c r="IG66" s="159"/>
      <c r="IH66" s="159"/>
      <c r="II66" s="159"/>
      <c r="IJ66" s="159"/>
      <c r="IK66" s="159"/>
      <c r="IL66" s="159"/>
      <c r="IM66" s="159"/>
      <c r="IN66" s="159"/>
      <c r="IO66" s="159"/>
      <c r="IP66" s="159"/>
      <c r="IQ66" s="159"/>
      <c r="IR66" s="159"/>
      <c r="IS66" s="159"/>
      <c r="IT66" s="159"/>
      <c r="IU66" s="159"/>
      <c r="IV66" s="159"/>
      <c r="IW66" s="159"/>
      <c r="IX66" s="159"/>
      <c r="IY66" s="159"/>
      <c r="IZ66" s="159"/>
      <c r="JA66" s="159"/>
      <c r="JB66" s="159"/>
      <c r="JC66" s="159"/>
      <c r="JD66" s="159"/>
      <c r="JE66" s="159"/>
      <c r="JF66" s="159"/>
      <c r="JG66" s="159"/>
      <c r="JH66" s="159"/>
      <c r="JI66" s="159"/>
      <c r="JJ66" s="159"/>
      <c r="JK66" s="159"/>
      <c r="JL66" s="159"/>
      <c r="JM66" s="159"/>
      <c r="JN66" s="159"/>
      <c r="JO66" s="159"/>
      <c r="JP66" s="159"/>
      <c r="JQ66" s="159"/>
      <c r="JR66" s="159"/>
      <c r="JS66" s="159"/>
      <c r="JT66" s="159"/>
      <c r="JU66" s="159"/>
      <c r="JV66" s="159"/>
      <c r="JW66" s="159"/>
      <c r="JX66" s="159"/>
      <c r="JY66" s="159"/>
      <c r="JZ66" s="159"/>
      <c r="KA66" s="159"/>
      <c r="KB66" s="159"/>
      <c r="KC66" s="159"/>
      <c r="KD66" s="159"/>
      <c r="KE66" s="159"/>
      <c r="KF66" s="159"/>
      <c r="KG66" s="159"/>
      <c r="KH66" s="159"/>
      <c r="KI66" s="159"/>
      <c r="KJ66" s="159"/>
      <c r="KK66" s="159"/>
      <c r="KL66" s="159"/>
      <c r="KM66" s="159"/>
      <c r="KN66" s="159"/>
      <c r="KO66" s="159"/>
      <c r="KP66" s="159"/>
      <c r="KQ66" s="159"/>
      <c r="KR66" s="159"/>
      <c r="KS66" s="159"/>
      <c r="KT66" s="159"/>
      <c r="KU66" s="159"/>
      <c r="KV66" s="159"/>
      <c r="KW66" s="159"/>
      <c r="KX66" s="159"/>
      <c r="KY66" s="159"/>
      <c r="KZ66" s="159"/>
      <c r="LA66" s="159"/>
      <c r="LB66" s="159"/>
      <c r="LC66" s="159"/>
      <c r="LD66" s="159"/>
      <c r="LE66" s="159"/>
      <c r="LF66" s="159"/>
      <c r="LG66" s="159"/>
      <c r="LH66" s="159"/>
      <c r="LI66" s="159"/>
      <c r="LJ66" s="159"/>
      <c r="LK66" s="159"/>
      <c r="LL66" s="159"/>
      <c r="LM66" s="159"/>
      <c r="LN66" s="159"/>
      <c r="LO66" s="159"/>
      <c r="LP66" s="159"/>
      <c r="LQ66" s="159"/>
      <c r="LR66" s="159"/>
      <c r="LS66" s="159"/>
      <c r="LT66" s="159"/>
      <c r="LU66" s="159"/>
      <c r="LV66" s="159"/>
      <c r="LW66" s="159"/>
      <c r="LX66" s="159"/>
      <c r="LY66" s="159"/>
      <c r="LZ66" s="159"/>
      <c r="MA66" s="159"/>
      <c r="MB66" s="159"/>
      <c r="MC66" s="159"/>
      <c r="MD66" s="159"/>
      <c r="ME66" s="159"/>
      <c r="MF66" s="159"/>
      <c r="MG66" s="159"/>
      <c r="MH66" s="159"/>
      <c r="MI66" s="159"/>
      <c r="MJ66" s="159"/>
      <c r="MK66" s="159"/>
      <c r="ML66" s="159"/>
      <c r="MM66" s="159"/>
      <c r="MN66" s="159"/>
      <c r="MO66" s="159"/>
      <c r="MP66" s="159"/>
      <c r="MQ66" s="159"/>
      <c r="MR66" s="159"/>
      <c r="MS66" s="159"/>
      <c r="MT66" s="159"/>
      <c r="MU66" s="159"/>
      <c r="MV66" s="159"/>
      <c r="MW66" s="159"/>
      <c r="MX66" s="159"/>
      <c r="MY66" s="159"/>
      <c r="MZ66" s="159"/>
      <c r="NA66" s="159"/>
      <c r="NB66" s="159"/>
      <c r="NC66" s="159"/>
      <c r="ND66" s="159"/>
      <c r="NE66" s="159"/>
      <c r="NF66" s="159"/>
      <c r="NG66" s="159"/>
      <c r="NH66" s="159"/>
      <c r="NI66" s="159"/>
      <c r="NJ66" s="159"/>
      <c r="NK66" s="159"/>
      <c r="NL66" s="159"/>
      <c r="NM66" s="159"/>
      <c r="NN66" s="159"/>
      <c r="NO66" s="159"/>
      <c r="NP66" s="159"/>
      <c r="NQ66" s="159"/>
      <c r="NR66" s="159"/>
      <c r="NS66" s="159"/>
      <c r="NT66" s="159"/>
      <c r="NU66" s="159"/>
      <c r="NV66" s="159"/>
      <c r="NW66" s="159"/>
      <c r="NX66" s="159"/>
      <c r="NY66" s="159"/>
      <c r="NZ66" s="159"/>
      <c r="OA66" s="159"/>
      <c r="OB66" s="159"/>
      <c r="OC66" s="159"/>
      <c r="OD66" s="159"/>
      <c r="OE66" s="159"/>
      <c r="OF66" s="159"/>
      <c r="OG66" s="159"/>
      <c r="OH66" s="159"/>
      <c r="OI66" s="159"/>
      <c r="OJ66" s="159"/>
      <c r="OK66" s="159"/>
      <c r="OL66" s="159"/>
      <c r="OM66" s="159"/>
      <c r="ON66" s="159"/>
      <c r="OO66" s="159"/>
      <c r="OP66" s="159"/>
      <c r="OQ66" s="159"/>
      <c r="OR66" s="159"/>
      <c r="OS66" s="159"/>
      <c r="OT66" s="159"/>
      <c r="OU66" s="159"/>
      <c r="OV66" s="159"/>
      <c r="OW66" s="159"/>
      <c r="OX66" s="159"/>
      <c r="OY66" s="159"/>
      <c r="OZ66" s="159"/>
      <c r="PA66" s="159"/>
      <c r="PB66" s="159"/>
      <c r="PC66" s="159"/>
      <c r="PD66" s="159"/>
      <c r="PE66" s="159"/>
      <c r="PF66" s="159"/>
      <c r="PG66" s="159"/>
      <c r="PH66" s="159"/>
      <c r="PI66" s="159"/>
      <c r="PJ66" s="159"/>
      <c r="PK66" s="159"/>
      <c r="PL66" s="159"/>
      <c r="PM66" s="159"/>
      <c r="PN66" s="159"/>
      <c r="PO66" s="159"/>
      <c r="PP66" s="159"/>
      <c r="PQ66" s="159"/>
      <c r="PR66" s="159"/>
      <c r="PS66" s="159"/>
      <c r="PT66" s="159"/>
      <c r="PU66" s="159"/>
      <c r="PV66" s="159"/>
      <c r="PW66" s="159"/>
      <c r="PX66" s="159"/>
      <c r="PY66" s="159"/>
      <c r="PZ66" s="159"/>
      <c r="QA66" s="159"/>
      <c r="QB66" s="159"/>
      <c r="QC66" s="159"/>
      <c r="QD66" s="159"/>
      <c r="QE66" s="159"/>
      <c r="QF66" s="159"/>
      <c r="QG66" s="159"/>
      <c r="QH66" s="159"/>
      <c r="QI66" s="159"/>
      <c r="QJ66" s="159"/>
      <c r="QK66" s="159"/>
      <c r="QL66" s="159"/>
      <c r="QM66" s="159"/>
      <c r="QN66" s="159"/>
      <c r="QO66" s="159"/>
      <c r="QP66" s="159"/>
      <c r="QQ66" s="159"/>
      <c r="QR66" s="159"/>
      <c r="QS66" s="159"/>
      <c r="QT66" s="159"/>
      <c r="QU66" s="159"/>
      <c r="QV66" s="159"/>
      <c r="QW66" s="159"/>
      <c r="QX66" s="159"/>
      <c r="QY66" s="159"/>
      <c r="QZ66" s="159"/>
      <c r="RA66" s="159"/>
      <c r="RB66" s="159"/>
      <c r="RC66" s="159"/>
      <c r="RD66" s="159"/>
      <c r="RE66" s="159"/>
      <c r="RF66" s="159"/>
      <c r="RG66" s="159"/>
      <c r="RH66" s="159"/>
      <c r="RI66" s="159"/>
      <c r="RJ66" s="159"/>
      <c r="RK66" s="159"/>
      <c r="RL66" s="159"/>
      <c r="RM66" s="159"/>
      <c r="RN66" s="159"/>
      <c r="RO66" s="159"/>
      <c r="RP66" s="159"/>
      <c r="RQ66" s="159"/>
      <c r="RR66" s="159"/>
      <c r="RS66" s="159"/>
      <c r="RT66" s="159"/>
      <c r="RU66" s="159"/>
      <c r="RV66" s="159"/>
      <c r="RW66" s="159"/>
      <c r="RX66" s="159"/>
      <c r="RY66" s="159"/>
      <c r="RZ66" s="159"/>
      <c r="SA66" s="159"/>
      <c r="SB66" s="159"/>
      <c r="SC66" s="159"/>
      <c r="SD66" s="159"/>
      <c r="SE66" s="159"/>
      <c r="SF66" s="159"/>
      <c r="SG66" s="159"/>
      <c r="SH66" s="159"/>
      <c r="SI66" s="159"/>
      <c r="SJ66" s="159"/>
      <c r="SK66" s="159"/>
      <c r="SL66" s="159"/>
      <c r="SM66" s="159"/>
      <c r="SN66" s="159"/>
      <c r="SO66" s="159"/>
      <c r="SP66" s="159"/>
      <c r="SQ66" s="159"/>
      <c r="SR66" s="159"/>
      <c r="SS66" s="159"/>
      <c r="ST66" s="159"/>
      <c r="SU66" s="159"/>
      <c r="SV66" s="159"/>
      <c r="SW66" s="159"/>
      <c r="SX66" s="159"/>
      <c r="SY66" s="159"/>
      <c r="SZ66" s="159"/>
      <c r="TA66" s="159"/>
      <c r="TB66" s="159"/>
      <c r="TC66" s="159"/>
      <c r="TD66" s="159"/>
      <c r="TE66" s="159"/>
      <c r="TF66" s="159"/>
      <c r="TG66" s="159"/>
      <c r="TH66" s="159"/>
      <c r="TI66" s="159"/>
      <c r="TJ66" s="159"/>
      <c r="TK66" s="159"/>
      <c r="TL66" s="159"/>
      <c r="TM66" s="159"/>
      <c r="TN66" s="159"/>
      <c r="TO66" s="159"/>
      <c r="TP66" s="159"/>
      <c r="TQ66" s="159"/>
      <c r="TR66" s="159"/>
      <c r="TS66" s="159"/>
      <c r="TT66" s="159"/>
      <c r="TU66" s="159"/>
      <c r="TV66" s="159"/>
      <c r="TW66" s="159"/>
      <c r="TX66" s="159"/>
      <c r="TY66" s="159"/>
      <c r="TZ66" s="159"/>
      <c r="UA66" s="159"/>
      <c r="UB66" s="159"/>
      <c r="UC66" s="159"/>
      <c r="UD66" s="159"/>
      <c r="UE66" s="159"/>
      <c r="UF66" s="159"/>
      <c r="UG66" s="159"/>
      <c r="UH66" s="159"/>
      <c r="UI66" s="159"/>
      <c r="UJ66" s="159"/>
      <c r="UK66" s="159"/>
      <c r="UL66" s="159"/>
      <c r="UM66" s="159"/>
      <c r="UN66" s="159"/>
      <c r="UO66" s="159"/>
      <c r="UP66" s="159"/>
      <c r="UQ66" s="159"/>
      <c r="UR66" s="159"/>
      <c r="US66" s="159"/>
      <c r="UT66" s="159"/>
      <c r="UU66" s="159"/>
      <c r="UV66" s="159"/>
      <c r="UW66" s="159"/>
      <c r="UX66" s="159"/>
      <c r="UY66" s="159"/>
      <c r="UZ66" s="159"/>
      <c r="VA66" s="159"/>
      <c r="VB66" s="159"/>
      <c r="VC66" s="159"/>
      <c r="VD66" s="159"/>
      <c r="VE66" s="159"/>
      <c r="VF66" s="159"/>
      <c r="VG66" s="159"/>
      <c r="VH66" s="159"/>
      <c r="VI66" s="159"/>
      <c r="VJ66" s="159"/>
      <c r="VK66" s="159"/>
      <c r="VL66" s="159"/>
      <c r="VM66" s="159"/>
      <c r="VN66" s="159"/>
      <c r="VO66" s="159"/>
      <c r="VP66" s="159"/>
      <c r="VQ66" s="159"/>
      <c r="VR66" s="159"/>
      <c r="VS66" s="159"/>
      <c r="VT66" s="159"/>
      <c r="VU66" s="159"/>
      <c r="VV66" s="159"/>
      <c r="VW66" s="159"/>
      <c r="VX66" s="159"/>
      <c r="VY66" s="159"/>
      <c r="VZ66" s="159"/>
      <c r="WA66" s="159"/>
      <c r="WB66" s="159"/>
      <c r="WC66" s="159"/>
      <c r="WD66" s="159"/>
      <c r="WE66" s="159"/>
      <c r="WF66" s="159"/>
      <c r="WG66" s="159"/>
      <c r="WH66" s="159"/>
      <c r="WI66" s="159"/>
      <c r="WJ66" s="159"/>
      <c r="WK66" s="159"/>
      <c r="WL66" s="159"/>
      <c r="WM66" s="159"/>
      <c r="WN66" s="159"/>
      <c r="WO66" s="159"/>
      <c r="WP66" s="159"/>
      <c r="WQ66" s="159"/>
      <c r="WR66" s="159"/>
      <c r="WS66" s="159"/>
      <c r="WT66" s="159"/>
      <c r="WU66" s="159"/>
      <c r="WV66" s="159"/>
      <c r="WW66" s="159"/>
      <c r="WX66" s="159"/>
      <c r="WY66" s="159"/>
      <c r="WZ66" s="159"/>
      <c r="XA66" s="159"/>
      <c r="XB66" s="159"/>
      <c r="XC66" s="159"/>
      <c r="XD66" s="159"/>
      <c r="XE66" s="159"/>
      <c r="XF66" s="159"/>
      <c r="XG66" s="159"/>
      <c r="XH66" s="159"/>
      <c r="XI66" s="159"/>
      <c r="XJ66" s="159"/>
      <c r="XK66" s="159"/>
      <c r="XL66" s="159"/>
      <c r="XM66" s="159"/>
      <c r="XN66" s="159"/>
      <c r="XO66" s="159"/>
      <c r="XP66" s="159"/>
      <c r="XQ66" s="159"/>
      <c r="XR66" s="159"/>
      <c r="XS66" s="159"/>
      <c r="XT66" s="159"/>
      <c r="XU66" s="159"/>
      <c r="XV66" s="159"/>
      <c r="XW66" s="159"/>
      <c r="XX66" s="159"/>
      <c r="XY66" s="159"/>
      <c r="XZ66" s="159"/>
      <c r="YA66" s="159"/>
      <c r="YB66" s="159"/>
      <c r="YC66" s="159"/>
      <c r="YD66" s="159"/>
      <c r="YE66" s="159"/>
      <c r="YF66" s="159"/>
      <c r="YG66" s="159"/>
      <c r="YH66" s="159"/>
      <c r="YI66" s="159"/>
      <c r="YJ66" s="159"/>
      <c r="YK66" s="159"/>
      <c r="YL66" s="159"/>
      <c r="YM66" s="159"/>
      <c r="YN66" s="159"/>
      <c r="YO66" s="159"/>
      <c r="YP66" s="159"/>
      <c r="YQ66" s="159"/>
      <c r="YR66" s="159"/>
      <c r="YS66" s="159"/>
      <c r="YT66" s="159"/>
      <c r="YU66" s="159"/>
      <c r="YV66" s="159"/>
      <c r="YW66" s="159"/>
      <c r="YX66" s="159"/>
      <c r="YY66" s="159"/>
      <c r="YZ66" s="159"/>
      <c r="ZA66" s="159"/>
      <c r="ZB66" s="159"/>
      <c r="ZC66" s="159"/>
      <c r="ZD66" s="159"/>
      <c r="ZE66" s="159"/>
      <c r="ZF66" s="159"/>
      <c r="ZG66" s="159"/>
      <c r="ZH66" s="159"/>
      <c r="ZI66" s="159"/>
      <c r="ZJ66" s="159"/>
      <c r="ZK66" s="159"/>
      <c r="ZL66" s="159"/>
      <c r="ZM66" s="159"/>
      <c r="ZN66" s="159"/>
      <c r="ZO66" s="159"/>
      <c r="ZP66" s="159"/>
      <c r="ZQ66" s="159"/>
      <c r="ZR66" s="159"/>
      <c r="ZS66" s="159"/>
      <c r="ZT66" s="159"/>
      <c r="ZU66" s="159"/>
      <c r="ZV66" s="159"/>
      <c r="ZW66" s="159"/>
      <c r="ZX66" s="159"/>
      <c r="ZY66" s="159"/>
      <c r="ZZ66" s="159"/>
      <c r="AAA66" s="159"/>
      <c r="AAB66" s="159"/>
      <c r="AAC66" s="159"/>
      <c r="AAD66" s="159"/>
      <c r="AAE66" s="159"/>
      <c r="AAF66" s="159"/>
      <c r="AAG66" s="159"/>
      <c r="AAH66" s="159"/>
      <c r="AAI66" s="159"/>
      <c r="AAJ66" s="159"/>
      <c r="AAK66" s="159"/>
      <c r="AAL66" s="159"/>
      <c r="AAM66" s="159"/>
      <c r="AAN66" s="159"/>
      <c r="AAO66" s="159"/>
      <c r="AAP66" s="159"/>
      <c r="AAQ66" s="159"/>
      <c r="AAR66" s="159"/>
      <c r="AAS66" s="159"/>
      <c r="AAT66" s="159"/>
      <c r="AAU66" s="159"/>
      <c r="AAV66" s="159"/>
      <c r="AAW66" s="159"/>
      <c r="AAX66" s="159"/>
      <c r="AAY66" s="159"/>
      <c r="AAZ66" s="159"/>
      <c r="ABA66" s="159"/>
      <c r="ABB66" s="159"/>
      <c r="ABC66" s="159"/>
      <c r="ABD66" s="159"/>
      <c r="ABE66" s="159"/>
      <c r="ABF66" s="159"/>
      <c r="ABG66" s="159"/>
      <c r="ABH66" s="159"/>
      <c r="ABI66" s="159"/>
      <c r="ABJ66" s="159"/>
      <c r="ABK66" s="159"/>
      <c r="ABL66" s="159"/>
      <c r="ABM66" s="159"/>
      <c r="ABN66" s="159"/>
      <c r="ABO66" s="159"/>
      <c r="ABP66" s="159"/>
      <c r="ABQ66" s="159"/>
      <c r="ABR66" s="159"/>
      <c r="ABS66" s="159"/>
      <c r="ABT66" s="159"/>
      <c r="ABU66" s="159"/>
      <c r="ABV66" s="159"/>
      <c r="ABW66" s="159"/>
      <c r="ABX66" s="159"/>
      <c r="ABY66" s="159"/>
      <c r="ABZ66" s="159"/>
      <c r="ACA66" s="159"/>
      <c r="ACB66" s="159"/>
      <c r="ACC66" s="159"/>
      <c r="ACD66" s="159"/>
      <c r="ACE66" s="159"/>
      <c r="ACF66" s="159"/>
      <c r="ACG66" s="159"/>
      <c r="ACH66" s="159"/>
      <c r="ACI66" s="159"/>
      <c r="ACJ66" s="159"/>
      <c r="ACK66" s="159"/>
      <c r="ACL66" s="159"/>
      <c r="ACM66" s="159"/>
      <c r="ACN66" s="159"/>
      <c r="ACO66" s="159"/>
      <c r="ACP66" s="159"/>
      <c r="ACQ66" s="159"/>
      <c r="ACR66" s="159"/>
      <c r="ACS66" s="159"/>
      <c r="ACT66" s="159"/>
      <c r="ACU66" s="159"/>
      <c r="ACV66" s="159"/>
      <c r="ACW66" s="159"/>
      <c r="ACX66" s="159"/>
      <c r="ACY66" s="159"/>
      <c r="ACZ66" s="159"/>
      <c r="ADA66" s="159"/>
      <c r="ADB66" s="159"/>
      <c r="ADC66" s="159"/>
      <c r="ADD66" s="159"/>
      <c r="ADE66" s="159"/>
      <c r="ADF66" s="159"/>
      <c r="ADG66" s="159"/>
      <c r="ADH66" s="159"/>
      <c r="ADI66" s="159"/>
      <c r="ADJ66" s="159"/>
      <c r="ADK66" s="159"/>
      <c r="ADL66" s="159"/>
      <c r="ADM66" s="159"/>
      <c r="ADN66" s="159"/>
      <c r="ADO66" s="159"/>
      <c r="ADP66" s="159"/>
      <c r="ADQ66" s="159"/>
      <c r="ADR66" s="159"/>
      <c r="ADS66" s="159"/>
      <c r="ADT66" s="159"/>
      <c r="ADU66" s="159"/>
      <c r="ADV66" s="159"/>
      <c r="ADW66" s="159"/>
      <c r="ADX66" s="159"/>
      <c r="ADY66" s="159"/>
      <c r="ADZ66" s="159"/>
      <c r="AEA66" s="159"/>
      <c r="AEB66" s="159"/>
      <c r="AEC66" s="159"/>
      <c r="AED66" s="159"/>
      <c r="AEE66" s="159"/>
      <c r="AEF66" s="159"/>
      <c r="AEG66" s="159"/>
      <c r="AEH66" s="159"/>
      <c r="AEI66" s="159"/>
      <c r="AEJ66" s="159"/>
      <c r="AEK66" s="159"/>
      <c r="AEL66" s="159"/>
      <c r="AEM66" s="159"/>
      <c r="AEN66" s="159"/>
      <c r="AEO66" s="159"/>
      <c r="AEP66" s="159"/>
      <c r="AEQ66" s="159"/>
      <c r="AER66" s="159"/>
      <c r="AES66" s="159"/>
      <c r="AET66" s="159"/>
      <c r="AEU66" s="159"/>
      <c r="AEV66" s="159"/>
      <c r="AEW66" s="159"/>
      <c r="AEX66" s="159"/>
      <c r="AEY66" s="159"/>
      <c r="AEZ66" s="159"/>
      <c r="AFA66" s="159"/>
      <c r="AFB66" s="159"/>
      <c r="AFC66" s="159"/>
      <c r="AFD66" s="159"/>
      <c r="AFE66" s="159"/>
      <c r="AFF66" s="159"/>
      <c r="AFG66" s="159"/>
      <c r="AFH66" s="159"/>
      <c r="AFI66" s="159"/>
      <c r="AFJ66" s="159"/>
      <c r="AFK66" s="159"/>
      <c r="AFL66" s="159"/>
      <c r="AFM66" s="159"/>
      <c r="AFN66" s="159"/>
      <c r="AFO66" s="159"/>
      <c r="AFP66" s="159"/>
      <c r="AFQ66" s="159"/>
      <c r="AFR66" s="159"/>
      <c r="AFS66" s="159"/>
      <c r="AFT66" s="159"/>
      <c r="AFU66" s="159"/>
      <c r="AFV66" s="159"/>
      <c r="AFW66" s="159"/>
      <c r="AFX66" s="159"/>
      <c r="AFY66" s="159"/>
      <c r="AFZ66" s="159"/>
      <c r="AGA66" s="159"/>
      <c r="AGB66" s="159"/>
      <c r="AGC66" s="159"/>
      <c r="AGD66" s="159"/>
      <c r="AGE66" s="159"/>
      <c r="AGF66" s="159"/>
      <c r="AGG66" s="159"/>
      <c r="AGH66" s="159"/>
      <c r="AGI66" s="159"/>
      <c r="AGJ66" s="159"/>
      <c r="AGK66" s="159"/>
      <c r="AGL66" s="159"/>
      <c r="AGM66" s="159"/>
      <c r="AGN66" s="159"/>
      <c r="AGO66" s="159"/>
      <c r="AGP66" s="159"/>
      <c r="AGQ66" s="159"/>
      <c r="AGR66" s="159"/>
      <c r="AGS66" s="159"/>
      <c r="AGT66" s="159"/>
      <c r="AGU66" s="159"/>
      <c r="AGV66" s="159"/>
      <c r="AGW66" s="159"/>
      <c r="AGX66" s="159"/>
      <c r="AGY66" s="159"/>
      <c r="AGZ66" s="159"/>
      <c r="AHA66" s="159"/>
      <c r="AHB66" s="159"/>
      <c r="AHC66" s="159"/>
      <c r="AHD66" s="159"/>
      <c r="AHE66" s="159"/>
      <c r="AHF66" s="159"/>
      <c r="AHG66" s="159"/>
      <c r="AHH66" s="159"/>
      <c r="AHI66" s="159"/>
      <c r="AHJ66" s="159"/>
      <c r="AHK66" s="159"/>
      <c r="AHL66" s="159"/>
      <c r="AHM66" s="159"/>
      <c r="AHN66" s="159"/>
      <c r="AHO66" s="159"/>
      <c r="AHP66" s="159"/>
      <c r="AHQ66" s="159"/>
      <c r="AHR66" s="159"/>
      <c r="AHS66" s="159"/>
      <c r="AHT66" s="159"/>
      <c r="AHU66" s="159"/>
      <c r="AHV66" s="159"/>
      <c r="AHW66" s="159"/>
      <c r="AHX66" s="159"/>
      <c r="AHY66" s="159"/>
      <c r="AHZ66" s="159"/>
      <c r="AIA66" s="159"/>
      <c r="AIB66" s="159"/>
      <c r="AIC66" s="159"/>
      <c r="AID66" s="159"/>
      <c r="AIE66" s="159"/>
      <c r="AIF66" s="159"/>
      <c r="AIG66" s="159"/>
      <c r="AIH66" s="159"/>
      <c r="AII66" s="159"/>
      <c r="AIJ66" s="159"/>
      <c r="AIK66" s="159"/>
      <c r="AIL66" s="159"/>
      <c r="AIM66" s="159"/>
      <c r="AIN66" s="159"/>
      <c r="AIO66" s="159"/>
      <c r="AIP66" s="159"/>
      <c r="AIQ66" s="159"/>
      <c r="AIR66" s="159"/>
      <c r="AIS66" s="159"/>
      <c r="AIT66" s="159"/>
      <c r="AIU66" s="159"/>
      <c r="AIV66" s="159"/>
      <c r="AIW66" s="159"/>
      <c r="AIX66" s="159"/>
      <c r="AIY66" s="159"/>
      <c r="AIZ66" s="159"/>
      <c r="AJA66" s="159"/>
      <c r="AJB66" s="159"/>
      <c r="AJC66" s="159"/>
      <c r="AJD66" s="159"/>
      <c r="AJE66" s="159"/>
      <c r="AJF66" s="159"/>
      <c r="AJG66" s="159"/>
      <c r="AJH66" s="159"/>
      <c r="AJI66" s="159"/>
      <c r="AJJ66" s="159"/>
      <c r="AJK66" s="159"/>
      <c r="AJL66" s="159"/>
      <c r="AJM66" s="159"/>
      <c r="AJN66" s="159"/>
      <c r="AJO66" s="159"/>
      <c r="AJP66" s="159"/>
      <c r="AJQ66" s="159"/>
      <c r="AJR66" s="159"/>
      <c r="AJS66" s="159"/>
      <c r="AJT66" s="159"/>
      <c r="AJU66" s="159"/>
      <c r="AJV66" s="159"/>
      <c r="AJW66" s="159"/>
      <c r="AJX66" s="159"/>
      <c r="AJY66" s="159"/>
      <c r="AJZ66" s="159"/>
      <c r="AKA66" s="159"/>
      <c r="AKB66" s="159"/>
      <c r="AKC66" s="159"/>
      <c r="AKD66" s="159"/>
      <c r="AKE66" s="159"/>
      <c r="AKF66" s="159"/>
      <c r="AKG66" s="159"/>
      <c r="AKH66" s="159"/>
      <c r="AKI66" s="159"/>
      <c r="AKJ66" s="159"/>
      <c r="AKK66" s="159"/>
      <c r="AKL66" s="159"/>
      <c r="AKM66" s="159"/>
      <c r="AKN66" s="159"/>
      <c r="AKO66" s="159"/>
      <c r="AKP66" s="159"/>
      <c r="AKQ66" s="159"/>
      <c r="AKR66" s="159"/>
      <c r="AKS66" s="159"/>
      <c r="AKT66" s="159"/>
      <c r="AKU66" s="159"/>
      <c r="AKV66" s="159"/>
      <c r="AKW66" s="159"/>
      <c r="AKX66" s="159"/>
      <c r="AKY66" s="159"/>
      <c r="AKZ66" s="159"/>
      <c r="ALA66" s="159"/>
      <c r="ALB66" s="159"/>
      <c r="ALC66" s="159"/>
      <c r="ALD66" s="159"/>
      <c r="ALE66" s="159"/>
      <c r="ALF66" s="159"/>
      <c r="ALG66" s="159"/>
      <c r="ALH66" s="159"/>
      <c r="ALI66" s="159"/>
      <c r="ALJ66" s="159"/>
      <c r="ALK66" s="159"/>
      <c r="ALL66" s="159"/>
      <c r="ALM66" s="159"/>
      <c r="ALN66" s="159"/>
      <c r="ALO66" s="159"/>
      <c r="ALP66" s="159"/>
      <c r="ALQ66" s="159"/>
      <c r="ALR66" s="159"/>
      <c r="ALS66" s="159"/>
      <c r="ALT66" s="159"/>
      <c r="ALU66" s="159"/>
      <c r="ALV66" s="159"/>
      <c r="ALW66" s="159"/>
      <c r="ALX66" s="159"/>
      <c r="ALY66" s="159"/>
      <c r="ALZ66" s="159"/>
      <c r="AMA66" s="159"/>
      <c r="AMB66" s="159"/>
      <c r="AMC66" s="159"/>
      <c r="AMD66" s="159"/>
      <c r="AME66" s="159"/>
      <c r="AMF66" s="159"/>
      <c r="AMG66" s="159"/>
      <c r="AMH66" s="159"/>
      <c r="AMI66" s="159"/>
      <c r="AMJ66" s="159"/>
      <c r="AMK66" s="159"/>
      <c r="AML66" s="159"/>
      <c r="AMM66" s="159"/>
      <c r="AMN66" s="159"/>
      <c r="AMO66" s="159"/>
    </row>
    <row r="67" spans="1:1029" s="161" customFormat="1" ht="25.5" x14ac:dyDescent="0.25">
      <c r="A67" s="138">
        <v>46114</v>
      </c>
      <c r="B67" s="99" t="s">
        <v>47</v>
      </c>
      <c r="C67" s="99" t="s">
        <v>51</v>
      </c>
      <c r="D67" s="160" t="s">
        <v>168</v>
      </c>
      <c r="E67" s="118" t="s">
        <v>8</v>
      </c>
      <c r="F67" s="99" t="s">
        <v>30</v>
      </c>
      <c r="G67" s="99" t="s">
        <v>31</v>
      </c>
      <c r="H67" s="141" t="b">
        <f t="shared" si="0"/>
        <v>0</v>
      </c>
      <c r="I67" s="118" t="s">
        <v>32</v>
      </c>
      <c r="J67" s="99" t="s">
        <v>38</v>
      </c>
      <c r="K67" s="99" t="s">
        <v>16</v>
      </c>
      <c r="L67" s="141" t="b">
        <f t="shared" si="1"/>
        <v>0</v>
      </c>
      <c r="M67" s="118" t="s">
        <v>87</v>
      </c>
      <c r="N67" s="99" t="s">
        <v>38</v>
      </c>
      <c r="O67" s="99" t="s">
        <v>16</v>
      </c>
      <c r="P67" s="141" t="b">
        <f t="shared" si="2"/>
        <v>0</v>
      </c>
      <c r="Q67" s="149" t="s">
        <v>149</v>
      </c>
      <c r="R67" s="99" t="s">
        <v>51</v>
      </c>
      <c r="S67" s="99" t="str">
        <f>G67</f>
        <v>Pommes</v>
      </c>
      <c r="T67" s="141">
        <f t="shared" si="3"/>
        <v>0.5</v>
      </c>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c r="CB67" s="159"/>
      <c r="CC67" s="159"/>
      <c r="CD67" s="159"/>
      <c r="CE67" s="159"/>
      <c r="CF67" s="159"/>
      <c r="CG67" s="159"/>
      <c r="CH67" s="159"/>
      <c r="CI67" s="159"/>
      <c r="CJ67" s="159"/>
      <c r="CK67" s="159"/>
      <c r="CL67" s="159"/>
      <c r="CM67" s="159"/>
      <c r="CN67" s="159"/>
      <c r="CO67" s="159"/>
      <c r="CP67" s="159"/>
      <c r="CQ67" s="159"/>
      <c r="CR67" s="159"/>
      <c r="CS67" s="159"/>
      <c r="CT67" s="159"/>
      <c r="CU67" s="159"/>
      <c r="CV67" s="159"/>
      <c r="CW67" s="159"/>
      <c r="CX67" s="159"/>
      <c r="CY67" s="159"/>
      <c r="CZ67" s="159"/>
      <c r="DA67" s="159"/>
      <c r="DB67" s="159"/>
      <c r="DC67" s="159"/>
      <c r="DD67" s="159"/>
      <c r="DE67" s="159"/>
      <c r="DF67" s="159"/>
      <c r="DG67" s="159"/>
      <c r="DH67" s="159"/>
      <c r="DI67" s="159"/>
      <c r="DJ67" s="159"/>
      <c r="DK67" s="159"/>
      <c r="DL67" s="159"/>
      <c r="DM67" s="159"/>
      <c r="DN67" s="159"/>
      <c r="DO67" s="159"/>
      <c r="DP67" s="159"/>
      <c r="DQ67" s="159"/>
      <c r="DR67" s="159"/>
      <c r="DS67" s="159"/>
      <c r="DT67" s="159"/>
      <c r="DU67" s="159"/>
      <c r="DV67" s="159"/>
      <c r="DW67" s="159"/>
      <c r="DX67" s="159"/>
      <c r="DY67" s="159"/>
      <c r="DZ67" s="159"/>
      <c r="EA67" s="159"/>
      <c r="EB67" s="159"/>
      <c r="EC67" s="159"/>
      <c r="ED67" s="159"/>
      <c r="EE67" s="159"/>
      <c r="EF67" s="159"/>
      <c r="EG67" s="159"/>
      <c r="EH67" s="159"/>
      <c r="EI67" s="159"/>
      <c r="EJ67" s="159"/>
      <c r="EK67" s="159"/>
      <c r="EL67" s="159"/>
      <c r="EM67" s="159"/>
      <c r="EN67" s="159"/>
      <c r="EO67" s="159"/>
      <c r="EP67" s="159"/>
      <c r="EQ67" s="159"/>
      <c r="ER67" s="159"/>
      <c r="ES67" s="159"/>
      <c r="ET67" s="159"/>
      <c r="EU67" s="159"/>
      <c r="EV67" s="159"/>
      <c r="EW67" s="159"/>
      <c r="EX67" s="159"/>
      <c r="EY67" s="159"/>
      <c r="EZ67" s="159"/>
      <c r="FA67" s="159"/>
      <c r="FB67" s="159"/>
      <c r="FC67" s="159"/>
      <c r="FD67" s="159"/>
      <c r="FE67" s="159"/>
      <c r="FF67" s="159"/>
      <c r="FG67" s="159"/>
      <c r="FH67" s="159"/>
      <c r="FI67" s="159"/>
      <c r="FJ67" s="159"/>
      <c r="FK67" s="159"/>
      <c r="FL67" s="159"/>
      <c r="FM67" s="159"/>
      <c r="FN67" s="159"/>
      <c r="FO67" s="159"/>
      <c r="FP67" s="159"/>
      <c r="FQ67" s="159"/>
      <c r="FR67" s="159"/>
      <c r="FS67" s="159"/>
      <c r="FT67" s="159"/>
      <c r="FU67" s="159"/>
      <c r="FV67" s="159"/>
      <c r="FW67" s="159"/>
      <c r="FX67" s="159"/>
      <c r="FY67" s="159"/>
      <c r="FZ67" s="159"/>
      <c r="GA67" s="159"/>
      <c r="GB67" s="159"/>
      <c r="GC67" s="159"/>
      <c r="GD67" s="159"/>
      <c r="GE67" s="159"/>
      <c r="GF67" s="159"/>
      <c r="GG67" s="159"/>
      <c r="GH67" s="159"/>
      <c r="GI67" s="159"/>
      <c r="GJ67" s="159"/>
      <c r="GK67" s="159"/>
      <c r="GL67" s="159"/>
      <c r="GM67" s="159"/>
      <c r="GN67" s="159"/>
      <c r="GO67" s="159"/>
      <c r="GP67" s="159"/>
      <c r="GQ67" s="159"/>
      <c r="GR67" s="159"/>
      <c r="GS67" s="159"/>
      <c r="GT67" s="159"/>
      <c r="GU67" s="159"/>
      <c r="GV67" s="159"/>
      <c r="GW67" s="159"/>
      <c r="GX67" s="159"/>
      <c r="GY67" s="159"/>
      <c r="GZ67" s="159"/>
      <c r="HA67" s="159"/>
      <c r="HB67" s="159"/>
      <c r="HC67" s="159"/>
      <c r="HD67" s="159"/>
      <c r="HE67" s="159"/>
      <c r="HF67" s="159"/>
      <c r="HG67" s="159"/>
      <c r="HH67" s="159"/>
      <c r="HI67" s="159"/>
      <c r="HJ67" s="159"/>
      <c r="HK67" s="159"/>
      <c r="HL67" s="159"/>
      <c r="HM67" s="159"/>
      <c r="HN67" s="159"/>
      <c r="HO67" s="159"/>
      <c r="HP67" s="159"/>
      <c r="HQ67" s="159"/>
      <c r="HR67" s="159"/>
      <c r="HS67" s="159"/>
      <c r="HT67" s="159"/>
      <c r="HU67" s="159"/>
      <c r="HV67" s="159"/>
      <c r="HW67" s="159"/>
      <c r="HX67" s="159"/>
      <c r="HY67" s="159"/>
      <c r="HZ67" s="159"/>
      <c r="IA67" s="159"/>
      <c r="IB67" s="159"/>
      <c r="IC67" s="159"/>
      <c r="ID67" s="159"/>
      <c r="IE67" s="159"/>
      <c r="IF67" s="159"/>
      <c r="IG67" s="159"/>
      <c r="IH67" s="159"/>
      <c r="II67" s="159"/>
      <c r="IJ67" s="159"/>
      <c r="IK67" s="159"/>
      <c r="IL67" s="159"/>
      <c r="IM67" s="159"/>
      <c r="IN67" s="159"/>
      <c r="IO67" s="159"/>
      <c r="IP67" s="159"/>
      <c r="IQ67" s="159"/>
      <c r="IR67" s="159"/>
      <c r="IS67" s="159"/>
      <c r="IT67" s="159"/>
      <c r="IU67" s="159"/>
      <c r="IV67" s="159"/>
      <c r="IW67" s="159"/>
      <c r="IX67" s="159"/>
      <c r="IY67" s="159"/>
      <c r="IZ67" s="159"/>
      <c r="JA67" s="159"/>
      <c r="JB67" s="159"/>
      <c r="JC67" s="159"/>
      <c r="JD67" s="159"/>
      <c r="JE67" s="159"/>
      <c r="JF67" s="159"/>
      <c r="JG67" s="159"/>
      <c r="JH67" s="159"/>
      <c r="JI67" s="159"/>
      <c r="JJ67" s="159"/>
      <c r="JK67" s="159"/>
      <c r="JL67" s="159"/>
      <c r="JM67" s="159"/>
      <c r="JN67" s="159"/>
      <c r="JO67" s="159"/>
      <c r="JP67" s="159"/>
      <c r="JQ67" s="159"/>
      <c r="JR67" s="159"/>
      <c r="JS67" s="159"/>
      <c r="JT67" s="159"/>
      <c r="JU67" s="159"/>
      <c r="JV67" s="159"/>
      <c r="JW67" s="159"/>
      <c r="JX67" s="159"/>
      <c r="JY67" s="159"/>
      <c r="JZ67" s="159"/>
      <c r="KA67" s="159"/>
      <c r="KB67" s="159"/>
      <c r="KC67" s="159"/>
      <c r="KD67" s="159"/>
      <c r="KE67" s="159"/>
      <c r="KF67" s="159"/>
      <c r="KG67" s="159"/>
      <c r="KH67" s="159"/>
      <c r="KI67" s="159"/>
      <c r="KJ67" s="159"/>
      <c r="KK67" s="159"/>
      <c r="KL67" s="159"/>
      <c r="KM67" s="159"/>
      <c r="KN67" s="159"/>
      <c r="KO67" s="159"/>
      <c r="KP67" s="159"/>
      <c r="KQ67" s="159"/>
      <c r="KR67" s="159"/>
      <c r="KS67" s="159"/>
      <c r="KT67" s="159"/>
      <c r="KU67" s="159"/>
      <c r="KV67" s="159"/>
      <c r="KW67" s="159"/>
      <c r="KX67" s="159"/>
      <c r="KY67" s="159"/>
      <c r="KZ67" s="159"/>
      <c r="LA67" s="159"/>
      <c r="LB67" s="159"/>
      <c r="LC67" s="159"/>
      <c r="LD67" s="159"/>
      <c r="LE67" s="159"/>
      <c r="LF67" s="159"/>
      <c r="LG67" s="159"/>
      <c r="LH67" s="159"/>
      <c r="LI67" s="159"/>
      <c r="LJ67" s="159"/>
      <c r="LK67" s="159"/>
      <c r="LL67" s="159"/>
      <c r="LM67" s="159"/>
      <c r="LN67" s="159"/>
      <c r="LO67" s="159"/>
      <c r="LP67" s="159"/>
      <c r="LQ67" s="159"/>
      <c r="LR67" s="159"/>
      <c r="LS67" s="159"/>
      <c r="LT67" s="159"/>
      <c r="LU67" s="159"/>
      <c r="LV67" s="159"/>
      <c r="LW67" s="159"/>
      <c r="LX67" s="159"/>
      <c r="LY67" s="159"/>
      <c r="LZ67" s="159"/>
      <c r="MA67" s="159"/>
      <c r="MB67" s="159"/>
      <c r="MC67" s="159"/>
      <c r="MD67" s="159"/>
      <c r="ME67" s="159"/>
      <c r="MF67" s="159"/>
      <c r="MG67" s="159"/>
      <c r="MH67" s="159"/>
      <c r="MI67" s="159"/>
      <c r="MJ67" s="159"/>
      <c r="MK67" s="159"/>
      <c r="ML67" s="159"/>
      <c r="MM67" s="159"/>
      <c r="MN67" s="159"/>
      <c r="MO67" s="159"/>
      <c r="MP67" s="159"/>
      <c r="MQ67" s="159"/>
      <c r="MR67" s="159"/>
      <c r="MS67" s="159"/>
      <c r="MT67" s="159"/>
      <c r="MU67" s="159"/>
      <c r="MV67" s="159"/>
      <c r="MW67" s="159"/>
      <c r="MX67" s="159"/>
      <c r="MY67" s="159"/>
      <c r="MZ67" s="159"/>
      <c r="NA67" s="159"/>
      <c r="NB67" s="159"/>
      <c r="NC67" s="159"/>
      <c r="ND67" s="159"/>
      <c r="NE67" s="159"/>
      <c r="NF67" s="159"/>
      <c r="NG67" s="159"/>
      <c r="NH67" s="159"/>
      <c r="NI67" s="159"/>
      <c r="NJ67" s="159"/>
      <c r="NK67" s="159"/>
      <c r="NL67" s="159"/>
      <c r="NM67" s="159"/>
      <c r="NN67" s="159"/>
      <c r="NO67" s="159"/>
      <c r="NP67" s="159"/>
      <c r="NQ67" s="159"/>
      <c r="NR67" s="159"/>
      <c r="NS67" s="159"/>
      <c r="NT67" s="159"/>
      <c r="NU67" s="159"/>
      <c r="NV67" s="159"/>
      <c r="NW67" s="159"/>
      <c r="NX67" s="159"/>
      <c r="NY67" s="159"/>
      <c r="NZ67" s="159"/>
      <c r="OA67" s="159"/>
      <c r="OB67" s="159"/>
      <c r="OC67" s="159"/>
      <c r="OD67" s="159"/>
      <c r="OE67" s="159"/>
      <c r="OF67" s="159"/>
      <c r="OG67" s="159"/>
      <c r="OH67" s="159"/>
      <c r="OI67" s="159"/>
      <c r="OJ67" s="159"/>
      <c r="OK67" s="159"/>
      <c r="OL67" s="159"/>
      <c r="OM67" s="159"/>
      <c r="ON67" s="159"/>
      <c r="OO67" s="159"/>
      <c r="OP67" s="159"/>
      <c r="OQ67" s="159"/>
      <c r="OR67" s="159"/>
      <c r="OS67" s="159"/>
      <c r="OT67" s="159"/>
      <c r="OU67" s="159"/>
      <c r="OV67" s="159"/>
      <c r="OW67" s="159"/>
      <c r="OX67" s="159"/>
      <c r="OY67" s="159"/>
      <c r="OZ67" s="159"/>
      <c r="PA67" s="159"/>
      <c r="PB67" s="159"/>
      <c r="PC67" s="159"/>
      <c r="PD67" s="159"/>
      <c r="PE67" s="159"/>
      <c r="PF67" s="159"/>
      <c r="PG67" s="159"/>
      <c r="PH67" s="159"/>
      <c r="PI67" s="159"/>
      <c r="PJ67" s="159"/>
      <c r="PK67" s="159"/>
      <c r="PL67" s="159"/>
      <c r="PM67" s="159"/>
      <c r="PN67" s="159"/>
      <c r="PO67" s="159"/>
      <c r="PP67" s="159"/>
      <c r="PQ67" s="159"/>
      <c r="PR67" s="159"/>
      <c r="PS67" s="159"/>
      <c r="PT67" s="159"/>
      <c r="PU67" s="159"/>
      <c r="PV67" s="159"/>
      <c r="PW67" s="159"/>
      <c r="PX67" s="159"/>
      <c r="PY67" s="159"/>
      <c r="PZ67" s="159"/>
      <c r="QA67" s="159"/>
      <c r="QB67" s="159"/>
      <c r="QC67" s="159"/>
      <c r="QD67" s="159"/>
      <c r="QE67" s="159"/>
      <c r="QF67" s="159"/>
      <c r="QG67" s="159"/>
      <c r="QH67" s="159"/>
      <c r="QI67" s="159"/>
      <c r="QJ67" s="159"/>
      <c r="QK67" s="159"/>
      <c r="QL67" s="159"/>
      <c r="QM67" s="159"/>
      <c r="QN67" s="159"/>
      <c r="QO67" s="159"/>
      <c r="QP67" s="159"/>
      <c r="QQ67" s="159"/>
      <c r="QR67" s="159"/>
      <c r="QS67" s="159"/>
      <c r="QT67" s="159"/>
      <c r="QU67" s="159"/>
      <c r="QV67" s="159"/>
      <c r="QW67" s="159"/>
      <c r="QX67" s="159"/>
      <c r="QY67" s="159"/>
      <c r="QZ67" s="159"/>
      <c r="RA67" s="159"/>
      <c r="RB67" s="159"/>
      <c r="RC67" s="159"/>
      <c r="RD67" s="159"/>
      <c r="RE67" s="159"/>
      <c r="RF67" s="159"/>
      <c r="RG67" s="159"/>
      <c r="RH67" s="159"/>
      <c r="RI67" s="159"/>
      <c r="RJ67" s="159"/>
      <c r="RK67" s="159"/>
      <c r="RL67" s="159"/>
      <c r="RM67" s="159"/>
      <c r="RN67" s="159"/>
      <c r="RO67" s="159"/>
      <c r="RP67" s="159"/>
      <c r="RQ67" s="159"/>
      <c r="RR67" s="159"/>
      <c r="RS67" s="159"/>
      <c r="RT67" s="159"/>
      <c r="RU67" s="159"/>
      <c r="RV67" s="159"/>
      <c r="RW67" s="159"/>
      <c r="RX67" s="159"/>
      <c r="RY67" s="159"/>
      <c r="RZ67" s="159"/>
      <c r="SA67" s="159"/>
      <c r="SB67" s="159"/>
      <c r="SC67" s="159"/>
      <c r="SD67" s="159"/>
      <c r="SE67" s="159"/>
      <c r="SF67" s="159"/>
      <c r="SG67" s="159"/>
      <c r="SH67" s="159"/>
      <c r="SI67" s="159"/>
      <c r="SJ67" s="159"/>
      <c r="SK67" s="159"/>
      <c r="SL67" s="159"/>
      <c r="SM67" s="159"/>
      <c r="SN67" s="159"/>
      <c r="SO67" s="159"/>
      <c r="SP67" s="159"/>
      <c r="SQ67" s="159"/>
      <c r="SR67" s="159"/>
      <c r="SS67" s="159"/>
      <c r="ST67" s="159"/>
      <c r="SU67" s="159"/>
      <c r="SV67" s="159"/>
      <c r="SW67" s="159"/>
      <c r="SX67" s="159"/>
      <c r="SY67" s="159"/>
      <c r="SZ67" s="159"/>
      <c r="TA67" s="159"/>
      <c r="TB67" s="159"/>
      <c r="TC67" s="159"/>
      <c r="TD67" s="159"/>
      <c r="TE67" s="159"/>
      <c r="TF67" s="159"/>
      <c r="TG67" s="159"/>
      <c r="TH67" s="159"/>
      <c r="TI67" s="159"/>
      <c r="TJ67" s="159"/>
      <c r="TK67" s="159"/>
      <c r="TL67" s="159"/>
      <c r="TM67" s="159"/>
      <c r="TN67" s="159"/>
      <c r="TO67" s="159"/>
      <c r="TP67" s="159"/>
      <c r="TQ67" s="159"/>
      <c r="TR67" s="159"/>
      <c r="TS67" s="159"/>
      <c r="TT67" s="159"/>
      <c r="TU67" s="159"/>
      <c r="TV67" s="159"/>
      <c r="TW67" s="159"/>
      <c r="TX67" s="159"/>
      <c r="TY67" s="159"/>
      <c r="TZ67" s="159"/>
      <c r="UA67" s="159"/>
      <c r="UB67" s="159"/>
      <c r="UC67" s="159"/>
      <c r="UD67" s="159"/>
      <c r="UE67" s="159"/>
      <c r="UF67" s="159"/>
      <c r="UG67" s="159"/>
      <c r="UH67" s="159"/>
      <c r="UI67" s="159"/>
      <c r="UJ67" s="159"/>
      <c r="UK67" s="159"/>
      <c r="UL67" s="159"/>
      <c r="UM67" s="159"/>
      <c r="UN67" s="159"/>
      <c r="UO67" s="159"/>
      <c r="UP67" s="159"/>
      <c r="UQ67" s="159"/>
      <c r="UR67" s="159"/>
      <c r="US67" s="159"/>
      <c r="UT67" s="159"/>
      <c r="UU67" s="159"/>
      <c r="UV67" s="159"/>
      <c r="UW67" s="159"/>
      <c r="UX67" s="159"/>
      <c r="UY67" s="159"/>
      <c r="UZ67" s="159"/>
      <c r="VA67" s="159"/>
      <c r="VB67" s="159"/>
      <c r="VC67" s="159"/>
      <c r="VD67" s="159"/>
      <c r="VE67" s="159"/>
      <c r="VF67" s="159"/>
      <c r="VG67" s="159"/>
      <c r="VH67" s="159"/>
      <c r="VI67" s="159"/>
      <c r="VJ67" s="159"/>
      <c r="VK67" s="159"/>
      <c r="VL67" s="159"/>
      <c r="VM67" s="159"/>
      <c r="VN67" s="159"/>
      <c r="VO67" s="159"/>
      <c r="VP67" s="159"/>
      <c r="VQ67" s="159"/>
      <c r="VR67" s="159"/>
      <c r="VS67" s="159"/>
      <c r="VT67" s="159"/>
      <c r="VU67" s="159"/>
      <c r="VV67" s="159"/>
      <c r="VW67" s="159"/>
      <c r="VX67" s="159"/>
      <c r="VY67" s="159"/>
      <c r="VZ67" s="159"/>
      <c r="WA67" s="159"/>
      <c r="WB67" s="159"/>
      <c r="WC67" s="159"/>
      <c r="WD67" s="159"/>
      <c r="WE67" s="159"/>
      <c r="WF67" s="159"/>
      <c r="WG67" s="159"/>
      <c r="WH67" s="159"/>
      <c r="WI67" s="159"/>
      <c r="WJ67" s="159"/>
      <c r="WK67" s="159"/>
      <c r="WL67" s="159"/>
      <c r="WM67" s="159"/>
      <c r="WN67" s="159"/>
      <c r="WO67" s="159"/>
      <c r="WP67" s="159"/>
      <c r="WQ67" s="159"/>
      <c r="WR67" s="159"/>
      <c r="WS67" s="159"/>
      <c r="WT67" s="159"/>
      <c r="WU67" s="159"/>
      <c r="WV67" s="159"/>
      <c r="WW67" s="159"/>
      <c r="WX67" s="159"/>
      <c r="WY67" s="159"/>
      <c r="WZ67" s="159"/>
      <c r="XA67" s="159"/>
      <c r="XB67" s="159"/>
      <c r="XC67" s="159"/>
      <c r="XD67" s="159"/>
      <c r="XE67" s="159"/>
      <c r="XF67" s="159"/>
      <c r="XG67" s="159"/>
      <c r="XH67" s="159"/>
      <c r="XI67" s="159"/>
      <c r="XJ67" s="159"/>
      <c r="XK67" s="159"/>
      <c r="XL67" s="159"/>
      <c r="XM67" s="159"/>
      <c r="XN67" s="159"/>
      <c r="XO67" s="159"/>
      <c r="XP67" s="159"/>
      <c r="XQ67" s="159"/>
      <c r="XR67" s="159"/>
      <c r="XS67" s="159"/>
      <c r="XT67" s="159"/>
      <c r="XU67" s="159"/>
      <c r="XV67" s="159"/>
      <c r="XW67" s="159"/>
      <c r="XX67" s="159"/>
      <c r="XY67" s="159"/>
      <c r="XZ67" s="159"/>
      <c r="YA67" s="159"/>
      <c r="YB67" s="159"/>
      <c r="YC67" s="159"/>
      <c r="YD67" s="159"/>
      <c r="YE67" s="159"/>
      <c r="YF67" s="159"/>
      <c r="YG67" s="159"/>
      <c r="YH67" s="159"/>
      <c r="YI67" s="159"/>
      <c r="YJ67" s="159"/>
      <c r="YK67" s="159"/>
      <c r="YL67" s="159"/>
      <c r="YM67" s="159"/>
      <c r="YN67" s="159"/>
      <c r="YO67" s="159"/>
      <c r="YP67" s="159"/>
      <c r="YQ67" s="159"/>
      <c r="YR67" s="159"/>
      <c r="YS67" s="159"/>
      <c r="YT67" s="159"/>
      <c r="YU67" s="159"/>
      <c r="YV67" s="159"/>
      <c r="YW67" s="159"/>
      <c r="YX67" s="159"/>
      <c r="YY67" s="159"/>
      <c r="YZ67" s="159"/>
      <c r="ZA67" s="159"/>
      <c r="ZB67" s="159"/>
      <c r="ZC67" s="159"/>
      <c r="ZD67" s="159"/>
      <c r="ZE67" s="159"/>
      <c r="ZF67" s="159"/>
      <c r="ZG67" s="159"/>
      <c r="ZH67" s="159"/>
      <c r="ZI67" s="159"/>
      <c r="ZJ67" s="159"/>
      <c r="ZK67" s="159"/>
      <c r="ZL67" s="159"/>
      <c r="ZM67" s="159"/>
      <c r="ZN67" s="159"/>
      <c r="ZO67" s="159"/>
      <c r="ZP67" s="159"/>
      <c r="ZQ67" s="159"/>
      <c r="ZR67" s="159"/>
      <c r="ZS67" s="159"/>
      <c r="ZT67" s="159"/>
      <c r="ZU67" s="159"/>
      <c r="ZV67" s="159"/>
      <c r="ZW67" s="159"/>
      <c r="ZX67" s="159"/>
      <c r="ZY67" s="159"/>
      <c r="ZZ67" s="159"/>
      <c r="AAA67" s="159"/>
      <c r="AAB67" s="159"/>
      <c r="AAC67" s="159"/>
      <c r="AAD67" s="159"/>
      <c r="AAE67" s="159"/>
      <c r="AAF67" s="159"/>
      <c r="AAG67" s="159"/>
      <c r="AAH67" s="159"/>
      <c r="AAI67" s="159"/>
      <c r="AAJ67" s="159"/>
      <c r="AAK67" s="159"/>
      <c r="AAL67" s="159"/>
      <c r="AAM67" s="159"/>
      <c r="AAN67" s="159"/>
      <c r="AAO67" s="159"/>
      <c r="AAP67" s="159"/>
      <c r="AAQ67" s="159"/>
      <c r="AAR67" s="159"/>
      <c r="AAS67" s="159"/>
      <c r="AAT67" s="159"/>
      <c r="AAU67" s="159"/>
      <c r="AAV67" s="159"/>
      <c r="AAW67" s="159"/>
      <c r="AAX67" s="159"/>
      <c r="AAY67" s="159"/>
      <c r="AAZ67" s="159"/>
      <c r="ABA67" s="159"/>
      <c r="ABB67" s="159"/>
      <c r="ABC67" s="159"/>
      <c r="ABD67" s="159"/>
      <c r="ABE67" s="159"/>
      <c r="ABF67" s="159"/>
      <c r="ABG67" s="159"/>
      <c r="ABH67" s="159"/>
      <c r="ABI67" s="159"/>
      <c r="ABJ67" s="159"/>
      <c r="ABK67" s="159"/>
      <c r="ABL67" s="159"/>
      <c r="ABM67" s="159"/>
      <c r="ABN67" s="159"/>
      <c r="ABO67" s="159"/>
      <c r="ABP67" s="159"/>
      <c r="ABQ67" s="159"/>
      <c r="ABR67" s="159"/>
      <c r="ABS67" s="159"/>
      <c r="ABT67" s="159"/>
      <c r="ABU67" s="159"/>
      <c r="ABV67" s="159"/>
      <c r="ABW67" s="159"/>
      <c r="ABX67" s="159"/>
      <c r="ABY67" s="159"/>
      <c r="ABZ67" s="159"/>
      <c r="ACA67" s="159"/>
      <c r="ACB67" s="159"/>
      <c r="ACC67" s="159"/>
      <c r="ACD67" s="159"/>
      <c r="ACE67" s="159"/>
      <c r="ACF67" s="159"/>
      <c r="ACG67" s="159"/>
      <c r="ACH67" s="159"/>
      <c r="ACI67" s="159"/>
      <c r="ACJ67" s="159"/>
      <c r="ACK67" s="159"/>
      <c r="ACL67" s="159"/>
      <c r="ACM67" s="159"/>
      <c r="ACN67" s="159"/>
      <c r="ACO67" s="159"/>
      <c r="ACP67" s="159"/>
      <c r="ACQ67" s="159"/>
      <c r="ACR67" s="159"/>
      <c r="ACS67" s="159"/>
      <c r="ACT67" s="159"/>
      <c r="ACU67" s="159"/>
      <c r="ACV67" s="159"/>
      <c r="ACW67" s="159"/>
      <c r="ACX67" s="159"/>
      <c r="ACY67" s="159"/>
      <c r="ACZ67" s="159"/>
      <c r="ADA67" s="159"/>
      <c r="ADB67" s="159"/>
      <c r="ADC67" s="159"/>
      <c r="ADD67" s="159"/>
      <c r="ADE67" s="159"/>
      <c r="ADF67" s="159"/>
      <c r="ADG67" s="159"/>
      <c r="ADH67" s="159"/>
      <c r="ADI67" s="159"/>
      <c r="ADJ67" s="159"/>
      <c r="ADK67" s="159"/>
      <c r="ADL67" s="159"/>
      <c r="ADM67" s="159"/>
      <c r="ADN67" s="159"/>
      <c r="ADO67" s="159"/>
      <c r="ADP67" s="159"/>
      <c r="ADQ67" s="159"/>
      <c r="ADR67" s="159"/>
      <c r="ADS67" s="159"/>
      <c r="ADT67" s="159"/>
      <c r="ADU67" s="159"/>
      <c r="ADV67" s="159"/>
      <c r="ADW67" s="159"/>
      <c r="ADX67" s="159"/>
      <c r="ADY67" s="159"/>
      <c r="ADZ67" s="159"/>
      <c r="AEA67" s="159"/>
      <c r="AEB67" s="159"/>
      <c r="AEC67" s="159"/>
      <c r="AED67" s="159"/>
      <c r="AEE67" s="159"/>
      <c r="AEF67" s="159"/>
      <c r="AEG67" s="159"/>
      <c r="AEH67" s="159"/>
      <c r="AEI67" s="159"/>
      <c r="AEJ67" s="159"/>
      <c r="AEK67" s="159"/>
      <c r="AEL67" s="159"/>
      <c r="AEM67" s="159"/>
      <c r="AEN67" s="159"/>
      <c r="AEO67" s="159"/>
      <c r="AEP67" s="159"/>
      <c r="AEQ67" s="159"/>
      <c r="AER67" s="159"/>
      <c r="AES67" s="159"/>
      <c r="AET67" s="159"/>
      <c r="AEU67" s="159"/>
      <c r="AEV67" s="159"/>
      <c r="AEW67" s="159"/>
      <c r="AEX67" s="159"/>
      <c r="AEY67" s="159"/>
      <c r="AEZ67" s="159"/>
      <c r="AFA67" s="159"/>
      <c r="AFB67" s="159"/>
      <c r="AFC67" s="159"/>
      <c r="AFD67" s="159"/>
      <c r="AFE67" s="159"/>
      <c r="AFF67" s="159"/>
      <c r="AFG67" s="159"/>
      <c r="AFH67" s="159"/>
      <c r="AFI67" s="159"/>
      <c r="AFJ67" s="159"/>
      <c r="AFK67" s="159"/>
      <c r="AFL67" s="159"/>
      <c r="AFM67" s="159"/>
      <c r="AFN67" s="159"/>
      <c r="AFO67" s="159"/>
      <c r="AFP67" s="159"/>
      <c r="AFQ67" s="159"/>
      <c r="AFR67" s="159"/>
      <c r="AFS67" s="159"/>
      <c r="AFT67" s="159"/>
      <c r="AFU67" s="159"/>
      <c r="AFV67" s="159"/>
      <c r="AFW67" s="159"/>
      <c r="AFX67" s="159"/>
      <c r="AFY67" s="159"/>
      <c r="AFZ67" s="159"/>
      <c r="AGA67" s="159"/>
      <c r="AGB67" s="159"/>
      <c r="AGC67" s="159"/>
      <c r="AGD67" s="159"/>
      <c r="AGE67" s="159"/>
      <c r="AGF67" s="159"/>
      <c r="AGG67" s="159"/>
      <c r="AGH67" s="159"/>
      <c r="AGI67" s="159"/>
      <c r="AGJ67" s="159"/>
      <c r="AGK67" s="159"/>
      <c r="AGL67" s="159"/>
      <c r="AGM67" s="159"/>
      <c r="AGN67" s="159"/>
      <c r="AGO67" s="159"/>
      <c r="AGP67" s="159"/>
      <c r="AGQ67" s="159"/>
      <c r="AGR67" s="159"/>
      <c r="AGS67" s="159"/>
      <c r="AGT67" s="159"/>
      <c r="AGU67" s="159"/>
      <c r="AGV67" s="159"/>
      <c r="AGW67" s="159"/>
      <c r="AGX67" s="159"/>
      <c r="AGY67" s="159"/>
      <c r="AGZ67" s="159"/>
      <c r="AHA67" s="159"/>
      <c r="AHB67" s="159"/>
      <c r="AHC67" s="159"/>
      <c r="AHD67" s="159"/>
      <c r="AHE67" s="159"/>
      <c r="AHF67" s="159"/>
      <c r="AHG67" s="159"/>
      <c r="AHH67" s="159"/>
      <c r="AHI67" s="159"/>
      <c r="AHJ67" s="159"/>
      <c r="AHK67" s="159"/>
      <c r="AHL67" s="159"/>
      <c r="AHM67" s="159"/>
      <c r="AHN67" s="159"/>
      <c r="AHO67" s="159"/>
      <c r="AHP67" s="159"/>
      <c r="AHQ67" s="159"/>
      <c r="AHR67" s="159"/>
      <c r="AHS67" s="159"/>
      <c r="AHT67" s="159"/>
      <c r="AHU67" s="159"/>
      <c r="AHV67" s="159"/>
      <c r="AHW67" s="159"/>
      <c r="AHX67" s="159"/>
      <c r="AHY67" s="159"/>
      <c r="AHZ67" s="159"/>
      <c r="AIA67" s="159"/>
      <c r="AIB67" s="159"/>
      <c r="AIC67" s="159"/>
      <c r="AID67" s="159"/>
      <c r="AIE67" s="159"/>
      <c r="AIF67" s="159"/>
      <c r="AIG67" s="159"/>
      <c r="AIH67" s="159"/>
      <c r="AII67" s="159"/>
      <c r="AIJ67" s="159"/>
      <c r="AIK67" s="159"/>
      <c r="AIL67" s="159"/>
      <c r="AIM67" s="159"/>
      <c r="AIN67" s="159"/>
      <c r="AIO67" s="159"/>
      <c r="AIP67" s="159"/>
      <c r="AIQ67" s="159"/>
      <c r="AIR67" s="159"/>
      <c r="AIS67" s="159"/>
      <c r="AIT67" s="159"/>
      <c r="AIU67" s="159"/>
      <c r="AIV67" s="159"/>
      <c r="AIW67" s="159"/>
      <c r="AIX67" s="159"/>
      <c r="AIY67" s="159"/>
      <c r="AIZ67" s="159"/>
      <c r="AJA67" s="159"/>
      <c r="AJB67" s="159"/>
      <c r="AJC67" s="159"/>
      <c r="AJD67" s="159"/>
      <c r="AJE67" s="159"/>
      <c r="AJF67" s="159"/>
      <c r="AJG67" s="159"/>
      <c r="AJH67" s="159"/>
      <c r="AJI67" s="159"/>
      <c r="AJJ67" s="159"/>
      <c r="AJK67" s="159"/>
      <c r="AJL67" s="159"/>
      <c r="AJM67" s="159"/>
      <c r="AJN67" s="159"/>
      <c r="AJO67" s="159"/>
      <c r="AJP67" s="159"/>
      <c r="AJQ67" s="159"/>
      <c r="AJR67" s="159"/>
      <c r="AJS67" s="159"/>
      <c r="AJT67" s="159"/>
      <c r="AJU67" s="159"/>
      <c r="AJV67" s="159"/>
      <c r="AJW67" s="159"/>
      <c r="AJX67" s="159"/>
      <c r="AJY67" s="159"/>
      <c r="AJZ67" s="159"/>
      <c r="AKA67" s="159"/>
      <c r="AKB67" s="159"/>
      <c r="AKC67" s="159"/>
      <c r="AKD67" s="159"/>
      <c r="AKE67" s="159"/>
      <c r="AKF67" s="159"/>
      <c r="AKG67" s="159"/>
      <c r="AKH67" s="159"/>
      <c r="AKI67" s="159"/>
      <c r="AKJ67" s="159"/>
      <c r="AKK67" s="159"/>
      <c r="AKL67" s="159"/>
      <c r="AKM67" s="159"/>
      <c r="AKN67" s="159"/>
      <c r="AKO67" s="159"/>
      <c r="AKP67" s="159"/>
      <c r="AKQ67" s="159"/>
      <c r="AKR67" s="159"/>
      <c r="AKS67" s="159"/>
      <c r="AKT67" s="159"/>
      <c r="AKU67" s="159"/>
      <c r="AKV67" s="159"/>
      <c r="AKW67" s="159"/>
      <c r="AKX67" s="159"/>
      <c r="AKY67" s="159"/>
      <c r="AKZ67" s="159"/>
      <c r="ALA67" s="159"/>
      <c r="ALB67" s="159"/>
      <c r="ALC67" s="159"/>
      <c r="ALD67" s="159"/>
      <c r="ALE67" s="159"/>
      <c r="ALF67" s="159"/>
      <c r="ALG67" s="159"/>
      <c r="ALH67" s="159"/>
      <c r="ALI67" s="159"/>
      <c r="ALJ67" s="159"/>
      <c r="ALK67" s="159"/>
      <c r="ALL67" s="159"/>
      <c r="ALM67" s="159"/>
      <c r="ALN67" s="159"/>
      <c r="ALO67" s="159"/>
      <c r="ALP67" s="159"/>
      <c r="ALQ67" s="159"/>
      <c r="ALR67" s="159"/>
      <c r="ALS67" s="159"/>
      <c r="ALT67" s="159"/>
      <c r="ALU67" s="159"/>
      <c r="ALV67" s="159"/>
      <c r="ALW67" s="159"/>
      <c r="ALX67" s="159"/>
      <c r="ALY67" s="159"/>
      <c r="ALZ67" s="159"/>
      <c r="AMA67" s="159"/>
      <c r="AMB67" s="159"/>
      <c r="AMC67" s="159"/>
      <c r="AMD67" s="159"/>
      <c r="AME67" s="159"/>
      <c r="AMF67" s="159"/>
      <c r="AMG67" s="159"/>
      <c r="AMH67" s="159"/>
      <c r="AMI67" s="159"/>
      <c r="AMJ67" s="159"/>
      <c r="AMK67" s="159"/>
      <c r="AML67" s="159"/>
      <c r="AMM67" s="159"/>
      <c r="AMN67" s="159"/>
      <c r="AMO67" s="159"/>
    </row>
    <row r="68" spans="1:1029" s="161" customFormat="1" ht="26.25" thickBot="1" x14ac:dyDescent="0.3">
      <c r="A68" s="127">
        <v>46115</v>
      </c>
      <c r="B68" s="151" t="s">
        <v>145</v>
      </c>
      <c r="C68" s="151" t="s">
        <v>252</v>
      </c>
      <c r="D68" s="162" t="s">
        <v>16</v>
      </c>
      <c r="E68" s="150" t="s">
        <v>84</v>
      </c>
      <c r="F68" s="151" t="s">
        <v>252</v>
      </c>
      <c r="G68" s="151" t="s">
        <v>69</v>
      </c>
      <c r="H68" s="145">
        <f t="shared" si="0"/>
        <v>0.5</v>
      </c>
      <c r="I68" s="154" t="s">
        <v>95</v>
      </c>
      <c r="J68" s="155" t="s">
        <v>143</v>
      </c>
      <c r="K68" s="155" t="s">
        <v>69</v>
      </c>
      <c r="L68" s="147" t="b">
        <f t="shared" si="1"/>
        <v>0</v>
      </c>
      <c r="M68" s="150" t="s">
        <v>253</v>
      </c>
      <c r="N68" s="151" t="s">
        <v>143</v>
      </c>
      <c r="O68" s="151" t="s">
        <v>69</v>
      </c>
      <c r="P68" s="145" t="b">
        <f t="shared" si="2"/>
        <v>0</v>
      </c>
      <c r="Q68" s="152" t="str">
        <f t="shared" ref="Q68:S68" si="7">M68</f>
        <v>Nudel mit Thunfisch</v>
      </c>
      <c r="R68" s="151" t="str">
        <f t="shared" si="7"/>
        <v>Forellenfilet</v>
      </c>
      <c r="S68" s="151" t="str">
        <f t="shared" si="7"/>
        <v>Salzkartoffeln</v>
      </c>
      <c r="T68" s="145" t="b">
        <f t="shared" si="3"/>
        <v>0</v>
      </c>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59"/>
      <c r="CE68" s="159"/>
      <c r="CF68" s="159"/>
      <c r="CG68" s="159"/>
      <c r="CH68" s="159"/>
      <c r="CI68" s="159"/>
      <c r="CJ68" s="159"/>
      <c r="CK68" s="159"/>
      <c r="CL68" s="159"/>
      <c r="CM68" s="159"/>
      <c r="CN68" s="159"/>
      <c r="CO68" s="159"/>
      <c r="CP68" s="159"/>
      <c r="CQ68" s="159"/>
      <c r="CR68" s="159"/>
      <c r="CS68" s="159"/>
      <c r="CT68" s="159"/>
      <c r="CU68" s="159"/>
      <c r="CV68" s="159"/>
      <c r="CW68" s="159"/>
      <c r="CX68" s="159"/>
      <c r="CY68" s="159"/>
      <c r="CZ68" s="159"/>
      <c r="DA68" s="159"/>
      <c r="DB68" s="159"/>
      <c r="DC68" s="159"/>
      <c r="DD68" s="159"/>
      <c r="DE68" s="159"/>
      <c r="DF68" s="159"/>
      <c r="DG68" s="159"/>
      <c r="DH68" s="159"/>
      <c r="DI68" s="159"/>
      <c r="DJ68" s="159"/>
      <c r="DK68" s="159"/>
      <c r="DL68" s="159"/>
      <c r="DM68" s="159"/>
      <c r="DN68" s="159"/>
      <c r="DO68" s="159"/>
      <c r="DP68" s="159"/>
      <c r="DQ68" s="159"/>
      <c r="DR68" s="159"/>
      <c r="DS68" s="159"/>
      <c r="DT68" s="159"/>
      <c r="DU68" s="159"/>
      <c r="DV68" s="159"/>
      <c r="DW68" s="159"/>
      <c r="DX68" s="159"/>
      <c r="DY68" s="159"/>
      <c r="DZ68" s="159"/>
      <c r="EA68" s="159"/>
      <c r="EB68" s="159"/>
      <c r="EC68" s="159"/>
      <c r="ED68" s="159"/>
      <c r="EE68" s="159"/>
      <c r="EF68" s="159"/>
      <c r="EG68" s="159"/>
      <c r="EH68" s="159"/>
      <c r="EI68" s="159"/>
      <c r="EJ68" s="159"/>
      <c r="EK68" s="159"/>
      <c r="EL68" s="159"/>
      <c r="EM68" s="159"/>
      <c r="EN68" s="159"/>
      <c r="EO68" s="159"/>
      <c r="EP68" s="159"/>
      <c r="EQ68" s="159"/>
      <c r="ER68" s="159"/>
      <c r="ES68" s="159"/>
      <c r="ET68" s="159"/>
      <c r="EU68" s="159"/>
      <c r="EV68" s="159"/>
      <c r="EW68" s="159"/>
      <c r="EX68" s="159"/>
      <c r="EY68" s="159"/>
      <c r="EZ68" s="159"/>
      <c r="FA68" s="159"/>
      <c r="FB68" s="159"/>
      <c r="FC68" s="159"/>
      <c r="FD68" s="159"/>
      <c r="FE68" s="159"/>
      <c r="FF68" s="159"/>
      <c r="FG68" s="159"/>
      <c r="FH68" s="159"/>
      <c r="FI68" s="159"/>
      <c r="FJ68" s="159"/>
      <c r="FK68" s="159"/>
      <c r="FL68" s="159"/>
      <c r="FM68" s="159"/>
      <c r="FN68" s="159"/>
      <c r="FO68" s="159"/>
      <c r="FP68" s="159"/>
      <c r="FQ68" s="159"/>
      <c r="FR68" s="159"/>
      <c r="FS68" s="159"/>
      <c r="FT68" s="159"/>
      <c r="FU68" s="159"/>
      <c r="FV68" s="159"/>
      <c r="FW68" s="159"/>
      <c r="FX68" s="159"/>
      <c r="FY68" s="159"/>
      <c r="FZ68" s="159"/>
      <c r="GA68" s="159"/>
      <c r="GB68" s="159"/>
      <c r="GC68" s="159"/>
      <c r="GD68" s="159"/>
      <c r="GE68" s="159"/>
      <c r="GF68" s="159"/>
      <c r="GG68" s="159"/>
      <c r="GH68" s="159"/>
      <c r="GI68" s="159"/>
      <c r="GJ68" s="159"/>
      <c r="GK68" s="159"/>
      <c r="GL68" s="159"/>
      <c r="GM68" s="159"/>
      <c r="GN68" s="159"/>
      <c r="GO68" s="159"/>
      <c r="GP68" s="159"/>
      <c r="GQ68" s="159"/>
      <c r="GR68" s="159"/>
      <c r="GS68" s="159"/>
      <c r="GT68" s="159"/>
      <c r="GU68" s="159"/>
      <c r="GV68" s="159"/>
      <c r="GW68" s="159"/>
      <c r="GX68" s="159"/>
      <c r="GY68" s="159"/>
      <c r="GZ68" s="159"/>
      <c r="HA68" s="159"/>
      <c r="HB68" s="159"/>
      <c r="HC68" s="159"/>
      <c r="HD68" s="159"/>
      <c r="HE68" s="159"/>
      <c r="HF68" s="159"/>
      <c r="HG68" s="159"/>
      <c r="HH68" s="159"/>
      <c r="HI68" s="159"/>
      <c r="HJ68" s="159"/>
      <c r="HK68" s="159"/>
      <c r="HL68" s="159"/>
      <c r="HM68" s="159"/>
      <c r="HN68" s="159"/>
      <c r="HO68" s="159"/>
      <c r="HP68" s="159"/>
      <c r="HQ68" s="159"/>
      <c r="HR68" s="159"/>
      <c r="HS68" s="159"/>
      <c r="HT68" s="159"/>
      <c r="HU68" s="159"/>
      <c r="HV68" s="159"/>
      <c r="HW68" s="159"/>
      <c r="HX68" s="159"/>
      <c r="HY68" s="159"/>
      <c r="HZ68" s="159"/>
      <c r="IA68" s="159"/>
      <c r="IB68" s="159"/>
      <c r="IC68" s="159"/>
      <c r="ID68" s="159"/>
      <c r="IE68" s="159"/>
      <c r="IF68" s="159"/>
      <c r="IG68" s="159"/>
      <c r="IH68" s="159"/>
      <c r="II68" s="159"/>
      <c r="IJ68" s="159"/>
      <c r="IK68" s="159"/>
      <c r="IL68" s="159"/>
      <c r="IM68" s="159"/>
      <c r="IN68" s="159"/>
      <c r="IO68" s="159"/>
      <c r="IP68" s="159"/>
      <c r="IQ68" s="159"/>
      <c r="IR68" s="159"/>
      <c r="IS68" s="159"/>
      <c r="IT68" s="159"/>
      <c r="IU68" s="159"/>
      <c r="IV68" s="159"/>
      <c r="IW68" s="159"/>
      <c r="IX68" s="159"/>
      <c r="IY68" s="159"/>
      <c r="IZ68" s="159"/>
      <c r="JA68" s="159"/>
      <c r="JB68" s="159"/>
      <c r="JC68" s="159"/>
      <c r="JD68" s="159"/>
      <c r="JE68" s="159"/>
      <c r="JF68" s="159"/>
      <c r="JG68" s="159"/>
      <c r="JH68" s="159"/>
      <c r="JI68" s="159"/>
      <c r="JJ68" s="159"/>
      <c r="JK68" s="159"/>
      <c r="JL68" s="159"/>
      <c r="JM68" s="159"/>
      <c r="JN68" s="159"/>
      <c r="JO68" s="159"/>
      <c r="JP68" s="159"/>
      <c r="JQ68" s="159"/>
      <c r="JR68" s="159"/>
      <c r="JS68" s="159"/>
      <c r="JT68" s="159"/>
      <c r="JU68" s="159"/>
      <c r="JV68" s="159"/>
      <c r="JW68" s="159"/>
      <c r="JX68" s="159"/>
      <c r="JY68" s="159"/>
      <c r="JZ68" s="159"/>
      <c r="KA68" s="159"/>
      <c r="KB68" s="159"/>
      <c r="KC68" s="159"/>
      <c r="KD68" s="159"/>
      <c r="KE68" s="159"/>
      <c r="KF68" s="159"/>
      <c r="KG68" s="159"/>
      <c r="KH68" s="159"/>
      <c r="KI68" s="159"/>
      <c r="KJ68" s="159"/>
      <c r="KK68" s="159"/>
      <c r="KL68" s="159"/>
      <c r="KM68" s="159"/>
      <c r="KN68" s="159"/>
      <c r="KO68" s="159"/>
      <c r="KP68" s="159"/>
      <c r="KQ68" s="159"/>
      <c r="KR68" s="159"/>
      <c r="KS68" s="159"/>
      <c r="KT68" s="159"/>
      <c r="KU68" s="159"/>
      <c r="KV68" s="159"/>
      <c r="KW68" s="159"/>
      <c r="KX68" s="159"/>
      <c r="KY68" s="159"/>
      <c r="KZ68" s="159"/>
      <c r="LA68" s="159"/>
      <c r="LB68" s="159"/>
      <c r="LC68" s="159"/>
      <c r="LD68" s="159"/>
      <c r="LE68" s="159"/>
      <c r="LF68" s="159"/>
      <c r="LG68" s="159"/>
      <c r="LH68" s="159"/>
      <c r="LI68" s="159"/>
      <c r="LJ68" s="159"/>
      <c r="LK68" s="159"/>
      <c r="LL68" s="159"/>
      <c r="LM68" s="159"/>
      <c r="LN68" s="159"/>
      <c r="LO68" s="159"/>
      <c r="LP68" s="159"/>
      <c r="LQ68" s="159"/>
      <c r="LR68" s="159"/>
      <c r="LS68" s="159"/>
      <c r="LT68" s="159"/>
      <c r="LU68" s="159"/>
      <c r="LV68" s="159"/>
      <c r="LW68" s="159"/>
      <c r="LX68" s="159"/>
      <c r="LY68" s="159"/>
      <c r="LZ68" s="159"/>
      <c r="MA68" s="159"/>
      <c r="MB68" s="159"/>
      <c r="MC68" s="159"/>
      <c r="MD68" s="159"/>
      <c r="ME68" s="159"/>
      <c r="MF68" s="159"/>
      <c r="MG68" s="159"/>
      <c r="MH68" s="159"/>
      <c r="MI68" s="159"/>
      <c r="MJ68" s="159"/>
      <c r="MK68" s="159"/>
      <c r="ML68" s="159"/>
      <c r="MM68" s="159"/>
      <c r="MN68" s="159"/>
      <c r="MO68" s="159"/>
      <c r="MP68" s="159"/>
      <c r="MQ68" s="159"/>
      <c r="MR68" s="159"/>
      <c r="MS68" s="159"/>
      <c r="MT68" s="159"/>
      <c r="MU68" s="159"/>
      <c r="MV68" s="159"/>
      <c r="MW68" s="159"/>
      <c r="MX68" s="159"/>
      <c r="MY68" s="159"/>
      <c r="MZ68" s="159"/>
      <c r="NA68" s="159"/>
      <c r="NB68" s="159"/>
      <c r="NC68" s="159"/>
      <c r="ND68" s="159"/>
      <c r="NE68" s="159"/>
      <c r="NF68" s="159"/>
      <c r="NG68" s="159"/>
      <c r="NH68" s="159"/>
      <c r="NI68" s="159"/>
      <c r="NJ68" s="159"/>
      <c r="NK68" s="159"/>
      <c r="NL68" s="159"/>
      <c r="NM68" s="159"/>
      <c r="NN68" s="159"/>
      <c r="NO68" s="159"/>
      <c r="NP68" s="159"/>
      <c r="NQ68" s="159"/>
      <c r="NR68" s="159"/>
      <c r="NS68" s="159"/>
      <c r="NT68" s="159"/>
      <c r="NU68" s="159"/>
      <c r="NV68" s="159"/>
      <c r="NW68" s="159"/>
      <c r="NX68" s="159"/>
      <c r="NY68" s="159"/>
      <c r="NZ68" s="159"/>
      <c r="OA68" s="159"/>
      <c r="OB68" s="159"/>
      <c r="OC68" s="159"/>
      <c r="OD68" s="159"/>
      <c r="OE68" s="159"/>
      <c r="OF68" s="159"/>
      <c r="OG68" s="159"/>
      <c r="OH68" s="159"/>
      <c r="OI68" s="159"/>
      <c r="OJ68" s="159"/>
      <c r="OK68" s="159"/>
      <c r="OL68" s="159"/>
      <c r="OM68" s="159"/>
      <c r="ON68" s="159"/>
      <c r="OO68" s="159"/>
      <c r="OP68" s="159"/>
      <c r="OQ68" s="159"/>
      <c r="OR68" s="159"/>
      <c r="OS68" s="159"/>
      <c r="OT68" s="159"/>
      <c r="OU68" s="159"/>
      <c r="OV68" s="159"/>
      <c r="OW68" s="159"/>
      <c r="OX68" s="159"/>
      <c r="OY68" s="159"/>
      <c r="OZ68" s="159"/>
      <c r="PA68" s="159"/>
      <c r="PB68" s="159"/>
      <c r="PC68" s="159"/>
      <c r="PD68" s="159"/>
      <c r="PE68" s="159"/>
      <c r="PF68" s="159"/>
      <c r="PG68" s="159"/>
      <c r="PH68" s="159"/>
      <c r="PI68" s="159"/>
      <c r="PJ68" s="159"/>
      <c r="PK68" s="159"/>
      <c r="PL68" s="159"/>
      <c r="PM68" s="159"/>
      <c r="PN68" s="159"/>
      <c r="PO68" s="159"/>
      <c r="PP68" s="159"/>
      <c r="PQ68" s="159"/>
      <c r="PR68" s="159"/>
      <c r="PS68" s="159"/>
      <c r="PT68" s="159"/>
      <c r="PU68" s="159"/>
      <c r="PV68" s="159"/>
      <c r="PW68" s="159"/>
      <c r="PX68" s="159"/>
      <c r="PY68" s="159"/>
      <c r="PZ68" s="159"/>
      <c r="QA68" s="159"/>
      <c r="QB68" s="159"/>
      <c r="QC68" s="159"/>
      <c r="QD68" s="159"/>
      <c r="QE68" s="159"/>
      <c r="QF68" s="159"/>
      <c r="QG68" s="159"/>
      <c r="QH68" s="159"/>
      <c r="QI68" s="159"/>
      <c r="QJ68" s="159"/>
      <c r="QK68" s="159"/>
      <c r="QL68" s="159"/>
      <c r="QM68" s="159"/>
      <c r="QN68" s="159"/>
      <c r="QO68" s="159"/>
      <c r="QP68" s="159"/>
      <c r="QQ68" s="159"/>
      <c r="QR68" s="159"/>
      <c r="QS68" s="159"/>
      <c r="QT68" s="159"/>
      <c r="QU68" s="159"/>
      <c r="QV68" s="159"/>
      <c r="QW68" s="159"/>
      <c r="QX68" s="159"/>
      <c r="QY68" s="159"/>
      <c r="QZ68" s="159"/>
      <c r="RA68" s="159"/>
      <c r="RB68" s="159"/>
      <c r="RC68" s="159"/>
      <c r="RD68" s="159"/>
      <c r="RE68" s="159"/>
      <c r="RF68" s="159"/>
      <c r="RG68" s="159"/>
      <c r="RH68" s="159"/>
      <c r="RI68" s="159"/>
      <c r="RJ68" s="159"/>
      <c r="RK68" s="159"/>
      <c r="RL68" s="159"/>
      <c r="RM68" s="159"/>
      <c r="RN68" s="159"/>
      <c r="RO68" s="159"/>
      <c r="RP68" s="159"/>
      <c r="RQ68" s="159"/>
      <c r="RR68" s="159"/>
      <c r="RS68" s="159"/>
      <c r="RT68" s="159"/>
      <c r="RU68" s="159"/>
      <c r="RV68" s="159"/>
      <c r="RW68" s="159"/>
      <c r="RX68" s="159"/>
      <c r="RY68" s="159"/>
      <c r="RZ68" s="159"/>
      <c r="SA68" s="159"/>
      <c r="SB68" s="159"/>
      <c r="SC68" s="159"/>
      <c r="SD68" s="159"/>
      <c r="SE68" s="159"/>
      <c r="SF68" s="159"/>
      <c r="SG68" s="159"/>
      <c r="SH68" s="159"/>
      <c r="SI68" s="159"/>
      <c r="SJ68" s="159"/>
      <c r="SK68" s="159"/>
      <c r="SL68" s="159"/>
      <c r="SM68" s="159"/>
      <c r="SN68" s="159"/>
      <c r="SO68" s="159"/>
      <c r="SP68" s="159"/>
      <c r="SQ68" s="159"/>
      <c r="SR68" s="159"/>
      <c r="SS68" s="159"/>
      <c r="ST68" s="159"/>
      <c r="SU68" s="159"/>
      <c r="SV68" s="159"/>
      <c r="SW68" s="159"/>
      <c r="SX68" s="159"/>
      <c r="SY68" s="159"/>
      <c r="SZ68" s="159"/>
      <c r="TA68" s="159"/>
      <c r="TB68" s="159"/>
      <c r="TC68" s="159"/>
      <c r="TD68" s="159"/>
      <c r="TE68" s="159"/>
      <c r="TF68" s="159"/>
      <c r="TG68" s="159"/>
      <c r="TH68" s="159"/>
      <c r="TI68" s="159"/>
      <c r="TJ68" s="159"/>
      <c r="TK68" s="159"/>
      <c r="TL68" s="159"/>
      <c r="TM68" s="159"/>
      <c r="TN68" s="159"/>
      <c r="TO68" s="159"/>
      <c r="TP68" s="159"/>
      <c r="TQ68" s="159"/>
      <c r="TR68" s="159"/>
      <c r="TS68" s="159"/>
      <c r="TT68" s="159"/>
      <c r="TU68" s="159"/>
      <c r="TV68" s="159"/>
      <c r="TW68" s="159"/>
      <c r="TX68" s="159"/>
      <c r="TY68" s="159"/>
      <c r="TZ68" s="159"/>
      <c r="UA68" s="159"/>
      <c r="UB68" s="159"/>
      <c r="UC68" s="159"/>
      <c r="UD68" s="159"/>
      <c r="UE68" s="159"/>
      <c r="UF68" s="159"/>
      <c r="UG68" s="159"/>
      <c r="UH68" s="159"/>
      <c r="UI68" s="159"/>
      <c r="UJ68" s="159"/>
      <c r="UK68" s="159"/>
      <c r="UL68" s="159"/>
      <c r="UM68" s="159"/>
      <c r="UN68" s="159"/>
      <c r="UO68" s="159"/>
      <c r="UP68" s="159"/>
      <c r="UQ68" s="159"/>
      <c r="UR68" s="159"/>
      <c r="US68" s="159"/>
      <c r="UT68" s="159"/>
      <c r="UU68" s="159"/>
      <c r="UV68" s="159"/>
      <c r="UW68" s="159"/>
      <c r="UX68" s="159"/>
      <c r="UY68" s="159"/>
      <c r="UZ68" s="159"/>
      <c r="VA68" s="159"/>
      <c r="VB68" s="159"/>
      <c r="VC68" s="159"/>
      <c r="VD68" s="159"/>
      <c r="VE68" s="159"/>
      <c r="VF68" s="159"/>
      <c r="VG68" s="159"/>
      <c r="VH68" s="159"/>
      <c r="VI68" s="159"/>
      <c r="VJ68" s="159"/>
      <c r="VK68" s="159"/>
      <c r="VL68" s="159"/>
      <c r="VM68" s="159"/>
      <c r="VN68" s="159"/>
      <c r="VO68" s="159"/>
      <c r="VP68" s="159"/>
      <c r="VQ68" s="159"/>
      <c r="VR68" s="159"/>
      <c r="VS68" s="159"/>
      <c r="VT68" s="159"/>
      <c r="VU68" s="159"/>
      <c r="VV68" s="159"/>
      <c r="VW68" s="159"/>
      <c r="VX68" s="159"/>
      <c r="VY68" s="159"/>
      <c r="VZ68" s="159"/>
      <c r="WA68" s="159"/>
      <c r="WB68" s="159"/>
      <c r="WC68" s="159"/>
      <c r="WD68" s="159"/>
      <c r="WE68" s="159"/>
      <c r="WF68" s="159"/>
      <c r="WG68" s="159"/>
      <c r="WH68" s="159"/>
      <c r="WI68" s="159"/>
      <c r="WJ68" s="159"/>
      <c r="WK68" s="159"/>
      <c r="WL68" s="159"/>
      <c r="WM68" s="159"/>
      <c r="WN68" s="159"/>
      <c r="WO68" s="159"/>
      <c r="WP68" s="159"/>
      <c r="WQ68" s="159"/>
      <c r="WR68" s="159"/>
      <c r="WS68" s="159"/>
      <c r="WT68" s="159"/>
      <c r="WU68" s="159"/>
      <c r="WV68" s="159"/>
      <c r="WW68" s="159"/>
      <c r="WX68" s="159"/>
      <c r="WY68" s="159"/>
      <c r="WZ68" s="159"/>
      <c r="XA68" s="159"/>
      <c r="XB68" s="159"/>
      <c r="XC68" s="159"/>
      <c r="XD68" s="159"/>
      <c r="XE68" s="159"/>
      <c r="XF68" s="159"/>
      <c r="XG68" s="159"/>
      <c r="XH68" s="159"/>
      <c r="XI68" s="159"/>
      <c r="XJ68" s="159"/>
      <c r="XK68" s="159"/>
      <c r="XL68" s="159"/>
      <c r="XM68" s="159"/>
      <c r="XN68" s="159"/>
      <c r="XO68" s="159"/>
      <c r="XP68" s="159"/>
      <c r="XQ68" s="159"/>
      <c r="XR68" s="159"/>
      <c r="XS68" s="159"/>
      <c r="XT68" s="159"/>
      <c r="XU68" s="159"/>
      <c r="XV68" s="159"/>
      <c r="XW68" s="159"/>
      <c r="XX68" s="159"/>
      <c r="XY68" s="159"/>
      <c r="XZ68" s="159"/>
      <c r="YA68" s="159"/>
      <c r="YB68" s="159"/>
      <c r="YC68" s="159"/>
      <c r="YD68" s="159"/>
      <c r="YE68" s="159"/>
      <c r="YF68" s="159"/>
      <c r="YG68" s="159"/>
      <c r="YH68" s="159"/>
      <c r="YI68" s="159"/>
      <c r="YJ68" s="159"/>
      <c r="YK68" s="159"/>
      <c r="YL68" s="159"/>
      <c r="YM68" s="159"/>
      <c r="YN68" s="159"/>
      <c r="YO68" s="159"/>
      <c r="YP68" s="159"/>
      <c r="YQ68" s="159"/>
      <c r="YR68" s="159"/>
      <c r="YS68" s="159"/>
      <c r="YT68" s="159"/>
      <c r="YU68" s="159"/>
      <c r="YV68" s="159"/>
      <c r="YW68" s="159"/>
      <c r="YX68" s="159"/>
      <c r="YY68" s="159"/>
      <c r="YZ68" s="159"/>
      <c r="ZA68" s="159"/>
      <c r="ZB68" s="159"/>
      <c r="ZC68" s="159"/>
      <c r="ZD68" s="159"/>
      <c r="ZE68" s="159"/>
      <c r="ZF68" s="159"/>
      <c r="ZG68" s="159"/>
      <c r="ZH68" s="159"/>
      <c r="ZI68" s="159"/>
      <c r="ZJ68" s="159"/>
      <c r="ZK68" s="159"/>
      <c r="ZL68" s="159"/>
      <c r="ZM68" s="159"/>
      <c r="ZN68" s="159"/>
      <c r="ZO68" s="159"/>
      <c r="ZP68" s="159"/>
      <c r="ZQ68" s="159"/>
      <c r="ZR68" s="159"/>
      <c r="ZS68" s="159"/>
      <c r="ZT68" s="159"/>
      <c r="ZU68" s="159"/>
      <c r="ZV68" s="159"/>
      <c r="ZW68" s="159"/>
      <c r="ZX68" s="159"/>
      <c r="ZY68" s="159"/>
      <c r="ZZ68" s="159"/>
      <c r="AAA68" s="159"/>
      <c r="AAB68" s="159"/>
      <c r="AAC68" s="159"/>
      <c r="AAD68" s="159"/>
      <c r="AAE68" s="159"/>
      <c r="AAF68" s="159"/>
      <c r="AAG68" s="159"/>
      <c r="AAH68" s="159"/>
      <c r="AAI68" s="159"/>
      <c r="AAJ68" s="159"/>
      <c r="AAK68" s="159"/>
      <c r="AAL68" s="159"/>
      <c r="AAM68" s="159"/>
      <c r="AAN68" s="159"/>
      <c r="AAO68" s="159"/>
      <c r="AAP68" s="159"/>
      <c r="AAQ68" s="159"/>
      <c r="AAR68" s="159"/>
      <c r="AAS68" s="159"/>
      <c r="AAT68" s="159"/>
      <c r="AAU68" s="159"/>
      <c r="AAV68" s="159"/>
      <c r="AAW68" s="159"/>
      <c r="AAX68" s="159"/>
      <c r="AAY68" s="159"/>
      <c r="AAZ68" s="159"/>
      <c r="ABA68" s="159"/>
      <c r="ABB68" s="159"/>
      <c r="ABC68" s="159"/>
      <c r="ABD68" s="159"/>
      <c r="ABE68" s="159"/>
      <c r="ABF68" s="159"/>
      <c r="ABG68" s="159"/>
      <c r="ABH68" s="159"/>
      <c r="ABI68" s="159"/>
      <c r="ABJ68" s="159"/>
      <c r="ABK68" s="159"/>
      <c r="ABL68" s="159"/>
      <c r="ABM68" s="159"/>
      <c r="ABN68" s="159"/>
      <c r="ABO68" s="159"/>
      <c r="ABP68" s="159"/>
      <c r="ABQ68" s="159"/>
      <c r="ABR68" s="159"/>
      <c r="ABS68" s="159"/>
      <c r="ABT68" s="159"/>
      <c r="ABU68" s="159"/>
      <c r="ABV68" s="159"/>
      <c r="ABW68" s="159"/>
      <c r="ABX68" s="159"/>
      <c r="ABY68" s="159"/>
      <c r="ABZ68" s="159"/>
      <c r="ACA68" s="159"/>
      <c r="ACB68" s="159"/>
      <c r="ACC68" s="159"/>
      <c r="ACD68" s="159"/>
      <c r="ACE68" s="159"/>
      <c r="ACF68" s="159"/>
      <c r="ACG68" s="159"/>
      <c r="ACH68" s="159"/>
      <c r="ACI68" s="159"/>
      <c r="ACJ68" s="159"/>
      <c r="ACK68" s="159"/>
      <c r="ACL68" s="159"/>
      <c r="ACM68" s="159"/>
      <c r="ACN68" s="159"/>
      <c r="ACO68" s="159"/>
      <c r="ACP68" s="159"/>
      <c r="ACQ68" s="159"/>
      <c r="ACR68" s="159"/>
      <c r="ACS68" s="159"/>
      <c r="ACT68" s="159"/>
      <c r="ACU68" s="159"/>
      <c r="ACV68" s="159"/>
      <c r="ACW68" s="159"/>
      <c r="ACX68" s="159"/>
      <c r="ACY68" s="159"/>
      <c r="ACZ68" s="159"/>
      <c r="ADA68" s="159"/>
      <c r="ADB68" s="159"/>
      <c r="ADC68" s="159"/>
      <c r="ADD68" s="159"/>
      <c r="ADE68" s="159"/>
      <c r="ADF68" s="159"/>
      <c r="ADG68" s="159"/>
      <c r="ADH68" s="159"/>
      <c r="ADI68" s="159"/>
      <c r="ADJ68" s="159"/>
      <c r="ADK68" s="159"/>
      <c r="ADL68" s="159"/>
      <c r="ADM68" s="159"/>
      <c r="ADN68" s="159"/>
      <c r="ADO68" s="159"/>
      <c r="ADP68" s="159"/>
      <c r="ADQ68" s="159"/>
      <c r="ADR68" s="159"/>
      <c r="ADS68" s="159"/>
      <c r="ADT68" s="159"/>
      <c r="ADU68" s="159"/>
      <c r="ADV68" s="159"/>
      <c r="ADW68" s="159"/>
      <c r="ADX68" s="159"/>
      <c r="ADY68" s="159"/>
      <c r="ADZ68" s="159"/>
      <c r="AEA68" s="159"/>
      <c r="AEB68" s="159"/>
      <c r="AEC68" s="159"/>
      <c r="AED68" s="159"/>
      <c r="AEE68" s="159"/>
      <c r="AEF68" s="159"/>
      <c r="AEG68" s="159"/>
      <c r="AEH68" s="159"/>
      <c r="AEI68" s="159"/>
      <c r="AEJ68" s="159"/>
      <c r="AEK68" s="159"/>
      <c r="AEL68" s="159"/>
      <c r="AEM68" s="159"/>
      <c r="AEN68" s="159"/>
      <c r="AEO68" s="159"/>
      <c r="AEP68" s="159"/>
      <c r="AEQ68" s="159"/>
      <c r="AER68" s="159"/>
      <c r="AES68" s="159"/>
      <c r="AET68" s="159"/>
      <c r="AEU68" s="159"/>
      <c r="AEV68" s="159"/>
      <c r="AEW68" s="159"/>
      <c r="AEX68" s="159"/>
      <c r="AEY68" s="159"/>
      <c r="AEZ68" s="159"/>
      <c r="AFA68" s="159"/>
      <c r="AFB68" s="159"/>
      <c r="AFC68" s="159"/>
      <c r="AFD68" s="159"/>
      <c r="AFE68" s="159"/>
      <c r="AFF68" s="159"/>
      <c r="AFG68" s="159"/>
      <c r="AFH68" s="159"/>
      <c r="AFI68" s="159"/>
      <c r="AFJ68" s="159"/>
      <c r="AFK68" s="159"/>
      <c r="AFL68" s="159"/>
      <c r="AFM68" s="159"/>
      <c r="AFN68" s="159"/>
      <c r="AFO68" s="159"/>
      <c r="AFP68" s="159"/>
      <c r="AFQ68" s="159"/>
      <c r="AFR68" s="159"/>
      <c r="AFS68" s="159"/>
      <c r="AFT68" s="159"/>
      <c r="AFU68" s="159"/>
      <c r="AFV68" s="159"/>
      <c r="AFW68" s="159"/>
      <c r="AFX68" s="159"/>
      <c r="AFY68" s="159"/>
      <c r="AFZ68" s="159"/>
      <c r="AGA68" s="159"/>
      <c r="AGB68" s="159"/>
      <c r="AGC68" s="159"/>
      <c r="AGD68" s="159"/>
      <c r="AGE68" s="159"/>
      <c r="AGF68" s="159"/>
      <c r="AGG68" s="159"/>
      <c r="AGH68" s="159"/>
      <c r="AGI68" s="159"/>
      <c r="AGJ68" s="159"/>
      <c r="AGK68" s="159"/>
      <c r="AGL68" s="159"/>
      <c r="AGM68" s="159"/>
      <c r="AGN68" s="159"/>
      <c r="AGO68" s="159"/>
      <c r="AGP68" s="159"/>
      <c r="AGQ68" s="159"/>
      <c r="AGR68" s="159"/>
      <c r="AGS68" s="159"/>
      <c r="AGT68" s="159"/>
      <c r="AGU68" s="159"/>
      <c r="AGV68" s="159"/>
      <c r="AGW68" s="159"/>
      <c r="AGX68" s="159"/>
      <c r="AGY68" s="159"/>
      <c r="AGZ68" s="159"/>
      <c r="AHA68" s="159"/>
      <c r="AHB68" s="159"/>
      <c r="AHC68" s="159"/>
      <c r="AHD68" s="159"/>
      <c r="AHE68" s="159"/>
      <c r="AHF68" s="159"/>
      <c r="AHG68" s="159"/>
      <c r="AHH68" s="159"/>
      <c r="AHI68" s="159"/>
      <c r="AHJ68" s="159"/>
      <c r="AHK68" s="159"/>
      <c r="AHL68" s="159"/>
      <c r="AHM68" s="159"/>
      <c r="AHN68" s="159"/>
      <c r="AHO68" s="159"/>
      <c r="AHP68" s="159"/>
      <c r="AHQ68" s="159"/>
      <c r="AHR68" s="159"/>
      <c r="AHS68" s="159"/>
      <c r="AHT68" s="159"/>
      <c r="AHU68" s="159"/>
      <c r="AHV68" s="159"/>
      <c r="AHW68" s="159"/>
      <c r="AHX68" s="159"/>
      <c r="AHY68" s="159"/>
      <c r="AHZ68" s="159"/>
      <c r="AIA68" s="159"/>
      <c r="AIB68" s="159"/>
      <c r="AIC68" s="159"/>
      <c r="AID68" s="159"/>
      <c r="AIE68" s="159"/>
      <c r="AIF68" s="159"/>
      <c r="AIG68" s="159"/>
      <c r="AIH68" s="159"/>
      <c r="AII68" s="159"/>
      <c r="AIJ68" s="159"/>
      <c r="AIK68" s="159"/>
      <c r="AIL68" s="159"/>
      <c r="AIM68" s="159"/>
      <c r="AIN68" s="159"/>
      <c r="AIO68" s="159"/>
      <c r="AIP68" s="159"/>
      <c r="AIQ68" s="159"/>
      <c r="AIR68" s="159"/>
      <c r="AIS68" s="159"/>
      <c r="AIT68" s="159"/>
      <c r="AIU68" s="159"/>
      <c r="AIV68" s="159"/>
      <c r="AIW68" s="159"/>
      <c r="AIX68" s="159"/>
      <c r="AIY68" s="159"/>
      <c r="AIZ68" s="159"/>
      <c r="AJA68" s="159"/>
      <c r="AJB68" s="159"/>
      <c r="AJC68" s="159"/>
      <c r="AJD68" s="159"/>
      <c r="AJE68" s="159"/>
      <c r="AJF68" s="159"/>
      <c r="AJG68" s="159"/>
      <c r="AJH68" s="159"/>
      <c r="AJI68" s="159"/>
      <c r="AJJ68" s="159"/>
      <c r="AJK68" s="159"/>
      <c r="AJL68" s="159"/>
      <c r="AJM68" s="159"/>
      <c r="AJN68" s="159"/>
      <c r="AJO68" s="159"/>
      <c r="AJP68" s="159"/>
      <c r="AJQ68" s="159"/>
      <c r="AJR68" s="159"/>
      <c r="AJS68" s="159"/>
      <c r="AJT68" s="159"/>
      <c r="AJU68" s="159"/>
      <c r="AJV68" s="159"/>
      <c r="AJW68" s="159"/>
      <c r="AJX68" s="159"/>
      <c r="AJY68" s="159"/>
      <c r="AJZ68" s="159"/>
      <c r="AKA68" s="159"/>
      <c r="AKB68" s="159"/>
      <c r="AKC68" s="159"/>
      <c r="AKD68" s="159"/>
      <c r="AKE68" s="159"/>
      <c r="AKF68" s="159"/>
      <c r="AKG68" s="159"/>
      <c r="AKH68" s="159"/>
      <c r="AKI68" s="159"/>
      <c r="AKJ68" s="159"/>
      <c r="AKK68" s="159"/>
      <c r="AKL68" s="159"/>
      <c r="AKM68" s="159"/>
      <c r="AKN68" s="159"/>
      <c r="AKO68" s="159"/>
      <c r="AKP68" s="159"/>
      <c r="AKQ68" s="159"/>
      <c r="AKR68" s="159"/>
      <c r="AKS68" s="159"/>
      <c r="AKT68" s="159"/>
      <c r="AKU68" s="159"/>
      <c r="AKV68" s="159"/>
      <c r="AKW68" s="159"/>
      <c r="AKX68" s="159"/>
      <c r="AKY68" s="159"/>
      <c r="AKZ68" s="159"/>
      <c r="ALA68" s="159"/>
      <c r="ALB68" s="159"/>
      <c r="ALC68" s="159"/>
      <c r="ALD68" s="159"/>
      <c r="ALE68" s="159"/>
      <c r="ALF68" s="159"/>
      <c r="ALG68" s="159"/>
      <c r="ALH68" s="159"/>
      <c r="ALI68" s="159"/>
      <c r="ALJ68" s="159"/>
      <c r="ALK68" s="159"/>
      <c r="ALL68" s="159"/>
      <c r="ALM68" s="159"/>
      <c r="ALN68" s="159"/>
      <c r="ALO68" s="159"/>
      <c r="ALP68" s="159"/>
      <c r="ALQ68" s="159"/>
      <c r="ALR68" s="159"/>
      <c r="ALS68" s="159"/>
      <c r="ALT68" s="159"/>
      <c r="ALU68" s="159"/>
      <c r="ALV68" s="159"/>
      <c r="ALW68" s="159"/>
      <c r="ALX68" s="159"/>
      <c r="ALY68" s="159"/>
      <c r="ALZ68" s="159"/>
      <c r="AMA68" s="159"/>
      <c r="AMB68" s="159"/>
      <c r="AMC68" s="159"/>
      <c r="AMD68" s="159"/>
      <c r="AME68" s="159"/>
      <c r="AMF68" s="159"/>
      <c r="AMG68" s="159"/>
      <c r="AMH68" s="159"/>
      <c r="AMI68" s="159"/>
      <c r="AMJ68" s="159"/>
      <c r="AMK68" s="159"/>
      <c r="AML68" s="159"/>
      <c r="AMM68" s="159"/>
      <c r="AMN68" s="159"/>
      <c r="AMO68" s="159"/>
    </row>
    <row r="69" spans="1:1029" s="161" customFormat="1" ht="15.75" thickTop="1" x14ac:dyDescent="0.25">
      <c r="A69" s="138">
        <v>46118</v>
      </c>
      <c r="B69" s="119" t="s">
        <v>28</v>
      </c>
      <c r="C69" s="119" t="s">
        <v>28</v>
      </c>
      <c r="D69" s="139" t="s">
        <v>28</v>
      </c>
      <c r="E69" s="120"/>
      <c r="F69" s="119"/>
      <c r="G69" s="119"/>
      <c r="H69" s="146"/>
      <c r="I69" s="122"/>
      <c r="J69" s="100"/>
      <c r="K69" s="100"/>
      <c r="L69" s="143"/>
      <c r="M69" s="122"/>
      <c r="N69" s="100"/>
      <c r="O69" s="100"/>
      <c r="P69" s="143"/>
      <c r="Q69" s="121"/>
      <c r="R69" s="119"/>
      <c r="S69" s="119"/>
      <c r="T69" s="146"/>
      <c r="U69" s="159"/>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59"/>
      <c r="BD69" s="159"/>
      <c r="BE69" s="159"/>
      <c r="BF69" s="159"/>
      <c r="BG69" s="159"/>
      <c r="BH69" s="159"/>
      <c r="BI69" s="159"/>
      <c r="BJ69" s="159"/>
      <c r="BK69" s="159"/>
      <c r="BL69" s="159"/>
      <c r="BM69" s="159"/>
      <c r="BN69" s="159"/>
      <c r="BO69" s="159"/>
      <c r="BP69" s="159"/>
      <c r="BQ69" s="159"/>
      <c r="BR69" s="159"/>
      <c r="BS69" s="159"/>
      <c r="BT69" s="159"/>
      <c r="BU69" s="159"/>
      <c r="BV69" s="159"/>
      <c r="BW69" s="159"/>
      <c r="BX69" s="159"/>
      <c r="BY69" s="159"/>
      <c r="BZ69" s="159"/>
      <c r="CA69" s="159"/>
      <c r="CB69" s="159"/>
      <c r="CC69" s="159"/>
      <c r="CD69" s="159"/>
      <c r="CE69" s="159"/>
      <c r="CF69" s="159"/>
      <c r="CG69" s="159"/>
      <c r="CH69" s="159"/>
      <c r="CI69" s="159"/>
      <c r="CJ69" s="159"/>
      <c r="CK69" s="159"/>
      <c r="CL69" s="159"/>
      <c r="CM69" s="159"/>
      <c r="CN69" s="159"/>
      <c r="CO69" s="159"/>
      <c r="CP69" s="159"/>
      <c r="CQ69" s="159"/>
      <c r="CR69" s="159"/>
      <c r="CS69" s="159"/>
      <c r="CT69" s="159"/>
      <c r="CU69" s="159"/>
      <c r="CV69" s="159"/>
      <c r="CW69" s="159"/>
      <c r="CX69" s="159"/>
      <c r="CY69" s="159"/>
      <c r="CZ69" s="159"/>
      <c r="DA69" s="159"/>
      <c r="DB69" s="159"/>
      <c r="DC69" s="159"/>
      <c r="DD69" s="159"/>
      <c r="DE69" s="159"/>
      <c r="DF69" s="159"/>
      <c r="DG69" s="159"/>
      <c r="DH69" s="159"/>
      <c r="DI69" s="159"/>
      <c r="DJ69" s="159"/>
      <c r="DK69" s="159"/>
      <c r="DL69" s="159"/>
      <c r="DM69" s="159"/>
      <c r="DN69" s="159"/>
      <c r="DO69" s="159"/>
      <c r="DP69" s="159"/>
      <c r="DQ69" s="159"/>
      <c r="DR69" s="159"/>
      <c r="DS69" s="159"/>
      <c r="DT69" s="159"/>
      <c r="DU69" s="159"/>
      <c r="DV69" s="159"/>
      <c r="DW69" s="159"/>
      <c r="DX69" s="159"/>
      <c r="DY69" s="159"/>
      <c r="DZ69" s="159"/>
      <c r="EA69" s="159"/>
      <c r="EB69" s="159"/>
      <c r="EC69" s="159"/>
      <c r="ED69" s="159"/>
      <c r="EE69" s="159"/>
      <c r="EF69" s="159"/>
      <c r="EG69" s="159"/>
      <c r="EH69" s="159"/>
      <c r="EI69" s="159"/>
      <c r="EJ69" s="159"/>
      <c r="EK69" s="159"/>
      <c r="EL69" s="159"/>
      <c r="EM69" s="159"/>
      <c r="EN69" s="159"/>
      <c r="EO69" s="159"/>
      <c r="EP69" s="159"/>
      <c r="EQ69" s="159"/>
      <c r="ER69" s="159"/>
      <c r="ES69" s="159"/>
      <c r="ET69" s="159"/>
      <c r="EU69" s="159"/>
      <c r="EV69" s="159"/>
      <c r="EW69" s="159"/>
      <c r="EX69" s="159"/>
      <c r="EY69" s="159"/>
      <c r="EZ69" s="159"/>
      <c r="FA69" s="159"/>
      <c r="FB69" s="159"/>
      <c r="FC69" s="159"/>
      <c r="FD69" s="159"/>
      <c r="FE69" s="159"/>
      <c r="FF69" s="159"/>
      <c r="FG69" s="159"/>
      <c r="FH69" s="159"/>
      <c r="FI69" s="159"/>
      <c r="FJ69" s="159"/>
      <c r="FK69" s="159"/>
      <c r="FL69" s="159"/>
      <c r="FM69" s="159"/>
      <c r="FN69" s="159"/>
      <c r="FO69" s="159"/>
      <c r="FP69" s="159"/>
      <c r="FQ69" s="159"/>
      <c r="FR69" s="159"/>
      <c r="FS69" s="159"/>
      <c r="FT69" s="159"/>
      <c r="FU69" s="159"/>
      <c r="FV69" s="159"/>
      <c r="FW69" s="159"/>
      <c r="FX69" s="159"/>
      <c r="FY69" s="159"/>
      <c r="FZ69" s="159"/>
      <c r="GA69" s="159"/>
      <c r="GB69" s="159"/>
      <c r="GC69" s="159"/>
      <c r="GD69" s="159"/>
      <c r="GE69" s="159"/>
      <c r="GF69" s="159"/>
      <c r="GG69" s="159"/>
      <c r="GH69" s="159"/>
      <c r="GI69" s="159"/>
      <c r="GJ69" s="159"/>
      <c r="GK69" s="159"/>
      <c r="GL69" s="159"/>
      <c r="GM69" s="159"/>
      <c r="GN69" s="159"/>
      <c r="GO69" s="159"/>
      <c r="GP69" s="159"/>
      <c r="GQ69" s="159"/>
      <c r="GR69" s="159"/>
      <c r="GS69" s="159"/>
      <c r="GT69" s="159"/>
      <c r="GU69" s="159"/>
      <c r="GV69" s="159"/>
      <c r="GW69" s="159"/>
      <c r="GX69" s="159"/>
      <c r="GY69" s="159"/>
      <c r="GZ69" s="159"/>
      <c r="HA69" s="159"/>
      <c r="HB69" s="159"/>
      <c r="HC69" s="159"/>
      <c r="HD69" s="159"/>
      <c r="HE69" s="159"/>
      <c r="HF69" s="159"/>
      <c r="HG69" s="159"/>
      <c r="HH69" s="159"/>
      <c r="HI69" s="159"/>
      <c r="HJ69" s="159"/>
      <c r="HK69" s="159"/>
      <c r="HL69" s="159"/>
      <c r="HM69" s="159"/>
      <c r="HN69" s="159"/>
      <c r="HO69" s="159"/>
      <c r="HP69" s="159"/>
      <c r="HQ69" s="159"/>
      <c r="HR69" s="159"/>
      <c r="HS69" s="159"/>
      <c r="HT69" s="159"/>
      <c r="HU69" s="159"/>
      <c r="HV69" s="159"/>
      <c r="HW69" s="159"/>
      <c r="HX69" s="159"/>
      <c r="HY69" s="159"/>
      <c r="HZ69" s="159"/>
      <c r="IA69" s="159"/>
      <c r="IB69" s="159"/>
      <c r="IC69" s="159"/>
      <c r="ID69" s="159"/>
      <c r="IE69" s="159"/>
      <c r="IF69" s="159"/>
      <c r="IG69" s="159"/>
      <c r="IH69" s="159"/>
      <c r="II69" s="159"/>
      <c r="IJ69" s="159"/>
      <c r="IK69" s="159"/>
      <c r="IL69" s="159"/>
      <c r="IM69" s="159"/>
      <c r="IN69" s="159"/>
      <c r="IO69" s="159"/>
      <c r="IP69" s="159"/>
      <c r="IQ69" s="159"/>
      <c r="IR69" s="159"/>
      <c r="IS69" s="159"/>
      <c r="IT69" s="159"/>
      <c r="IU69" s="159"/>
      <c r="IV69" s="159"/>
      <c r="IW69" s="159"/>
      <c r="IX69" s="159"/>
      <c r="IY69" s="159"/>
      <c r="IZ69" s="159"/>
      <c r="JA69" s="159"/>
      <c r="JB69" s="159"/>
      <c r="JC69" s="159"/>
      <c r="JD69" s="159"/>
      <c r="JE69" s="159"/>
      <c r="JF69" s="159"/>
      <c r="JG69" s="159"/>
      <c r="JH69" s="159"/>
      <c r="JI69" s="159"/>
      <c r="JJ69" s="159"/>
      <c r="JK69" s="159"/>
      <c r="JL69" s="159"/>
      <c r="JM69" s="159"/>
      <c r="JN69" s="159"/>
      <c r="JO69" s="159"/>
      <c r="JP69" s="159"/>
      <c r="JQ69" s="159"/>
      <c r="JR69" s="159"/>
      <c r="JS69" s="159"/>
      <c r="JT69" s="159"/>
      <c r="JU69" s="159"/>
      <c r="JV69" s="159"/>
      <c r="JW69" s="159"/>
      <c r="JX69" s="159"/>
      <c r="JY69" s="159"/>
      <c r="JZ69" s="159"/>
      <c r="KA69" s="159"/>
      <c r="KB69" s="159"/>
      <c r="KC69" s="159"/>
      <c r="KD69" s="159"/>
      <c r="KE69" s="159"/>
      <c r="KF69" s="159"/>
      <c r="KG69" s="159"/>
      <c r="KH69" s="159"/>
      <c r="KI69" s="159"/>
      <c r="KJ69" s="159"/>
      <c r="KK69" s="159"/>
      <c r="KL69" s="159"/>
      <c r="KM69" s="159"/>
      <c r="KN69" s="159"/>
      <c r="KO69" s="159"/>
      <c r="KP69" s="159"/>
      <c r="KQ69" s="159"/>
      <c r="KR69" s="159"/>
      <c r="KS69" s="159"/>
      <c r="KT69" s="159"/>
      <c r="KU69" s="159"/>
      <c r="KV69" s="159"/>
      <c r="KW69" s="159"/>
      <c r="KX69" s="159"/>
      <c r="KY69" s="159"/>
      <c r="KZ69" s="159"/>
      <c r="LA69" s="159"/>
      <c r="LB69" s="159"/>
      <c r="LC69" s="159"/>
      <c r="LD69" s="159"/>
      <c r="LE69" s="159"/>
      <c r="LF69" s="159"/>
      <c r="LG69" s="159"/>
      <c r="LH69" s="159"/>
      <c r="LI69" s="159"/>
      <c r="LJ69" s="159"/>
      <c r="LK69" s="159"/>
      <c r="LL69" s="159"/>
      <c r="LM69" s="159"/>
      <c r="LN69" s="159"/>
      <c r="LO69" s="159"/>
      <c r="LP69" s="159"/>
      <c r="LQ69" s="159"/>
      <c r="LR69" s="159"/>
      <c r="LS69" s="159"/>
      <c r="LT69" s="159"/>
      <c r="LU69" s="159"/>
      <c r="LV69" s="159"/>
      <c r="LW69" s="159"/>
      <c r="LX69" s="159"/>
      <c r="LY69" s="159"/>
      <c r="LZ69" s="159"/>
      <c r="MA69" s="159"/>
      <c r="MB69" s="159"/>
      <c r="MC69" s="159"/>
      <c r="MD69" s="159"/>
      <c r="ME69" s="159"/>
      <c r="MF69" s="159"/>
      <c r="MG69" s="159"/>
      <c r="MH69" s="159"/>
      <c r="MI69" s="159"/>
      <c r="MJ69" s="159"/>
      <c r="MK69" s="159"/>
      <c r="ML69" s="159"/>
      <c r="MM69" s="159"/>
      <c r="MN69" s="159"/>
      <c r="MO69" s="159"/>
      <c r="MP69" s="159"/>
      <c r="MQ69" s="159"/>
      <c r="MR69" s="159"/>
      <c r="MS69" s="159"/>
      <c r="MT69" s="159"/>
      <c r="MU69" s="159"/>
      <c r="MV69" s="159"/>
      <c r="MW69" s="159"/>
      <c r="MX69" s="159"/>
      <c r="MY69" s="159"/>
      <c r="MZ69" s="159"/>
      <c r="NA69" s="159"/>
      <c r="NB69" s="159"/>
      <c r="NC69" s="159"/>
      <c r="ND69" s="159"/>
      <c r="NE69" s="159"/>
      <c r="NF69" s="159"/>
      <c r="NG69" s="159"/>
      <c r="NH69" s="159"/>
      <c r="NI69" s="159"/>
      <c r="NJ69" s="159"/>
      <c r="NK69" s="159"/>
      <c r="NL69" s="159"/>
      <c r="NM69" s="159"/>
      <c r="NN69" s="159"/>
      <c r="NO69" s="159"/>
      <c r="NP69" s="159"/>
      <c r="NQ69" s="159"/>
      <c r="NR69" s="159"/>
      <c r="NS69" s="159"/>
      <c r="NT69" s="159"/>
      <c r="NU69" s="159"/>
      <c r="NV69" s="159"/>
      <c r="NW69" s="159"/>
      <c r="NX69" s="159"/>
      <c r="NY69" s="159"/>
      <c r="NZ69" s="159"/>
      <c r="OA69" s="159"/>
      <c r="OB69" s="159"/>
      <c r="OC69" s="159"/>
      <c r="OD69" s="159"/>
      <c r="OE69" s="159"/>
      <c r="OF69" s="159"/>
      <c r="OG69" s="159"/>
      <c r="OH69" s="159"/>
      <c r="OI69" s="159"/>
      <c r="OJ69" s="159"/>
      <c r="OK69" s="159"/>
      <c r="OL69" s="159"/>
      <c r="OM69" s="159"/>
      <c r="ON69" s="159"/>
      <c r="OO69" s="159"/>
      <c r="OP69" s="159"/>
      <c r="OQ69" s="159"/>
      <c r="OR69" s="159"/>
      <c r="OS69" s="159"/>
      <c r="OT69" s="159"/>
      <c r="OU69" s="159"/>
      <c r="OV69" s="159"/>
      <c r="OW69" s="159"/>
      <c r="OX69" s="159"/>
      <c r="OY69" s="159"/>
      <c r="OZ69" s="159"/>
      <c r="PA69" s="159"/>
      <c r="PB69" s="159"/>
      <c r="PC69" s="159"/>
      <c r="PD69" s="159"/>
      <c r="PE69" s="159"/>
      <c r="PF69" s="159"/>
      <c r="PG69" s="159"/>
      <c r="PH69" s="159"/>
      <c r="PI69" s="159"/>
      <c r="PJ69" s="159"/>
      <c r="PK69" s="159"/>
      <c r="PL69" s="159"/>
      <c r="PM69" s="159"/>
      <c r="PN69" s="159"/>
      <c r="PO69" s="159"/>
      <c r="PP69" s="159"/>
      <c r="PQ69" s="159"/>
      <c r="PR69" s="159"/>
      <c r="PS69" s="159"/>
      <c r="PT69" s="159"/>
      <c r="PU69" s="159"/>
      <c r="PV69" s="159"/>
      <c r="PW69" s="159"/>
      <c r="PX69" s="159"/>
      <c r="PY69" s="159"/>
      <c r="PZ69" s="159"/>
      <c r="QA69" s="159"/>
      <c r="QB69" s="159"/>
      <c r="QC69" s="159"/>
      <c r="QD69" s="159"/>
      <c r="QE69" s="159"/>
      <c r="QF69" s="159"/>
      <c r="QG69" s="159"/>
      <c r="QH69" s="159"/>
      <c r="QI69" s="159"/>
      <c r="QJ69" s="159"/>
      <c r="QK69" s="159"/>
      <c r="QL69" s="159"/>
      <c r="QM69" s="159"/>
      <c r="QN69" s="159"/>
      <c r="QO69" s="159"/>
      <c r="QP69" s="159"/>
      <c r="QQ69" s="159"/>
      <c r="QR69" s="159"/>
      <c r="QS69" s="159"/>
      <c r="QT69" s="159"/>
      <c r="QU69" s="159"/>
      <c r="QV69" s="159"/>
      <c r="QW69" s="159"/>
      <c r="QX69" s="159"/>
      <c r="QY69" s="159"/>
      <c r="QZ69" s="159"/>
      <c r="RA69" s="159"/>
      <c r="RB69" s="159"/>
      <c r="RC69" s="159"/>
      <c r="RD69" s="159"/>
      <c r="RE69" s="159"/>
      <c r="RF69" s="159"/>
      <c r="RG69" s="159"/>
      <c r="RH69" s="159"/>
      <c r="RI69" s="159"/>
      <c r="RJ69" s="159"/>
      <c r="RK69" s="159"/>
      <c r="RL69" s="159"/>
      <c r="RM69" s="159"/>
      <c r="RN69" s="159"/>
      <c r="RO69" s="159"/>
      <c r="RP69" s="159"/>
      <c r="RQ69" s="159"/>
      <c r="RR69" s="159"/>
      <c r="RS69" s="159"/>
      <c r="RT69" s="159"/>
      <c r="RU69" s="159"/>
      <c r="RV69" s="159"/>
      <c r="RW69" s="159"/>
      <c r="RX69" s="159"/>
      <c r="RY69" s="159"/>
      <c r="RZ69" s="159"/>
      <c r="SA69" s="159"/>
      <c r="SB69" s="159"/>
      <c r="SC69" s="159"/>
      <c r="SD69" s="159"/>
      <c r="SE69" s="159"/>
      <c r="SF69" s="159"/>
      <c r="SG69" s="159"/>
      <c r="SH69" s="159"/>
      <c r="SI69" s="159"/>
      <c r="SJ69" s="159"/>
      <c r="SK69" s="159"/>
      <c r="SL69" s="159"/>
      <c r="SM69" s="159"/>
      <c r="SN69" s="159"/>
      <c r="SO69" s="159"/>
      <c r="SP69" s="159"/>
      <c r="SQ69" s="159"/>
      <c r="SR69" s="159"/>
      <c r="SS69" s="159"/>
      <c r="ST69" s="159"/>
      <c r="SU69" s="159"/>
      <c r="SV69" s="159"/>
      <c r="SW69" s="159"/>
      <c r="SX69" s="159"/>
      <c r="SY69" s="159"/>
      <c r="SZ69" s="159"/>
      <c r="TA69" s="159"/>
      <c r="TB69" s="159"/>
      <c r="TC69" s="159"/>
      <c r="TD69" s="159"/>
      <c r="TE69" s="159"/>
      <c r="TF69" s="159"/>
      <c r="TG69" s="159"/>
      <c r="TH69" s="159"/>
      <c r="TI69" s="159"/>
      <c r="TJ69" s="159"/>
      <c r="TK69" s="159"/>
      <c r="TL69" s="159"/>
      <c r="TM69" s="159"/>
      <c r="TN69" s="159"/>
      <c r="TO69" s="159"/>
      <c r="TP69" s="159"/>
      <c r="TQ69" s="159"/>
      <c r="TR69" s="159"/>
      <c r="TS69" s="159"/>
      <c r="TT69" s="159"/>
      <c r="TU69" s="159"/>
      <c r="TV69" s="159"/>
      <c r="TW69" s="159"/>
      <c r="TX69" s="159"/>
      <c r="TY69" s="159"/>
      <c r="TZ69" s="159"/>
      <c r="UA69" s="159"/>
      <c r="UB69" s="159"/>
      <c r="UC69" s="159"/>
      <c r="UD69" s="159"/>
      <c r="UE69" s="159"/>
      <c r="UF69" s="159"/>
      <c r="UG69" s="159"/>
      <c r="UH69" s="159"/>
      <c r="UI69" s="159"/>
      <c r="UJ69" s="159"/>
      <c r="UK69" s="159"/>
      <c r="UL69" s="159"/>
      <c r="UM69" s="159"/>
      <c r="UN69" s="159"/>
      <c r="UO69" s="159"/>
      <c r="UP69" s="159"/>
      <c r="UQ69" s="159"/>
      <c r="UR69" s="159"/>
      <c r="US69" s="159"/>
      <c r="UT69" s="159"/>
      <c r="UU69" s="159"/>
      <c r="UV69" s="159"/>
      <c r="UW69" s="159"/>
      <c r="UX69" s="159"/>
      <c r="UY69" s="159"/>
      <c r="UZ69" s="159"/>
      <c r="VA69" s="159"/>
      <c r="VB69" s="159"/>
      <c r="VC69" s="159"/>
      <c r="VD69" s="159"/>
      <c r="VE69" s="159"/>
      <c r="VF69" s="159"/>
      <c r="VG69" s="159"/>
      <c r="VH69" s="159"/>
      <c r="VI69" s="159"/>
      <c r="VJ69" s="159"/>
      <c r="VK69" s="159"/>
      <c r="VL69" s="159"/>
      <c r="VM69" s="159"/>
      <c r="VN69" s="159"/>
      <c r="VO69" s="159"/>
      <c r="VP69" s="159"/>
      <c r="VQ69" s="159"/>
      <c r="VR69" s="159"/>
      <c r="VS69" s="159"/>
      <c r="VT69" s="159"/>
      <c r="VU69" s="159"/>
      <c r="VV69" s="159"/>
      <c r="VW69" s="159"/>
      <c r="VX69" s="159"/>
      <c r="VY69" s="159"/>
      <c r="VZ69" s="159"/>
      <c r="WA69" s="159"/>
      <c r="WB69" s="159"/>
      <c r="WC69" s="159"/>
      <c r="WD69" s="159"/>
      <c r="WE69" s="159"/>
      <c r="WF69" s="159"/>
      <c r="WG69" s="159"/>
      <c r="WH69" s="159"/>
      <c r="WI69" s="159"/>
      <c r="WJ69" s="159"/>
      <c r="WK69" s="159"/>
      <c r="WL69" s="159"/>
      <c r="WM69" s="159"/>
      <c r="WN69" s="159"/>
      <c r="WO69" s="159"/>
      <c r="WP69" s="159"/>
      <c r="WQ69" s="159"/>
      <c r="WR69" s="159"/>
      <c r="WS69" s="159"/>
      <c r="WT69" s="159"/>
      <c r="WU69" s="159"/>
      <c r="WV69" s="159"/>
      <c r="WW69" s="159"/>
      <c r="WX69" s="159"/>
      <c r="WY69" s="159"/>
      <c r="WZ69" s="159"/>
      <c r="XA69" s="159"/>
      <c r="XB69" s="159"/>
      <c r="XC69" s="159"/>
      <c r="XD69" s="159"/>
      <c r="XE69" s="159"/>
      <c r="XF69" s="159"/>
      <c r="XG69" s="159"/>
      <c r="XH69" s="159"/>
      <c r="XI69" s="159"/>
      <c r="XJ69" s="159"/>
      <c r="XK69" s="159"/>
      <c r="XL69" s="159"/>
      <c r="XM69" s="159"/>
      <c r="XN69" s="159"/>
      <c r="XO69" s="159"/>
      <c r="XP69" s="159"/>
      <c r="XQ69" s="159"/>
      <c r="XR69" s="159"/>
      <c r="XS69" s="159"/>
      <c r="XT69" s="159"/>
      <c r="XU69" s="159"/>
      <c r="XV69" s="159"/>
      <c r="XW69" s="159"/>
      <c r="XX69" s="159"/>
      <c r="XY69" s="159"/>
      <c r="XZ69" s="159"/>
      <c r="YA69" s="159"/>
      <c r="YB69" s="159"/>
      <c r="YC69" s="159"/>
      <c r="YD69" s="159"/>
      <c r="YE69" s="159"/>
      <c r="YF69" s="159"/>
      <c r="YG69" s="159"/>
      <c r="YH69" s="159"/>
      <c r="YI69" s="159"/>
      <c r="YJ69" s="159"/>
      <c r="YK69" s="159"/>
      <c r="YL69" s="159"/>
      <c r="YM69" s="159"/>
      <c r="YN69" s="159"/>
      <c r="YO69" s="159"/>
      <c r="YP69" s="159"/>
      <c r="YQ69" s="159"/>
      <c r="YR69" s="159"/>
      <c r="YS69" s="159"/>
      <c r="YT69" s="159"/>
      <c r="YU69" s="159"/>
      <c r="YV69" s="159"/>
      <c r="YW69" s="159"/>
      <c r="YX69" s="159"/>
      <c r="YY69" s="159"/>
      <c r="YZ69" s="159"/>
      <c r="ZA69" s="159"/>
      <c r="ZB69" s="159"/>
      <c r="ZC69" s="159"/>
      <c r="ZD69" s="159"/>
      <c r="ZE69" s="159"/>
      <c r="ZF69" s="159"/>
      <c r="ZG69" s="159"/>
      <c r="ZH69" s="159"/>
      <c r="ZI69" s="159"/>
      <c r="ZJ69" s="159"/>
      <c r="ZK69" s="159"/>
      <c r="ZL69" s="159"/>
      <c r="ZM69" s="159"/>
      <c r="ZN69" s="159"/>
      <c r="ZO69" s="159"/>
      <c r="ZP69" s="159"/>
      <c r="ZQ69" s="159"/>
      <c r="ZR69" s="159"/>
      <c r="ZS69" s="159"/>
      <c r="ZT69" s="159"/>
      <c r="ZU69" s="159"/>
      <c r="ZV69" s="159"/>
      <c r="ZW69" s="159"/>
      <c r="ZX69" s="159"/>
      <c r="ZY69" s="159"/>
      <c r="ZZ69" s="159"/>
      <c r="AAA69" s="159"/>
      <c r="AAB69" s="159"/>
      <c r="AAC69" s="159"/>
      <c r="AAD69" s="159"/>
      <c r="AAE69" s="159"/>
      <c r="AAF69" s="159"/>
      <c r="AAG69" s="159"/>
      <c r="AAH69" s="159"/>
      <c r="AAI69" s="159"/>
      <c r="AAJ69" s="159"/>
      <c r="AAK69" s="159"/>
      <c r="AAL69" s="159"/>
      <c r="AAM69" s="159"/>
      <c r="AAN69" s="159"/>
      <c r="AAO69" s="159"/>
      <c r="AAP69" s="159"/>
      <c r="AAQ69" s="159"/>
      <c r="AAR69" s="159"/>
      <c r="AAS69" s="159"/>
      <c r="AAT69" s="159"/>
      <c r="AAU69" s="159"/>
      <c r="AAV69" s="159"/>
      <c r="AAW69" s="159"/>
      <c r="AAX69" s="159"/>
      <c r="AAY69" s="159"/>
      <c r="AAZ69" s="159"/>
      <c r="ABA69" s="159"/>
      <c r="ABB69" s="159"/>
      <c r="ABC69" s="159"/>
      <c r="ABD69" s="159"/>
      <c r="ABE69" s="159"/>
      <c r="ABF69" s="159"/>
      <c r="ABG69" s="159"/>
      <c r="ABH69" s="159"/>
      <c r="ABI69" s="159"/>
      <c r="ABJ69" s="159"/>
      <c r="ABK69" s="159"/>
      <c r="ABL69" s="159"/>
      <c r="ABM69" s="159"/>
      <c r="ABN69" s="159"/>
      <c r="ABO69" s="159"/>
      <c r="ABP69" s="159"/>
      <c r="ABQ69" s="159"/>
      <c r="ABR69" s="159"/>
      <c r="ABS69" s="159"/>
      <c r="ABT69" s="159"/>
      <c r="ABU69" s="159"/>
      <c r="ABV69" s="159"/>
      <c r="ABW69" s="159"/>
      <c r="ABX69" s="159"/>
      <c r="ABY69" s="159"/>
      <c r="ABZ69" s="159"/>
      <c r="ACA69" s="159"/>
      <c r="ACB69" s="159"/>
      <c r="ACC69" s="159"/>
      <c r="ACD69" s="159"/>
      <c r="ACE69" s="159"/>
      <c r="ACF69" s="159"/>
      <c r="ACG69" s="159"/>
      <c r="ACH69" s="159"/>
      <c r="ACI69" s="159"/>
      <c r="ACJ69" s="159"/>
      <c r="ACK69" s="159"/>
      <c r="ACL69" s="159"/>
      <c r="ACM69" s="159"/>
      <c r="ACN69" s="159"/>
      <c r="ACO69" s="159"/>
      <c r="ACP69" s="159"/>
      <c r="ACQ69" s="159"/>
      <c r="ACR69" s="159"/>
      <c r="ACS69" s="159"/>
      <c r="ACT69" s="159"/>
      <c r="ACU69" s="159"/>
      <c r="ACV69" s="159"/>
      <c r="ACW69" s="159"/>
      <c r="ACX69" s="159"/>
      <c r="ACY69" s="159"/>
      <c r="ACZ69" s="159"/>
      <c r="ADA69" s="159"/>
      <c r="ADB69" s="159"/>
      <c r="ADC69" s="159"/>
      <c r="ADD69" s="159"/>
      <c r="ADE69" s="159"/>
      <c r="ADF69" s="159"/>
      <c r="ADG69" s="159"/>
      <c r="ADH69" s="159"/>
      <c r="ADI69" s="159"/>
      <c r="ADJ69" s="159"/>
      <c r="ADK69" s="159"/>
      <c r="ADL69" s="159"/>
      <c r="ADM69" s="159"/>
      <c r="ADN69" s="159"/>
      <c r="ADO69" s="159"/>
      <c r="ADP69" s="159"/>
      <c r="ADQ69" s="159"/>
      <c r="ADR69" s="159"/>
      <c r="ADS69" s="159"/>
      <c r="ADT69" s="159"/>
      <c r="ADU69" s="159"/>
      <c r="ADV69" s="159"/>
      <c r="ADW69" s="159"/>
      <c r="ADX69" s="159"/>
      <c r="ADY69" s="159"/>
      <c r="ADZ69" s="159"/>
      <c r="AEA69" s="159"/>
      <c r="AEB69" s="159"/>
      <c r="AEC69" s="159"/>
      <c r="AED69" s="159"/>
      <c r="AEE69" s="159"/>
      <c r="AEF69" s="159"/>
      <c r="AEG69" s="159"/>
      <c r="AEH69" s="159"/>
      <c r="AEI69" s="159"/>
      <c r="AEJ69" s="159"/>
      <c r="AEK69" s="159"/>
      <c r="AEL69" s="159"/>
      <c r="AEM69" s="159"/>
      <c r="AEN69" s="159"/>
      <c r="AEO69" s="159"/>
      <c r="AEP69" s="159"/>
      <c r="AEQ69" s="159"/>
      <c r="AER69" s="159"/>
      <c r="AES69" s="159"/>
      <c r="AET69" s="159"/>
      <c r="AEU69" s="159"/>
      <c r="AEV69" s="159"/>
      <c r="AEW69" s="159"/>
      <c r="AEX69" s="159"/>
      <c r="AEY69" s="159"/>
      <c r="AEZ69" s="159"/>
      <c r="AFA69" s="159"/>
      <c r="AFB69" s="159"/>
      <c r="AFC69" s="159"/>
      <c r="AFD69" s="159"/>
      <c r="AFE69" s="159"/>
      <c r="AFF69" s="159"/>
      <c r="AFG69" s="159"/>
      <c r="AFH69" s="159"/>
      <c r="AFI69" s="159"/>
      <c r="AFJ69" s="159"/>
      <c r="AFK69" s="159"/>
      <c r="AFL69" s="159"/>
      <c r="AFM69" s="159"/>
      <c r="AFN69" s="159"/>
      <c r="AFO69" s="159"/>
      <c r="AFP69" s="159"/>
      <c r="AFQ69" s="159"/>
      <c r="AFR69" s="159"/>
      <c r="AFS69" s="159"/>
      <c r="AFT69" s="159"/>
      <c r="AFU69" s="159"/>
      <c r="AFV69" s="159"/>
      <c r="AFW69" s="159"/>
      <c r="AFX69" s="159"/>
      <c r="AFY69" s="159"/>
      <c r="AFZ69" s="159"/>
      <c r="AGA69" s="159"/>
      <c r="AGB69" s="159"/>
      <c r="AGC69" s="159"/>
      <c r="AGD69" s="159"/>
      <c r="AGE69" s="159"/>
      <c r="AGF69" s="159"/>
      <c r="AGG69" s="159"/>
      <c r="AGH69" s="159"/>
      <c r="AGI69" s="159"/>
      <c r="AGJ69" s="159"/>
      <c r="AGK69" s="159"/>
      <c r="AGL69" s="159"/>
      <c r="AGM69" s="159"/>
      <c r="AGN69" s="159"/>
      <c r="AGO69" s="159"/>
      <c r="AGP69" s="159"/>
      <c r="AGQ69" s="159"/>
      <c r="AGR69" s="159"/>
      <c r="AGS69" s="159"/>
      <c r="AGT69" s="159"/>
      <c r="AGU69" s="159"/>
      <c r="AGV69" s="159"/>
      <c r="AGW69" s="159"/>
      <c r="AGX69" s="159"/>
      <c r="AGY69" s="159"/>
      <c r="AGZ69" s="159"/>
      <c r="AHA69" s="159"/>
      <c r="AHB69" s="159"/>
      <c r="AHC69" s="159"/>
      <c r="AHD69" s="159"/>
      <c r="AHE69" s="159"/>
      <c r="AHF69" s="159"/>
      <c r="AHG69" s="159"/>
      <c r="AHH69" s="159"/>
      <c r="AHI69" s="159"/>
      <c r="AHJ69" s="159"/>
      <c r="AHK69" s="159"/>
      <c r="AHL69" s="159"/>
      <c r="AHM69" s="159"/>
      <c r="AHN69" s="159"/>
      <c r="AHO69" s="159"/>
      <c r="AHP69" s="159"/>
      <c r="AHQ69" s="159"/>
      <c r="AHR69" s="159"/>
      <c r="AHS69" s="159"/>
      <c r="AHT69" s="159"/>
      <c r="AHU69" s="159"/>
      <c r="AHV69" s="159"/>
      <c r="AHW69" s="159"/>
      <c r="AHX69" s="159"/>
      <c r="AHY69" s="159"/>
      <c r="AHZ69" s="159"/>
      <c r="AIA69" s="159"/>
      <c r="AIB69" s="159"/>
      <c r="AIC69" s="159"/>
      <c r="AID69" s="159"/>
      <c r="AIE69" s="159"/>
      <c r="AIF69" s="159"/>
      <c r="AIG69" s="159"/>
      <c r="AIH69" s="159"/>
      <c r="AII69" s="159"/>
      <c r="AIJ69" s="159"/>
      <c r="AIK69" s="159"/>
      <c r="AIL69" s="159"/>
      <c r="AIM69" s="159"/>
      <c r="AIN69" s="159"/>
      <c r="AIO69" s="159"/>
      <c r="AIP69" s="159"/>
      <c r="AIQ69" s="159"/>
      <c r="AIR69" s="159"/>
      <c r="AIS69" s="159"/>
      <c r="AIT69" s="159"/>
      <c r="AIU69" s="159"/>
      <c r="AIV69" s="159"/>
      <c r="AIW69" s="159"/>
      <c r="AIX69" s="159"/>
      <c r="AIY69" s="159"/>
      <c r="AIZ69" s="159"/>
      <c r="AJA69" s="159"/>
      <c r="AJB69" s="159"/>
      <c r="AJC69" s="159"/>
      <c r="AJD69" s="159"/>
      <c r="AJE69" s="159"/>
      <c r="AJF69" s="159"/>
      <c r="AJG69" s="159"/>
      <c r="AJH69" s="159"/>
      <c r="AJI69" s="159"/>
      <c r="AJJ69" s="159"/>
      <c r="AJK69" s="159"/>
      <c r="AJL69" s="159"/>
      <c r="AJM69" s="159"/>
      <c r="AJN69" s="159"/>
      <c r="AJO69" s="159"/>
      <c r="AJP69" s="159"/>
      <c r="AJQ69" s="159"/>
      <c r="AJR69" s="159"/>
      <c r="AJS69" s="159"/>
      <c r="AJT69" s="159"/>
      <c r="AJU69" s="159"/>
      <c r="AJV69" s="159"/>
      <c r="AJW69" s="159"/>
      <c r="AJX69" s="159"/>
      <c r="AJY69" s="159"/>
      <c r="AJZ69" s="159"/>
      <c r="AKA69" s="159"/>
      <c r="AKB69" s="159"/>
      <c r="AKC69" s="159"/>
      <c r="AKD69" s="159"/>
      <c r="AKE69" s="159"/>
      <c r="AKF69" s="159"/>
      <c r="AKG69" s="159"/>
      <c r="AKH69" s="159"/>
      <c r="AKI69" s="159"/>
      <c r="AKJ69" s="159"/>
      <c r="AKK69" s="159"/>
      <c r="AKL69" s="159"/>
      <c r="AKM69" s="159"/>
      <c r="AKN69" s="159"/>
      <c r="AKO69" s="159"/>
      <c r="AKP69" s="159"/>
      <c r="AKQ69" s="159"/>
      <c r="AKR69" s="159"/>
      <c r="AKS69" s="159"/>
      <c r="AKT69" s="159"/>
      <c r="AKU69" s="159"/>
      <c r="AKV69" s="159"/>
      <c r="AKW69" s="159"/>
      <c r="AKX69" s="159"/>
      <c r="AKY69" s="159"/>
      <c r="AKZ69" s="159"/>
      <c r="ALA69" s="159"/>
      <c r="ALB69" s="159"/>
      <c r="ALC69" s="159"/>
      <c r="ALD69" s="159"/>
      <c r="ALE69" s="159"/>
      <c r="ALF69" s="159"/>
      <c r="ALG69" s="159"/>
      <c r="ALH69" s="159"/>
      <c r="ALI69" s="159"/>
      <c r="ALJ69" s="159"/>
      <c r="ALK69" s="159"/>
      <c r="ALL69" s="159"/>
      <c r="ALM69" s="159"/>
      <c r="ALN69" s="159"/>
      <c r="ALO69" s="159"/>
      <c r="ALP69" s="159"/>
      <c r="ALQ69" s="159"/>
      <c r="ALR69" s="159"/>
      <c r="ALS69" s="159"/>
      <c r="ALT69" s="159"/>
      <c r="ALU69" s="159"/>
      <c r="ALV69" s="159"/>
      <c r="ALW69" s="159"/>
      <c r="ALX69" s="159"/>
      <c r="ALY69" s="159"/>
      <c r="ALZ69" s="159"/>
      <c r="AMA69" s="159"/>
      <c r="AMB69" s="159"/>
      <c r="AMC69" s="159"/>
      <c r="AMD69" s="159"/>
      <c r="AME69" s="159"/>
      <c r="AMF69" s="159"/>
      <c r="AMG69" s="159"/>
      <c r="AMH69" s="159"/>
      <c r="AMI69" s="159"/>
      <c r="AMJ69" s="159"/>
      <c r="AMK69" s="159"/>
      <c r="AML69" s="159"/>
      <c r="AMM69" s="159"/>
      <c r="AMN69" s="159"/>
      <c r="AMO69" s="159"/>
    </row>
    <row r="70" spans="1:1029" ht="25.5" x14ac:dyDescent="0.25">
      <c r="A70" s="8">
        <v>46119</v>
      </c>
      <c r="B70" s="16" t="s">
        <v>66</v>
      </c>
      <c r="C70" s="16" t="s">
        <v>82</v>
      </c>
      <c r="D70" s="105" t="s">
        <v>13</v>
      </c>
      <c r="E70" s="18" t="s">
        <v>105</v>
      </c>
      <c r="F70" s="16" t="s">
        <v>30</v>
      </c>
      <c r="G70" s="16" t="s">
        <v>31</v>
      </c>
      <c r="H70" s="17" t="b">
        <f t="shared" si="0"/>
        <v>0</v>
      </c>
      <c r="I70" s="18" t="s">
        <v>19</v>
      </c>
      <c r="J70" s="16" t="s">
        <v>130</v>
      </c>
      <c r="K70" s="16" t="s">
        <v>21</v>
      </c>
      <c r="L70" s="17" t="b">
        <f t="shared" si="1"/>
        <v>0</v>
      </c>
      <c r="M70" s="18" t="s">
        <v>22</v>
      </c>
      <c r="N70" s="16" t="s">
        <v>130</v>
      </c>
      <c r="O70" s="99" t="s">
        <v>21</v>
      </c>
      <c r="P70" s="17" t="b">
        <f t="shared" si="2"/>
        <v>0</v>
      </c>
      <c r="Q70" s="19" t="str">
        <f>M70</f>
        <v>Arrabbiata</v>
      </c>
      <c r="R70" s="16" t="str">
        <f>N70</f>
        <v>Champignonschnitzel</v>
      </c>
      <c r="S70" s="16" t="str">
        <f>O70</f>
        <v>Reis</v>
      </c>
      <c r="T70" s="17" t="b">
        <f t="shared" si="3"/>
        <v>0</v>
      </c>
    </row>
    <row r="71" spans="1:1029" ht="25.5" x14ac:dyDescent="0.25">
      <c r="A71" s="8">
        <v>46120</v>
      </c>
      <c r="B71" s="16" t="s">
        <v>254</v>
      </c>
      <c r="C71" s="16" t="s">
        <v>51</v>
      </c>
      <c r="D71" s="105" t="s">
        <v>21</v>
      </c>
      <c r="E71" s="18" t="s">
        <v>101</v>
      </c>
      <c r="F71" s="16" t="s">
        <v>119</v>
      </c>
      <c r="G71" s="16" t="s">
        <v>21</v>
      </c>
      <c r="H71" s="17">
        <f t="shared" si="0"/>
        <v>0.5</v>
      </c>
      <c r="I71" s="18" t="s">
        <v>35</v>
      </c>
      <c r="J71" s="16" t="s">
        <v>30</v>
      </c>
      <c r="K71" s="16" t="s">
        <v>31</v>
      </c>
      <c r="L71" s="17" t="b">
        <f t="shared" si="1"/>
        <v>0</v>
      </c>
      <c r="M71" s="118" t="s">
        <v>19</v>
      </c>
      <c r="N71" s="99" t="s">
        <v>117</v>
      </c>
      <c r="O71" s="99" t="s">
        <v>168</v>
      </c>
      <c r="P71" s="17" t="b">
        <f t="shared" si="2"/>
        <v>0</v>
      </c>
      <c r="Q71" s="19" t="s">
        <v>14</v>
      </c>
      <c r="R71" s="16" t="s">
        <v>88</v>
      </c>
      <c r="S71" s="16" t="s">
        <v>13</v>
      </c>
      <c r="T71" s="17" t="b">
        <f t="shared" si="3"/>
        <v>0</v>
      </c>
    </row>
    <row r="72" spans="1:1029" ht="25.5" x14ac:dyDescent="0.25">
      <c r="A72" s="8">
        <v>46121</v>
      </c>
      <c r="B72" s="16" t="s">
        <v>19</v>
      </c>
      <c r="C72" s="16" t="s">
        <v>68</v>
      </c>
      <c r="D72" s="105" t="s">
        <v>69</v>
      </c>
      <c r="E72" s="18" t="s">
        <v>193</v>
      </c>
      <c r="F72" s="16" t="s">
        <v>30</v>
      </c>
      <c r="G72" s="16" t="s">
        <v>31</v>
      </c>
      <c r="H72" s="17" t="b">
        <f t="shared" si="0"/>
        <v>0</v>
      </c>
      <c r="I72" s="18" t="s">
        <v>113</v>
      </c>
      <c r="J72" s="16" t="s">
        <v>38</v>
      </c>
      <c r="K72" s="16" t="s">
        <v>16</v>
      </c>
      <c r="L72" s="17" t="b">
        <f t="shared" si="1"/>
        <v>0</v>
      </c>
      <c r="M72" s="118" t="s">
        <v>42</v>
      </c>
      <c r="N72" s="99" t="s">
        <v>119</v>
      </c>
      <c r="O72" s="99" t="s">
        <v>21</v>
      </c>
      <c r="P72" s="17" t="b">
        <f t="shared" si="2"/>
        <v>0</v>
      </c>
      <c r="Q72" s="19" t="s">
        <v>64</v>
      </c>
      <c r="R72" s="16" t="s">
        <v>33</v>
      </c>
      <c r="S72" s="16" t="s">
        <v>34</v>
      </c>
      <c r="T72" s="17" t="b">
        <f t="shared" si="3"/>
        <v>0</v>
      </c>
    </row>
    <row r="73" spans="1:1029" s="161" customFormat="1" ht="26.25" thickBot="1" x14ac:dyDescent="0.3">
      <c r="A73" s="163">
        <v>46122</v>
      </c>
      <c r="B73" s="155" t="s">
        <v>73</v>
      </c>
      <c r="C73" s="155" t="s">
        <v>30</v>
      </c>
      <c r="D73" s="164" t="s">
        <v>31</v>
      </c>
      <c r="E73" s="154" t="s">
        <v>35</v>
      </c>
      <c r="F73" s="155" t="s">
        <v>10</v>
      </c>
      <c r="G73" s="155" t="s">
        <v>11</v>
      </c>
      <c r="H73" s="147" t="b">
        <f t="shared" ref="H73:H136" si="8">IF(ISBLANK($B73),$W$53,IF(AND($B73=E73,$C73=F73,$D73=G73),$W$50,IF(AND($B73=E73,OR($C73=F73,$D73=G73)),$W$51+$W$52,IF(OR($B73=E73,AND($C73=F73,$D73=G73)),$W$51,IF(OR($C73=F73,$D73=G73),$W$52)))))</f>
        <v>0</v>
      </c>
      <c r="I73" s="150" t="s">
        <v>35</v>
      </c>
      <c r="J73" s="151" t="s">
        <v>30</v>
      </c>
      <c r="K73" s="151" t="s">
        <v>31</v>
      </c>
      <c r="L73" s="145">
        <f t="shared" ref="L73:L136" si="9">IF(ISBLANK($B73),$W$53,IF(AND($B73=I73,$C73=J73,$D73=K73),$W$50,IF(AND($B73=I73,OR($C73=J73,$D73=K73)),$W$51+$W$52,IF(OR($B73=I73,AND($C73=J73,$D73=K73)),$W$51,IF(OR($C73=J73,$D73=K73),$W$52)))))</f>
        <v>1</v>
      </c>
      <c r="M73" s="150" t="s">
        <v>8</v>
      </c>
      <c r="N73" s="151" t="s">
        <v>38</v>
      </c>
      <c r="O73" s="151" t="s">
        <v>16</v>
      </c>
      <c r="P73" s="145" t="b">
        <f t="shared" ref="P73:P136" si="10">IF(ISBLANK($B73),$W$53,IF(AND($B73=M73,$C73=N73,$D73=O73),$W$50,IF(AND($B73=M73,OR($C73=N73,$D73=O73)),$W$51+$W$52,IF(OR($B73=M73,AND($C73=N73,$D73=O73)),$W$51,IF(OR($C73=N73,$D73=O73),$W$52)))))</f>
        <v>0</v>
      </c>
      <c r="Q73" s="156" t="str">
        <f>M73</f>
        <v>Lasagne</v>
      </c>
      <c r="R73" s="155" t="s">
        <v>10</v>
      </c>
      <c r="S73" s="155" t="s">
        <v>11</v>
      </c>
      <c r="T73" s="147" t="b">
        <f t="shared" ref="T73:T136" si="11">IF(ISBLANK($B73),$W$53,IF(AND($B73=Q73,$C73=R73,$D73=S73),$W$50,IF(AND($B73=Q73,OR($C73=R73,$D73=S73)),$W$51+$W$52,IF(OR($B73=Q73,AND($C73=R73,$D73=S73)),$W$51,IF(OR($C73=R73,$D73=S73),$W$52)))))</f>
        <v>0</v>
      </c>
      <c r="U73" s="159"/>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59"/>
      <c r="AT73" s="159"/>
      <c r="AU73" s="159"/>
      <c r="AV73" s="159"/>
      <c r="AW73" s="159"/>
      <c r="AX73" s="159"/>
      <c r="AY73" s="159"/>
      <c r="AZ73" s="159"/>
      <c r="BA73" s="159"/>
      <c r="BB73" s="159"/>
      <c r="BC73" s="159"/>
      <c r="BD73" s="159"/>
      <c r="BE73" s="159"/>
      <c r="BF73" s="159"/>
      <c r="BG73" s="159"/>
      <c r="BH73" s="159"/>
      <c r="BI73" s="159"/>
      <c r="BJ73" s="159"/>
      <c r="BK73" s="159"/>
      <c r="BL73" s="159"/>
      <c r="BM73" s="159"/>
      <c r="BN73" s="159"/>
      <c r="BO73" s="159"/>
      <c r="BP73" s="159"/>
      <c r="BQ73" s="159"/>
      <c r="BR73" s="159"/>
      <c r="BS73" s="159"/>
      <c r="BT73" s="159"/>
      <c r="BU73" s="159"/>
      <c r="BV73" s="159"/>
      <c r="BW73" s="159"/>
      <c r="BX73" s="159"/>
      <c r="BY73" s="159"/>
      <c r="BZ73" s="159"/>
      <c r="CA73" s="159"/>
      <c r="CB73" s="159"/>
      <c r="CC73" s="159"/>
      <c r="CD73" s="159"/>
      <c r="CE73" s="159"/>
      <c r="CF73" s="159"/>
      <c r="CG73" s="159"/>
      <c r="CH73" s="159"/>
      <c r="CI73" s="159"/>
      <c r="CJ73" s="159"/>
      <c r="CK73" s="159"/>
      <c r="CL73" s="159"/>
      <c r="CM73" s="159"/>
      <c r="CN73" s="159"/>
      <c r="CO73" s="159"/>
      <c r="CP73" s="159"/>
      <c r="CQ73" s="159"/>
      <c r="CR73" s="159"/>
      <c r="CS73" s="159"/>
      <c r="CT73" s="159"/>
      <c r="CU73" s="159"/>
      <c r="CV73" s="159"/>
      <c r="CW73" s="159"/>
      <c r="CX73" s="159"/>
      <c r="CY73" s="159"/>
      <c r="CZ73" s="159"/>
      <c r="DA73" s="159"/>
      <c r="DB73" s="159"/>
      <c r="DC73" s="159"/>
      <c r="DD73" s="159"/>
      <c r="DE73" s="159"/>
      <c r="DF73" s="159"/>
      <c r="DG73" s="159"/>
      <c r="DH73" s="159"/>
      <c r="DI73" s="159"/>
      <c r="DJ73" s="159"/>
      <c r="DK73" s="159"/>
      <c r="DL73" s="159"/>
      <c r="DM73" s="159"/>
      <c r="DN73" s="159"/>
      <c r="DO73" s="159"/>
      <c r="DP73" s="159"/>
      <c r="DQ73" s="159"/>
      <c r="DR73" s="159"/>
      <c r="DS73" s="159"/>
      <c r="DT73" s="159"/>
      <c r="DU73" s="159"/>
      <c r="DV73" s="159"/>
      <c r="DW73" s="159"/>
      <c r="DX73" s="159"/>
      <c r="DY73" s="159"/>
      <c r="DZ73" s="159"/>
      <c r="EA73" s="159"/>
      <c r="EB73" s="159"/>
      <c r="EC73" s="159"/>
      <c r="ED73" s="159"/>
      <c r="EE73" s="159"/>
      <c r="EF73" s="159"/>
      <c r="EG73" s="159"/>
      <c r="EH73" s="159"/>
      <c r="EI73" s="159"/>
      <c r="EJ73" s="159"/>
      <c r="EK73" s="159"/>
      <c r="EL73" s="159"/>
      <c r="EM73" s="159"/>
      <c r="EN73" s="159"/>
      <c r="EO73" s="159"/>
      <c r="EP73" s="159"/>
      <c r="EQ73" s="159"/>
      <c r="ER73" s="159"/>
      <c r="ES73" s="159"/>
      <c r="ET73" s="159"/>
      <c r="EU73" s="159"/>
      <c r="EV73" s="159"/>
      <c r="EW73" s="159"/>
      <c r="EX73" s="159"/>
      <c r="EY73" s="159"/>
      <c r="EZ73" s="159"/>
      <c r="FA73" s="159"/>
      <c r="FB73" s="159"/>
      <c r="FC73" s="159"/>
      <c r="FD73" s="159"/>
      <c r="FE73" s="159"/>
      <c r="FF73" s="159"/>
      <c r="FG73" s="159"/>
      <c r="FH73" s="159"/>
      <c r="FI73" s="159"/>
      <c r="FJ73" s="159"/>
      <c r="FK73" s="159"/>
      <c r="FL73" s="159"/>
      <c r="FM73" s="159"/>
      <c r="FN73" s="159"/>
      <c r="FO73" s="159"/>
      <c r="FP73" s="159"/>
      <c r="FQ73" s="159"/>
      <c r="FR73" s="159"/>
      <c r="FS73" s="159"/>
      <c r="FT73" s="159"/>
      <c r="FU73" s="159"/>
      <c r="FV73" s="159"/>
      <c r="FW73" s="159"/>
      <c r="FX73" s="159"/>
      <c r="FY73" s="159"/>
      <c r="FZ73" s="159"/>
      <c r="GA73" s="159"/>
      <c r="GB73" s="159"/>
      <c r="GC73" s="159"/>
      <c r="GD73" s="159"/>
      <c r="GE73" s="159"/>
      <c r="GF73" s="159"/>
      <c r="GG73" s="159"/>
      <c r="GH73" s="159"/>
      <c r="GI73" s="159"/>
      <c r="GJ73" s="159"/>
      <c r="GK73" s="159"/>
      <c r="GL73" s="159"/>
      <c r="GM73" s="159"/>
      <c r="GN73" s="159"/>
      <c r="GO73" s="159"/>
      <c r="GP73" s="159"/>
      <c r="GQ73" s="159"/>
      <c r="GR73" s="159"/>
      <c r="GS73" s="159"/>
      <c r="GT73" s="159"/>
      <c r="GU73" s="159"/>
      <c r="GV73" s="159"/>
      <c r="GW73" s="159"/>
      <c r="GX73" s="159"/>
      <c r="GY73" s="159"/>
      <c r="GZ73" s="159"/>
      <c r="HA73" s="159"/>
      <c r="HB73" s="159"/>
      <c r="HC73" s="159"/>
      <c r="HD73" s="159"/>
      <c r="HE73" s="159"/>
      <c r="HF73" s="159"/>
      <c r="HG73" s="159"/>
      <c r="HH73" s="159"/>
      <c r="HI73" s="159"/>
      <c r="HJ73" s="159"/>
      <c r="HK73" s="159"/>
      <c r="HL73" s="159"/>
      <c r="HM73" s="159"/>
      <c r="HN73" s="159"/>
      <c r="HO73" s="159"/>
      <c r="HP73" s="159"/>
      <c r="HQ73" s="159"/>
      <c r="HR73" s="159"/>
      <c r="HS73" s="159"/>
      <c r="HT73" s="159"/>
      <c r="HU73" s="159"/>
      <c r="HV73" s="159"/>
      <c r="HW73" s="159"/>
      <c r="HX73" s="159"/>
      <c r="HY73" s="159"/>
      <c r="HZ73" s="159"/>
      <c r="IA73" s="159"/>
      <c r="IB73" s="159"/>
      <c r="IC73" s="159"/>
      <c r="ID73" s="159"/>
      <c r="IE73" s="159"/>
      <c r="IF73" s="159"/>
      <c r="IG73" s="159"/>
      <c r="IH73" s="159"/>
      <c r="II73" s="159"/>
      <c r="IJ73" s="159"/>
      <c r="IK73" s="159"/>
      <c r="IL73" s="159"/>
      <c r="IM73" s="159"/>
      <c r="IN73" s="159"/>
      <c r="IO73" s="159"/>
      <c r="IP73" s="159"/>
      <c r="IQ73" s="159"/>
      <c r="IR73" s="159"/>
      <c r="IS73" s="159"/>
      <c r="IT73" s="159"/>
      <c r="IU73" s="159"/>
      <c r="IV73" s="159"/>
      <c r="IW73" s="159"/>
      <c r="IX73" s="159"/>
      <c r="IY73" s="159"/>
      <c r="IZ73" s="159"/>
      <c r="JA73" s="159"/>
      <c r="JB73" s="159"/>
      <c r="JC73" s="159"/>
      <c r="JD73" s="159"/>
      <c r="JE73" s="159"/>
      <c r="JF73" s="159"/>
      <c r="JG73" s="159"/>
      <c r="JH73" s="159"/>
      <c r="JI73" s="159"/>
      <c r="JJ73" s="159"/>
      <c r="JK73" s="159"/>
      <c r="JL73" s="159"/>
      <c r="JM73" s="159"/>
      <c r="JN73" s="159"/>
      <c r="JO73" s="159"/>
      <c r="JP73" s="159"/>
      <c r="JQ73" s="159"/>
      <c r="JR73" s="159"/>
      <c r="JS73" s="159"/>
      <c r="JT73" s="159"/>
      <c r="JU73" s="159"/>
      <c r="JV73" s="159"/>
      <c r="JW73" s="159"/>
      <c r="JX73" s="159"/>
      <c r="JY73" s="159"/>
      <c r="JZ73" s="159"/>
      <c r="KA73" s="159"/>
      <c r="KB73" s="159"/>
      <c r="KC73" s="159"/>
      <c r="KD73" s="159"/>
      <c r="KE73" s="159"/>
      <c r="KF73" s="159"/>
      <c r="KG73" s="159"/>
      <c r="KH73" s="159"/>
      <c r="KI73" s="159"/>
      <c r="KJ73" s="159"/>
      <c r="KK73" s="159"/>
      <c r="KL73" s="159"/>
      <c r="KM73" s="159"/>
      <c r="KN73" s="159"/>
      <c r="KO73" s="159"/>
      <c r="KP73" s="159"/>
      <c r="KQ73" s="159"/>
      <c r="KR73" s="159"/>
      <c r="KS73" s="159"/>
      <c r="KT73" s="159"/>
      <c r="KU73" s="159"/>
      <c r="KV73" s="159"/>
      <c r="KW73" s="159"/>
      <c r="KX73" s="159"/>
      <c r="KY73" s="159"/>
      <c r="KZ73" s="159"/>
      <c r="LA73" s="159"/>
      <c r="LB73" s="159"/>
      <c r="LC73" s="159"/>
      <c r="LD73" s="159"/>
      <c r="LE73" s="159"/>
      <c r="LF73" s="159"/>
      <c r="LG73" s="159"/>
      <c r="LH73" s="159"/>
      <c r="LI73" s="159"/>
      <c r="LJ73" s="159"/>
      <c r="LK73" s="159"/>
      <c r="LL73" s="159"/>
      <c r="LM73" s="159"/>
      <c r="LN73" s="159"/>
      <c r="LO73" s="159"/>
      <c r="LP73" s="159"/>
      <c r="LQ73" s="159"/>
      <c r="LR73" s="159"/>
      <c r="LS73" s="159"/>
      <c r="LT73" s="159"/>
      <c r="LU73" s="159"/>
      <c r="LV73" s="159"/>
      <c r="LW73" s="159"/>
      <c r="LX73" s="159"/>
      <c r="LY73" s="159"/>
      <c r="LZ73" s="159"/>
      <c r="MA73" s="159"/>
      <c r="MB73" s="159"/>
      <c r="MC73" s="159"/>
      <c r="MD73" s="159"/>
      <c r="ME73" s="159"/>
      <c r="MF73" s="159"/>
      <c r="MG73" s="159"/>
      <c r="MH73" s="159"/>
      <c r="MI73" s="159"/>
      <c r="MJ73" s="159"/>
      <c r="MK73" s="159"/>
      <c r="ML73" s="159"/>
      <c r="MM73" s="159"/>
      <c r="MN73" s="159"/>
      <c r="MO73" s="159"/>
      <c r="MP73" s="159"/>
      <c r="MQ73" s="159"/>
      <c r="MR73" s="159"/>
      <c r="MS73" s="159"/>
      <c r="MT73" s="159"/>
      <c r="MU73" s="159"/>
      <c r="MV73" s="159"/>
      <c r="MW73" s="159"/>
      <c r="MX73" s="159"/>
      <c r="MY73" s="159"/>
      <c r="MZ73" s="159"/>
      <c r="NA73" s="159"/>
      <c r="NB73" s="159"/>
      <c r="NC73" s="159"/>
      <c r="ND73" s="159"/>
      <c r="NE73" s="159"/>
      <c r="NF73" s="159"/>
      <c r="NG73" s="159"/>
      <c r="NH73" s="159"/>
      <c r="NI73" s="159"/>
      <c r="NJ73" s="159"/>
      <c r="NK73" s="159"/>
      <c r="NL73" s="159"/>
      <c r="NM73" s="159"/>
      <c r="NN73" s="159"/>
      <c r="NO73" s="159"/>
      <c r="NP73" s="159"/>
      <c r="NQ73" s="159"/>
      <c r="NR73" s="159"/>
      <c r="NS73" s="159"/>
      <c r="NT73" s="159"/>
      <c r="NU73" s="159"/>
      <c r="NV73" s="159"/>
      <c r="NW73" s="159"/>
      <c r="NX73" s="159"/>
      <c r="NY73" s="159"/>
      <c r="NZ73" s="159"/>
      <c r="OA73" s="159"/>
      <c r="OB73" s="159"/>
      <c r="OC73" s="159"/>
      <c r="OD73" s="159"/>
      <c r="OE73" s="159"/>
      <c r="OF73" s="159"/>
      <c r="OG73" s="159"/>
      <c r="OH73" s="159"/>
      <c r="OI73" s="159"/>
      <c r="OJ73" s="159"/>
      <c r="OK73" s="159"/>
      <c r="OL73" s="159"/>
      <c r="OM73" s="159"/>
      <c r="ON73" s="159"/>
      <c r="OO73" s="159"/>
      <c r="OP73" s="159"/>
      <c r="OQ73" s="159"/>
      <c r="OR73" s="159"/>
      <c r="OS73" s="159"/>
      <c r="OT73" s="159"/>
      <c r="OU73" s="159"/>
      <c r="OV73" s="159"/>
      <c r="OW73" s="159"/>
      <c r="OX73" s="159"/>
      <c r="OY73" s="159"/>
      <c r="OZ73" s="159"/>
      <c r="PA73" s="159"/>
      <c r="PB73" s="159"/>
      <c r="PC73" s="159"/>
      <c r="PD73" s="159"/>
      <c r="PE73" s="159"/>
      <c r="PF73" s="159"/>
      <c r="PG73" s="159"/>
      <c r="PH73" s="159"/>
      <c r="PI73" s="159"/>
      <c r="PJ73" s="159"/>
      <c r="PK73" s="159"/>
      <c r="PL73" s="159"/>
      <c r="PM73" s="159"/>
      <c r="PN73" s="159"/>
      <c r="PO73" s="159"/>
      <c r="PP73" s="159"/>
      <c r="PQ73" s="159"/>
      <c r="PR73" s="159"/>
      <c r="PS73" s="159"/>
      <c r="PT73" s="159"/>
      <c r="PU73" s="159"/>
      <c r="PV73" s="159"/>
      <c r="PW73" s="159"/>
      <c r="PX73" s="159"/>
      <c r="PY73" s="159"/>
      <c r="PZ73" s="159"/>
      <c r="QA73" s="159"/>
      <c r="QB73" s="159"/>
      <c r="QC73" s="159"/>
      <c r="QD73" s="159"/>
      <c r="QE73" s="159"/>
      <c r="QF73" s="159"/>
      <c r="QG73" s="159"/>
      <c r="QH73" s="159"/>
      <c r="QI73" s="159"/>
      <c r="QJ73" s="159"/>
      <c r="QK73" s="159"/>
      <c r="QL73" s="159"/>
      <c r="QM73" s="159"/>
      <c r="QN73" s="159"/>
      <c r="QO73" s="159"/>
      <c r="QP73" s="159"/>
      <c r="QQ73" s="159"/>
      <c r="QR73" s="159"/>
      <c r="QS73" s="159"/>
      <c r="QT73" s="159"/>
      <c r="QU73" s="159"/>
      <c r="QV73" s="159"/>
      <c r="QW73" s="159"/>
      <c r="QX73" s="159"/>
      <c r="QY73" s="159"/>
      <c r="QZ73" s="159"/>
      <c r="RA73" s="159"/>
      <c r="RB73" s="159"/>
      <c r="RC73" s="159"/>
      <c r="RD73" s="159"/>
      <c r="RE73" s="159"/>
      <c r="RF73" s="159"/>
      <c r="RG73" s="159"/>
      <c r="RH73" s="159"/>
      <c r="RI73" s="159"/>
      <c r="RJ73" s="159"/>
      <c r="RK73" s="159"/>
      <c r="RL73" s="159"/>
      <c r="RM73" s="159"/>
      <c r="RN73" s="159"/>
      <c r="RO73" s="159"/>
      <c r="RP73" s="159"/>
      <c r="RQ73" s="159"/>
      <c r="RR73" s="159"/>
      <c r="RS73" s="159"/>
      <c r="RT73" s="159"/>
      <c r="RU73" s="159"/>
      <c r="RV73" s="159"/>
      <c r="RW73" s="159"/>
      <c r="RX73" s="159"/>
      <c r="RY73" s="159"/>
      <c r="RZ73" s="159"/>
      <c r="SA73" s="159"/>
      <c r="SB73" s="159"/>
      <c r="SC73" s="159"/>
      <c r="SD73" s="159"/>
      <c r="SE73" s="159"/>
      <c r="SF73" s="159"/>
      <c r="SG73" s="159"/>
      <c r="SH73" s="159"/>
      <c r="SI73" s="159"/>
      <c r="SJ73" s="159"/>
      <c r="SK73" s="159"/>
      <c r="SL73" s="159"/>
      <c r="SM73" s="159"/>
      <c r="SN73" s="159"/>
      <c r="SO73" s="159"/>
      <c r="SP73" s="159"/>
      <c r="SQ73" s="159"/>
      <c r="SR73" s="159"/>
      <c r="SS73" s="159"/>
      <c r="ST73" s="159"/>
      <c r="SU73" s="159"/>
      <c r="SV73" s="159"/>
      <c r="SW73" s="159"/>
      <c r="SX73" s="159"/>
      <c r="SY73" s="159"/>
      <c r="SZ73" s="159"/>
      <c r="TA73" s="159"/>
      <c r="TB73" s="159"/>
      <c r="TC73" s="159"/>
      <c r="TD73" s="159"/>
      <c r="TE73" s="159"/>
      <c r="TF73" s="159"/>
      <c r="TG73" s="159"/>
      <c r="TH73" s="159"/>
      <c r="TI73" s="159"/>
      <c r="TJ73" s="159"/>
      <c r="TK73" s="159"/>
      <c r="TL73" s="159"/>
      <c r="TM73" s="159"/>
      <c r="TN73" s="159"/>
      <c r="TO73" s="159"/>
      <c r="TP73" s="159"/>
      <c r="TQ73" s="159"/>
      <c r="TR73" s="159"/>
      <c r="TS73" s="159"/>
      <c r="TT73" s="159"/>
      <c r="TU73" s="159"/>
      <c r="TV73" s="159"/>
      <c r="TW73" s="159"/>
      <c r="TX73" s="159"/>
      <c r="TY73" s="159"/>
      <c r="TZ73" s="159"/>
      <c r="UA73" s="159"/>
      <c r="UB73" s="159"/>
      <c r="UC73" s="159"/>
      <c r="UD73" s="159"/>
      <c r="UE73" s="159"/>
      <c r="UF73" s="159"/>
      <c r="UG73" s="159"/>
      <c r="UH73" s="159"/>
      <c r="UI73" s="159"/>
      <c r="UJ73" s="159"/>
      <c r="UK73" s="159"/>
      <c r="UL73" s="159"/>
      <c r="UM73" s="159"/>
      <c r="UN73" s="159"/>
      <c r="UO73" s="159"/>
      <c r="UP73" s="159"/>
      <c r="UQ73" s="159"/>
      <c r="UR73" s="159"/>
      <c r="US73" s="159"/>
      <c r="UT73" s="159"/>
      <c r="UU73" s="159"/>
      <c r="UV73" s="159"/>
      <c r="UW73" s="159"/>
      <c r="UX73" s="159"/>
      <c r="UY73" s="159"/>
      <c r="UZ73" s="159"/>
      <c r="VA73" s="159"/>
      <c r="VB73" s="159"/>
      <c r="VC73" s="159"/>
      <c r="VD73" s="159"/>
      <c r="VE73" s="159"/>
      <c r="VF73" s="159"/>
      <c r="VG73" s="159"/>
      <c r="VH73" s="159"/>
      <c r="VI73" s="159"/>
      <c r="VJ73" s="159"/>
      <c r="VK73" s="159"/>
      <c r="VL73" s="159"/>
      <c r="VM73" s="159"/>
      <c r="VN73" s="159"/>
      <c r="VO73" s="159"/>
      <c r="VP73" s="159"/>
      <c r="VQ73" s="159"/>
      <c r="VR73" s="159"/>
      <c r="VS73" s="159"/>
      <c r="VT73" s="159"/>
      <c r="VU73" s="159"/>
      <c r="VV73" s="159"/>
      <c r="VW73" s="159"/>
      <c r="VX73" s="159"/>
      <c r="VY73" s="159"/>
      <c r="VZ73" s="159"/>
      <c r="WA73" s="159"/>
      <c r="WB73" s="159"/>
      <c r="WC73" s="159"/>
      <c r="WD73" s="159"/>
      <c r="WE73" s="159"/>
      <c r="WF73" s="159"/>
      <c r="WG73" s="159"/>
      <c r="WH73" s="159"/>
      <c r="WI73" s="159"/>
      <c r="WJ73" s="159"/>
      <c r="WK73" s="159"/>
      <c r="WL73" s="159"/>
      <c r="WM73" s="159"/>
      <c r="WN73" s="159"/>
      <c r="WO73" s="159"/>
      <c r="WP73" s="159"/>
      <c r="WQ73" s="159"/>
      <c r="WR73" s="159"/>
      <c r="WS73" s="159"/>
      <c r="WT73" s="159"/>
      <c r="WU73" s="159"/>
      <c r="WV73" s="159"/>
      <c r="WW73" s="159"/>
      <c r="WX73" s="159"/>
      <c r="WY73" s="159"/>
      <c r="WZ73" s="159"/>
      <c r="XA73" s="159"/>
      <c r="XB73" s="159"/>
      <c r="XC73" s="159"/>
      <c r="XD73" s="159"/>
      <c r="XE73" s="159"/>
      <c r="XF73" s="159"/>
      <c r="XG73" s="159"/>
      <c r="XH73" s="159"/>
      <c r="XI73" s="159"/>
      <c r="XJ73" s="159"/>
      <c r="XK73" s="159"/>
      <c r="XL73" s="159"/>
      <c r="XM73" s="159"/>
      <c r="XN73" s="159"/>
      <c r="XO73" s="159"/>
      <c r="XP73" s="159"/>
      <c r="XQ73" s="159"/>
      <c r="XR73" s="159"/>
      <c r="XS73" s="159"/>
      <c r="XT73" s="159"/>
      <c r="XU73" s="159"/>
      <c r="XV73" s="159"/>
      <c r="XW73" s="159"/>
      <c r="XX73" s="159"/>
      <c r="XY73" s="159"/>
      <c r="XZ73" s="159"/>
      <c r="YA73" s="159"/>
      <c r="YB73" s="159"/>
      <c r="YC73" s="159"/>
      <c r="YD73" s="159"/>
      <c r="YE73" s="159"/>
      <c r="YF73" s="159"/>
      <c r="YG73" s="159"/>
      <c r="YH73" s="159"/>
      <c r="YI73" s="159"/>
      <c r="YJ73" s="159"/>
      <c r="YK73" s="159"/>
      <c r="YL73" s="159"/>
      <c r="YM73" s="159"/>
      <c r="YN73" s="159"/>
      <c r="YO73" s="159"/>
      <c r="YP73" s="159"/>
      <c r="YQ73" s="159"/>
      <c r="YR73" s="159"/>
      <c r="YS73" s="159"/>
      <c r="YT73" s="159"/>
      <c r="YU73" s="159"/>
      <c r="YV73" s="159"/>
      <c r="YW73" s="159"/>
      <c r="YX73" s="159"/>
      <c r="YY73" s="159"/>
      <c r="YZ73" s="159"/>
      <c r="ZA73" s="159"/>
      <c r="ZB73" s="159"/>
      <c r="ZC73" s="159"/>
      <c r="ZD73" s="159"/>
      <c r="ZE73" s="159"/>
      <c r="ZF73" s="159"/>
      <c r="ZG73" s="159"/>
      <c r="ZH73" s="159"/>
      <c r="ZI73" s="159"/>
      <c r="ZJ73" s="159"/>
      <c r="ZK73" s="159"/>
      <c r="ZL73" s="159"/>
      <c r="ZM73" s="159"/>
      <c r="ZN73" s="159"/>
      <c r="ZO73" s="159"/>
      <c r="ZP73" s="159"/>
      <c r="ZQ73" s="159"/>
      <c r="ZR73" s="159"/>
      <c r="ZS73" s="159"/>
      <c r="ZT73" s="159"/>
      <c r="ZU73" s="159"/>
      <c r="ZV73" s="159"/>
      <c r="ZW73" s="159"/>
      <c r="ZX73" s="159"/>
      <c r="ZY73" s="159"/>
      <c r="ZZ73" s="159"/>
      <c r="AAA73" s="159"/>
      <c r="AAB73" s="159"/>
      <c r="AAC73" s="159"/>
      <c r="AAD73" s="159"/>
      <c r="AAE73" s="159"/>
      <c r="AAF73" s="159"/>
      <c r="AAG73" s="159"/>
      <c r="AAH73" s="159"/>
      <c r="AAI73" s="159"/>
      <c r="AAJ73" s="159"/>
      <c r="AAK73" s="159"/>
      <c r="AAL73" s="159"/>
      <c r="AAM73" s="159"/>
      <c r="AAN73" s="159"/>
      <c r="AAO73" s="159"/>
      <c r="AAP73" s="159"/>
      <c r="AAQ73" s="159"/>
      <c r="AAR73" s="159"/>
      <c r="AAS73" s="159"/>
      <c r="AAT73" s="159"/>
      <c r="AAU73" s="159"/>
      <c r="AAV73" s="159"/>
      <c r="AAW73" s="159"/>
      <c r="AAX73" s="159"/>
      <c r="AAY73" s="159"/>
      <c r="AAZ73" s="159"/>
      <c r="ABA73" s="159"/>
      <c r="ABB73" s="159"/>
      <c r="ABC73" s="159"/>
      <c r="ABD73" s="159"/>
      <c r="ABE73" s="159"/>
      <c r="ABF73" s="159"/>
      <c r="ABG73" s="159"/>
      <c r="ABH73" s="159"/>
      <c r="ABI73" s="159"/>
      <c r="ABJ73" s="159"/>
      <c r="ABK73" s="159"/>
      <c r="ABL73" s="159"/>
      <c r="ABM73" s="159"/>
      <c r="ABN73" s="159"/>
      <c r="ABO73" s="159"/>
      <c r="ABP73" s="159"/>
      <c r="ABQ73" s="159"/>
      <c r="ABR73" s="159"/>
      <c r="ABS73" s="159"/>
      <c r="ABT73" s="159"/>
      <c r="ABU73" s="159"/>
      <c r="ABV73" s="159"/>
      <c r="ABW73" s="159"/>
      <c r="ABX73" s="159"/>
      <c r="ABY73" s="159"/>
      <c r="ABZ73" s="159"/>
      <c r="ACA73" s="159"/>
      <c r="ACB73" s="159"/>
      <c r="ACC73" s="159"/>
      <c r="ACD73" s="159"/>
      <c r="ACE73" s="159"/>
      <c r="ACF73" s="159"/>
      <c r="ACG73" s="159"/>
      <c r="ACH73" s="159"/>
      <c r="ACI73" s="159"/>
      <c r="ACJ73" s="159"/>
      <c r="ACK73" s="159"/>
      <c r="ACL73" s="159"/>
      <c r="ACM73" s="159"/>
      <c r="ACN73" s="159"/>
      <c r="ACO73" s="159"/>
      <c r="ACP73" s="159"/>
      <c r="ACQ73" s="159"/>
      <c r="ACR73" s="159"/>
      <c r="ACS73" s="159"/>
      <c r="ACT73" s="159"/>
      <c r="ACU73" s="159"/>
      <c r="ACV73" s="159"/>
      <c r="ACW73" s="159"/>
      <c r="ACX73" s="159"/>
      <c r="ACY73" s="159"/>
      <c r="ACZ73" s="159"/>
      <c r="ADA73" s="159"/>
      <c r="ADB73" s="159"/>
      <c r="ADC73" s="159"/>
      <c r="ADD73" s="159"/>
      <c r="ADE73" s="159"/>
      <c r="ADF73" s="159"/>
      <c r="ADG73" s="159"/>
      <c r="ADH73" s="159"/>
      <c r="ADI73" s="159"/>
      <c r="ADJ73" s="159"/>
      <c r="ADK73" s="159"/>
      <c r="ADL73" s="159"/>
      <c r="ADM73" s="159"/>
      <c r="ADN73" s="159"/>
      <c r="ADO73" s="159"/>
      <c r="ADP73" s="159"/>
      <c r="ADQ73" s="159"/>
      <c r="ADR73" s="159"/>
      <c r="ADS73" s="159"/>
      <c r="ADT73" s="159"/>
      <c r="ADU73" s="159"/>
      <c r="ADV73" s="159"/>
      <c r="ADW73" s="159"/>
      <c r="ADX73" s="159"/>
      <c r="ADY73" s="159"/>
      <c r="ADZ73" s="159"/>
      <c r="AEA73" s="159"/>
      <c r="AEB73" s="159"/>
      <c r="AEC73" s="159"/>
      <c r="AED73" s="159"/>
      <c r="AEE73" s="159"/>
      <c r="AEF73" s="159"/>
      <c r="AEG73" s="159"/>
      <c r="AEH73" s="159"/>
      <c r="AEI73" s="159"/>
      <c r="AEJ73" s="159"/>
      <c r="AEK73" s="159"/>
      <c r="AEL73" s="159"/>
      <c r="AEM73" s="159"/>
      <c r="AEN73" s="159"/>
      <c r="AEO73" s="159"/>
      <c r="AEP73" s="159"/>
      <c r="AEQ73" s="159"/>
      <c r="AER73" s="159"/>
      <c r="AES73" s="159"/>
      <c r="AET73" s="159"/>
      <c r="AEU73" s="159"/>
      <c r="AEV73" s="159"/>
      <c r="AEW73" s="159"/>
      <c r="AEX73" s="159"/>
      <c r="AEY73" s="159"/>
      <c r="AEZ73" s="159"/>
      <c r="AFA73" s="159"/>
      <c r="AFB73" s="159"/>
      <c r="AFC73" s="159"/>
      <c r="AFD73" s="159"/>
      <c r="AFE73" s="159"/>
      <c r="AFF73" s="159"/>
      <c r="AFG73" s="159"/>
      <c r="AFH73" s="159"/>
      <c r="AFI73" s="159"/>
      <c r="AFJ73" s="159"/>
      <c r="AFK73" s="159"/>
      <c r="AFL73" s="159"/>
      <c r="AFM73" s="159"/>
      <c r="AFN73" s="159"/>
      <c r="AFO73" s="159"/>
      <c r="AFP73" s="159"/>
      <c r="AFQ73" s="159"/>
      <c r="AFR73" s="159"/>
      <c r="AFS73" s="159"/>
      <c r="AFT73" s="159"/>
      <c r="AFU73" s="159"/>
      <c r="AFV73" s="159"/>
      <c r="AFW73" s="159"/>
      <c r="AFX73" s="159"/>
      <c r="AFY73" s="159"/>
      <c r="AFZ73" s="159"/>
      <c r="AGA73" s="159"/>
      <c r="AGB73" s="159"/>
      <c r="AGC73" s="159"/>
      <c r="AGD73" s="159"/>
      <c r="AGE73" s="159"/>
      <c r="AGF73" s="159"/>
      <c r="AGG73" s="159"/>
      <c r="AGH73" s="159"/>
      <c r="AGI73" s="159"/>
      <c r="AGJ73" s="159"/>
      <c r="AGK73" s="159"/>
      <c r="AGL73" s="159"/>
      <c r="AGM73" s="159"/>
      <c r="AGN73" s="159"/>
      <c r="AGO73" s="159"/>
      <c r="AGP73" s="159"/>
      <c r="AGQ73" s="159"/>
      <c r="AGR73" s="159"/>
      <c r="AGS73" s="159"/>
      <c r="AGT73" s="159"/>
      <c r="AGU73" s="159"/>
      <c r="AGV73" s="159"/>
      <c r="AGW73" s="159"/>
      <c r="AGX73" s="159"/>
      <c r="AGY73" s="159"/>
      <c r="AGZ73" s="159"/>
      <c r="AHA73" s="159"/>
      <c r="AHB73" s="159"/>
      <c r="AHC73" s="159"/>
      <c r="AHD73" s="159"/>
      <c r="AHE73" s="159"/>
      <c r="AHF73" s="159"/>
      <c r="AHG73" s="159"/>
      <c r="AHH73" s="159"/>
      <c r="AHI73" s="159"/>
      <c r="AHJ73" s="159"/>
      <c r="AHK73" s="159"/>
      <c r="AHL73" s="159"/>
      <c r="AHM73" s="159"/>
      <c r="AHN73" s="159"/>
      <c r="AHO73" s="159"/>
      <c r="AHP73" s="159"/>
      <c r="AHQ73" s="159"/>
      <c r="AHR73" s="159"/>
      <c r="AHS73" s="159"/>
      <c r="AHT73" s="159"/>
      <c r="AHU73" s="159"/>
      <c r="AHV73" s="159"/>
      <c r="AHW73" s="159"/>
      <c r="AHX73" s="159"/>
      <c r="AHY73" s="159"/>
      <c r="AHZ73" s="159"/>
      <c r="AIA73" s="159"/>
      <c r="AIB73" s="159"/>
      <c r="AIC73" s="159"/>
      <c r="AID73" s="159"/>
      <c r="AIE73" s="159"/>
      <c r="AIF73" s="159"/>
      <c r="AIG73" s="159"/>
      <c r="AIH73" s="159"/>
      <c r="AII73" s="159"/>
      <c r="AIJ73" s="159"/>
      <c r="AIK73" s="159"/>
      <c r="AIL73" s="159"/>
      <c r="AIM73" s="159"/>
      <c r="AIN73" s="159"/>
      <c r="AIO73" s="159"/>
      <c r="AIP73" s="159"/>
      <c r="AIQ73" s="159"/>
      <c r="AIR73" s="159"/>
      <c r="AIS73" s="159"/>
      <c r="AIT73" s="159"/>
      <c r="AIU73" s="159"/>
      <c r="AIV73" s="159"/>
      <c r="AIW73" s="159"/>
      <c r="AIX73" s="159"/>
      <c r="AIY73" s="159"/>
      <c r="AIZ73" s="159"/>
      <c r="AJA73" s="159"/>
      <c r="AJB73" s="159"/>
      <c r="AJC73" s="159"/>
      <c r="AJD73" s="159"/>
      <c r="AJE73" s="159"/>
      <c r="AJF73" s="159"/>
      <c r="AJG73" s="159"/>
      <c r="AJH73" s="159"/>
      <c r="AJI73" s="159"/>
      <c r="AJJ73" s="159"/>
      <c r="AJK73" s="159"/>
      <c r="AJL73" s="159"/>
      <c r="AJM73" s="159"/>
      <c r="AJN73" s="159"/>
      <c r="AJO73" s="159"/>
      <c r="AJP73" s="159"/>
      <c r="AJQ73" s="159"/>
      <c r="AJR73" s="159"/>
      <c r="AJS73" s="159"/>
      <c r="AJT73" s="159"/>
      <c r="AJU73" s="159"/>
      <c r="AJV73" s="159"/>
      <c r="AJW73" s="159"/>
      <c r="AJX73" s="159"/>
      <c r="AJY73" s="159"/>
      <c r="AJZ73" s="159"/>
      <c r="AKA73" s="159"/>
      <c r="AKB73" s="159"/>
      <c r="AKC73" s="159"/>
      <c r="AKD73" s="159"/>
      <c r="AKE73" s="159"/>
      <c r="AKF73" s="159"/>
      <c r="AKG73" s="159"/>
      <c r="AKH73" s="159"/>
      <c r="AKI73" s="159"/>
      <c r="AKJ73" s="159"/>
      <c r="AKK73" s="159"/>
      <c r="AKL73" s="159"/>
      <c r="AKM73" s="159"/>
      <c r="AKN73" s="159"/>
      <c r="AKO73" s="159"/>
      <c r="AKP73" s="159"/>
      <c r="AKQ73" s="159"/>
      <c r="AKR73" s="159"/>
      <c r="AKS73" s="159"/>
      <c r="AKT73" s="159"/>
      <c r="AKU73" s="159"/>
      <c r="AKV73" s="159"/>
      <c r="AKW73" s="159"/>
      <c r="AKX73" s="159"/>
      <c r="AKY73" s="159"/>
      <c r="AKZ73" s="159"/>
      <c r="ALA73" s="159"/>
      <c r="ALB73" s="159"/>
      <c r="ALC73" s="159"/>
      <c r="ALD73" s="159"/>
      <c r="ALE73" s="159"/>
      <c r="ALF73" s="159"/>
      <c r="ALG73" s="159"/>
      <c r="ALH73" s="159"/>
      <c r="ALI73" s="159"/>
      <c r="ALJ73" s="159"/>
      <c r="ALK73" s="159"/>
      <c r="ALL73" s="159"/>
      <c r="ALM73" s="159"/>
      <c r="ALN73" s="159"/>
      <c r="ALO73" s="159"/>
      <c r="ALP73" s="159"/>
      <c r="ALQ73" s="159"/>
      <c r="ALR73" s="159"/>
      <c r="ALS73" s="159"/>
      <c r="ALT73" s="159"/>
      <c r="ALU73" s="159"/>
      <c r="ALV73" s="159"/>
      <c r="ALW73" s="159"/>
      <c r="ALX73" s="159"/>
      <c r="ALY73" s="159"/>
      <c r="ALZ73" s="159"/>
      <c r="AMA73" s="159"/>
      <c r="AMB73" s="159"/>
      <c r="AMC73" s="159"/>
      <c r="AMD73" s="159"/>
      <c r="AME73" s="159"/>
      <c r="AMF73" s="159"/>
      <c r="AMG73" s="159"/>
      <c r="AMH73" s="159"/>
      <c r="AMI73" s="159"/>
      <c r="AMJ73" s="159"/>
      <c r="AMK73" s="159"/>
      <c r="AML73" s="159"/>
      <c r="AMM73" s="159"/>
      <c r="AMN73" s="159"/>
      <c r="AMO73" s="159"/>
    </row>
    <row r="74" spans="1:1029" ht="26.25" thickTop="1" x14ac:dyDescent="0.25">
      <c r="A74" s="33">
        <v>46125</v>
      </c>
      <c r="B74" s="34" t="s">
        <v>193</v>
      </c>
      <c r="C74" s="34" t="s">
        <v>130</v>
      </c>
      <c r="D74" s="106" t="s">
        <v>21</v>
      </c>
      <c r="E74" s="122" t="s">
        <v>19</v>
      </c>
      <c r="F74" s="100" t="s">
        <v>130</v>
      </c>
      <c r="G74" s="100" t="s">
        <v>21</v>
      </c>
      <c r="H74" s="143">
        <f t="shared" si="8"/>
        <v>1</v>
      </c>
      <c r="I74" s="120" t="s">
        <v>8</v>
      </c>
      <c r="J74" s="119" t="s">
        <v>130</v>
      </c>
      <c r="K74" s="119" t="s">
        <v>21</v>
      </c>
      <c r="L74" s="146">
        <f t="shared" si="9"/>
        <v>1</v>
      </c>
      <c r="M74" s="122" t="s">
        <v>19</v>
      </c>
      <c r="N74" s="123" t="s">
        <v>130</v>
      </c>
      <c r="O74" s="123" t="s">
        <v>21</v>
      </c>
      <c r="P74" s="143">
        <f t="shared" si="10"/>
        <v>1</v>
      </c>
      <c r="Q74" s="123" t="s">
        <v>193</v>
      </c>
      <c r="R74" s="100" t="s">
        <v>12</v>
      </c>
      <c r="S74" s="100" t="s">
        <v>21</v>
      </c>
      <c r="T74" s="140">
        <f t="shared" si="11"/>
        <v>1.5</v>
      </c>
    </row>
    <row r="75" spans="1:1029" ht="25.5" x14ac:dyDescent="0.25">
      <c r="A75" s="8">
        <v>46126</v>
      </c>
      <c r="B75" s="16" t="s">
        <v>185</v>
      </c>
      <c r="C75" s="16" t="s">
        <v>12</v>
      </c>
      <c r="D75" s="105" t="s">
        <v>168</v>
      </c>
      <c r="E75" s="118" t="s">
        <v>14</v>
      </c>
      <c r="F75" s="99" t="s">
        <v>77</v>
      </c>
      <c r="G75" s="99" t="s">
        <v>31</v>
      </c>
      <c r="H75" s="141" t="b">
        <f t="shared" si="8"/>
        <v>0</v>
      </c>
      <c r="I75" s="165" t="s">
        <v>42</v>
      </c>
      <c r="J75" s="166" t="s">
        <v>163</v>
      </c>
      <c r="K75" s="166" t="s">
        <v>27</v>
      </c>
      <c r="L75" s="141" t="b">
        <f t="shared" si="9"/>
        <v>0</v>
      </c>
      <c r="M75" s="120" t="s">
        <v>42</v>
      </c>
      <c r="N75" s="121" t="s">
        <v>77</v>
      </c>
      <c r="O75" s="121" t="s">
        <v>27</v>
      </c>
      <c r="P75" s="141" t="b">
        <f t="shared" si="10"/>
        <v>0</v>
      </c>
      <c r="Q75" s="149" t="s">
        <v>105</v>
      </c>
      <c r="R75" s="99" t="s">
        <v>163</v>
      </c>
      <c r="S75" s="99" t="s">
        <v>27</v>
      </c>
      <c r="T75" s="17" t="b">
        <f t="shared" si="11"/>
        <v>0</v>
      </c>
    </row>
    <row r="76" spans="1:1029" ht="24.75" customHeight="1" x14ac:dyDescent="0.25">
      <c r="A76" s="8">
        <v>46127</v>
      </c>
      <c r="B76" s="16" t="s">
        <v>42</v>
      </c>
      <c r="C76" s="16" t="s">
        <v>163</v>
      </c>
      <c r="D76" s="105" t="s">
        <v>31</v>
      </c>
      <c r="E76" s="118" t="s">
        <v>42</v>
      </c>
      <c r="F76" s="99" t="s">
        <v>38</v>
      </c>
      <c r="G76" s="99" t="s">
        <v>16</v>
      </c>
      <c r="H76" s="141">
        <f t="shared" si="8"/>
        <v>1</v>
      </c>
      <c r="I76" s="118" t="s">
        <v>113</v>
      </c>
      <c r="J76" s="99" t="s">
        <v>38</v>
      </c>
      <c r="K76" s="99" t="s">
        <v>31</v>
      </c>
      <c r="L76" s="141">
        <f t="shared" si="9"/>
        <v>0.5</v>
      </c>
      <c r="M76" s="120" t="s">
        <v>193</v>
      </c>
      <c r="N76" s="121" t="s">
        <v>51</v>
      </c>
      <c r="O76" s="121" t="s">
        <v>168</v>
      </c>
      <c r="P76" s="141" t="b">
        <f t="shared" si="10"/>
        <v>0</v>
      </c>
      <c r="Q76" s="149" t="s">
        <v>14</v>
      </c>
      <c r="R76" s="99" t="s">
        <v>119</v>
      </c>
      <c r="S76" s="99" t="s">
        <v>31</v>
      </c>
      <c r="T76" s="17">
        <f t="shared" si="11"/>
        <v>0.5</v>
      </c>
    </row>
    <row r="77" spans="1:1029" s="161" customFormat="1" ht="33" customHeight="1" x14ac:dyDescent="0.25">
      <c r="A77" s="138">
        <v>46128</v>
      </c>
      <c r="B77" s="99" t="s">
        <v>8</v>
      </c>
      <c r="C77" s="99" t="s">
        <v>70</v>
      </c>
      <c r="D77" s="160" t="s">
        <v>13</v>
      </c>
      <c r="E77" s="118" t="s">
        <v>113</v>
      </c>
      <c r="F77" s="99" t="s">
        <v>151</v>
      </c>
      <c r="G77" s="99" t="s">
        <v>52</v>
      </c>
      <c r="H77" s="141" t="b">
        <f t="shared" si="8"/>
        <v>0</v>
      </c>
      <c r="I77" s="118" t="s">
        <v>35</v>
      </c>
      <c r="J77" s="99" t="s">
        <v>25</v>
      </c>
      <c r="K77" s="99" t="s">
        <v>33</v>
      </c>
      <c r="L77" s="141" t="b">
        <f t="shared" si="9"/>
        <v>0</v>
      </c>
      <c r="M77" s="120" t="s">
        <v>22</v>
      </c>
      <c r="N77" s="121" t="s">
        <v>77</v>
      </c>
      <c r="O77" s="121" t="s">
        <v>16</v>
      </c>
      <c r="P77" s="141" t="b">
        <f t="shared" si="10"/>
        <v>0</v>
      </c>
      <c r="Q77" s="149" t="s">
        <v>87</v>
      </c>
      <c r="R77" s="99" t="str">
        <f>J77</f>
        <v>Knödel</v>
      </c>
      <c r="S77" s="99" t="str">
        <f>G77</f>
        <v>Kroketten</v>
      </c>
      <c r="T77" s="141" t="b">
        <f t="shared" si="11"/>
        <v>0</v>
      </c>
      <c r="U77" s="159"/>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59"/>
      <c r="AT77" s="159"/>
      <c r="AU77" s="159"/>
      <c r="AV77" s="159"/>
      <c r="AW77" s="159"/>
      <c r="AX77" s="159"/>
      <c r="AY77" s="159"/>
      <c r="AZ77" s="159"/>
      <c r="BA77" s="159"/>
      <c r="BB77" s="159"/>
      <c r="BC77" s="159"/>
      <c r="BD77" s="159"/>
      <c r="BE77" s="159"/>
      <c r="BF77" s="159"/>
      <c r="BG77" s="159"/>
      <c r="BH77" s="159"/>
      <c r="BI77" s="159"/>
      <c r="BJ77" s="159"/>
      <c r="BK77" s="159"/>
      <c r="BL77" s="159"/>
      <c r="BM77" s="159"/>
      <c r="BN77" s="159"/>
      <c r="BO77" s="159"/>
      <c r="BP77" s="159"/>
      <c r="BQ77" s="159"/>
      <c r="BR77" s="159"/>
      <c r="BS77" s="159"/>
      <c r="BT77" s="159"/>
      <c r="BU77" s="159"/>
      <c r="BV77" s="159"/>
      <c r="BW77" s="159"/>
      <c r="BX77" s="159"/>
      <c r="BY77" s="159"/>
      <c r="BZ77" s="159"/>
      <c r="CA77" s="159"/>
      <c r="CB77" s="159"/>
      <c r="CC77" s="159"/>
      <c r="CD77" s="159"/>
      <c r="CE77" s="159"/>
      <c r="CF77" s="159"/>
      <c r="CG77" s="159"/>
      <c r="CH77" s="159"/>
      <c r="CI77" s="159"/>
      <c r="CJ77" s="159"/>
      <c r="CK77" s="159"/>
      <c r="CL77" s="159"/>
      <c r="CM77" s="159"/>
      <c r="CN77" s="159"/>
      <c r="CO77" s="159"/>
      <c r="CP77" s="159"/>
      <c r="CQ77" s="159"/>
      <c r="CR77" s="159"/>
      <c r="CS77" s="159"/>
      <c r="CT77" s="159"/>
      <c r="CU77" s="159"/>
      <c r="CV77" s="159"/>
      <c r="CW77" s="159"/>
      <c r="CX77" s="159"/>
      <c r="CY77" s="159"/>
      <c r="CZ77" s="159"/>
      <c r="DA77" s="159"/>
      <c r="DB77" s="159"/>
      <c r="DC77" s="159"/>
      <c r="DD77" s="159"/>
      <c r="DE77" s="159"/>
      <c r="DF77" s="159"/>
      <c r="DG77" s="159"/>
      <c r="DH77" s="159"/>
      <c r="DI77" s="159"/>
      <c r="DJ77" s="159"/>
      <c r="DK77" s="159"/>
      <c r="DL77" s="159"/>
      <c r="DM77" s="159"/>
      <c r="DN77" s="159"/>
      <c r="DO77" s="159"/>
      <c r="DP77" s="159"/>
      <c r="DQ77" s="159"/>
      <c r="DR77" s="159"/>
      <c r="DS77" s="159"/>
      <c r="DT77" s="159"/>
      <c r="DU77" s="159"/>
      <c r="DV77" s="159"/>
      <c r="DW77" s="159"/>
      <c r="DX77" s="159"/>
      <c r="DY77" s="159"/>
      <c r="DZ77" s="159"/>
      <c r="EA77" s="159"/>
      <c r="EB77" s="159"/>
      <c r="EC77" s="159"/>
      <c r="ED77" s="159"/>
      <c r="EE77" s="159"/>
      <c r="EF77" s="159"/>
      <c r="EG77" s="159"/>
      <c r="EH77" s="159"/>
      <c r="EI77" s="159"/>
      <c r="EJ77" s="159"/>
      <c r="EK77" s="159"/>
      <c r="EL77" s="159"/>
      <c r="EM77" s="159"/>
      <c r="EN77" s="159"/>
      <c r="EO77" s="159"/>
      <c r="EP77" s="159"/>
      <c r="EQ77" s="159"/>
      <c r="ER77" s="159"/>
      <c r="ES77" s="159"/>
      <c r="ET77" s="159"/>
      <c r="EU77" s="159"/>
      <c r="EV77" s="159"/>
      <c r="EW77" s="159"/>
      <c r="EX77" s="159"/>
      <c r="EY77" s="159"/>
      <c r="EZ77" s="159"/>
      <c r="FA77" s="159"/>
      <c r="FB77" s="159"/>
      <c r="FC77" s="159"/>
      <c r="FD77" s="159"/>
      <c r="FE77" s="159"/>
      <c r="FF77" s="159"/>
      <c r="FG77" s="159"/>
      <c r="FH77" s="159"/>
      <c r="FI77" s="159"/>
      <c r="FJ77" s="159"/>
      <c r="FK77" s="159"/>
      <c r="FL77" s="159"/>
      <c r="FM77" s="159"/>
      <c r="FN77" s="159"/>
      <c r="FO77" s="159"/>
      <c r="FP77" s="159"/>
      <c r="FQ77" s="159"/>
      <c r="FR77" s="159"/>
      <c r="FS77" s="159"/>
      <c r="FT77" s="159"/>
      <c r="FU77" s="159"/>
      <c r="FV77" s="159"/>
      <c r="FW77" s="159"/>
      <c r="FX77" s="159"/>
      <c r="FY77" s="159"/>
      <c r="FZ77" s="159"/>
      <c r="GA77" s="159"/>
      <c r="GB77" s="159"/>
      <c r="GC77" s="159"/>
      <c r="GD77" s="159"/>
      <c r="GE77" s="159"/>
      <c r="GF77" s="159"/>
      <c r="GG77" s="159"/>
      <c r="GH77" s="159"/>
      <c r="GI77" s="159"/>
      <c r="GJ77" s="159"/>
      <c r="GK77" s="159"/>
      <c r="GL77" s="159"/>
      <c r="GM77" s="159"/>
      <c r="GN77" s="159"/>
      <c r="GO77" s="159"/>
      <c r="GP77" s="159"/>
      <c r="GQ77" s="159"/>
      <c r="GR77" s="159"/>
      <c r="GS77" s="159"/>
      <c r="GT77" s="159"/>
      <c r="GU77" s="159"/>
      <c r="GV77" s="159"/>
      <c r="GW77" s="159"/>
      <c r="GX77" s="159"/>
      <c r="GY77" s="159"/>
      <c r="GZ77" s="159"/>
      <c r="HA77" s="159"/>
      <c r="HB77" s="159"/>
      <c r="HC77" s="159"/>
      <c r="HD77" s="159"/>
      <c r="HE77" s="159"/>
      <c r="HF77" s="159"/>
      <c r="HG77" s="159"/>
      <c r="HH77" s="159"/>
      <c r="HI77" s="159"/>
      <c r="HJ77" s="159"/>
      <c r="HK77" s="159"/>
      <c r="HL77" s="159"/>
      <c r="HM77" s="159"/>
      <c r="HN77" s="159"/>
      <c r="HO77" s="159"/>
      <c r="HP77" s="159"/>
      <c r="HQ77" s="159"/>
      <c r="HR77" s="159"/>
      <c r="HS77" s="159"/>
      <c r="HT77" s="159"/>
      <c r="HU77" s="159"/>
      <c r="HV77" s="159"/>
      <c r="HW77" s="159"/>
      <c r="HX77" s="159"/>
      <c r="HY77" s="159"/>
      <c r="HZ77" s="159"/>
      <c r="IA77" s="159"/>
      <c r="IB77" s="159"/>
      <c r="IC77" s="159"/>
      <c r="ID77" s="159"/>
      <c r="IE77" s="159"/>
      <c r="IF77" s="159"/>
      <c r="IG77" s="159"/>
      <c r="IH77" s="159"/>
      <c r="II77" s="159"/>
      <c r="IJ77" s="159"/>
      <c r="IK77" s="159"/>
      <c r="IL77" s="159"/>
      <c r="IM77" s="159"/>
      <c r="IN77" s="159"/>
      <c r="IO77" s="159"/>
      <c r="IP77" s="159"/>
      <c r="IQ77" s="159"/>
      <c r="IR77" s="159"/>
      <c r="IS77" s="159"/>
      <c r="IT77" s="159"/>
      <c r="IU77" s="159"/>
      <c r="IV77" s="159"/>
      <c r="IW77" s="159"/>
      <c r="IX77" s="159"/>
      <c r="IY77" s="159"/>
      <c r="IZ77" s="159"/>
      <c r="JA77" s="159"/>
      <c r="JB77" s="159"/>
      <c r="JC77" s="159"/>
      <c r="JD77" s="159"/>
      <c r="JE77" s="159"/>
      <c r="JF77" s="159"/>
      <c r="JG77" s="159"/>
      <c r="JH77" s="159"/>
      <c r="JI77" s="159"/>
      <c r="JJ77" s="159"/>
      <c r="JK77" s="159"/>
      <c r="JL77" s="159"/>
      <c r="JM77" s="159"/>
      <c r="JN77" s="159"/>
      <c r="JO77" s="159"/>
      <c r="JP77" s="159"/>
      <c r="JQ77" s="159"/>
      <c r="JR77" s="159"/>
      <c r="JS77" s="159"/>
      <c r="JT77" s="159"/>
      <c r="JU77" s="159"/>
      <c r="JV77" s="159"/>
      <c r="JW77" s="159"/>
      <c r="JX77" s="159"/>
      <c r="JY77" s="159"/>
      <c r="JZ77" s="159"/>
      <c r="KA77" s="159"/>
      <c r="KB77" s="159"/>
      <c r="KC77" s="159"/>
      <c r="KD77" s="159"/>
      <c r="KE77" s="159"/>
      <c r="KF77" s="159"/>
      <c r="KG77" s="159"/>
      <c r="KH77" s="159"/>
      <c r="KI77" s="159"/>
      <c r="KJ77" s="159"/>
      <c r="KK77" s="159"/>
      <c r="KL77" s="159"/>
      <c r="KM77" s="159"/>
      <c r="KN77" s="159"/>
      <c r="KO77" s="159"/>
      <c r="KP77" s="159"/>
      <c r="KQ77" s="159"/>
      <c r="KR77" s="159"/>
      <c r="KS77" s="159"/>
      <c r="KT77" s="159"/>
      <c r="KU77" s="159"/>
      <c r="KV77" s="159"/>
      <c r="KW77" s="159"/>
      <c r="KX77" s="159"/>
      <c r="KY77" s="159"/>
      <c r="KZ77" s="159"/>
      <c r="LA77" s="159"/>
      <c r="LB77" s="159"/>
      <c r="LC77" s="159"/>
      <c r="LD77" s="159"/>
      <c r="LE77" s="159"/>
      <c r="LF77" s="159"/>
      <c r="LG77" s="159"/>
      <c r="LH77" s="159"/>
      <c r="LI77" s="159"/>
      <c r="LJ77" s="159"/>
      <c r="LK77" s="159"/>
      <c r="LL77" s="159"/>
      <c r="LM77" s="159"/>
      <c r="LN77" s="159"/>
      <c r="LO77" s="159"/>
      <c r="LP77" s="159"/>
      <c r="LQ77" s="159"/>
      <c r="LR77" s="159"/>
      <c r="LS77" s="159"/>
      <c r="LT77" s="159"/>
      <c r="LU77" s="159"/>
      <c r="LV77" s="159"/>
      <c r="LW77" s="159"/>
      <c r="LX77" s="159"/>
      <c r="LY77" s="159"/>
      <c r="LZ77" s="159"/>
      <c r="MA77" s="159"/>
      <c r="MB77" s="159"/>
      <c r="MC77" s="159"/>
      <c r="MD77" s="159"/>
      <c r="ME77" s="159"/>
      <c r="MF77" s="159"/>
      <c r="MG77" s="159"/>
      <c r="MH77" s="159"/>
      <c r="MI77" s="159"/>
      <c r="MJ77" s="159"/>
      <c r="MK77" s="159"/>
      <c r="ML77" s="159"/>
      <c r="MM77" s="159"/>
      <c r="MN77" s="159"/>
      <c r="MO77" s="159"/>
      <c r="MP77" s="159"/>
      <c r="MQ77" s="159"/>
      <c r="MR77" s="159"/>
      <c r="MS77" s="159"/>
      <c r="MT77" s="159"/>
      <c r="MU77" s="159"/>
      <c r="MV77" s="159"/>
      <c r="MW77" s="159"/>
      <c r="MX77" s="159"/>
      <c r="MY77" s="159"/>
      <c r="MZ77" s="159"/>
      <c r="NA77" s="159"/>
      <c r="NB77" s="159"/>
      <c r="NC77" s="159"/>
      <c r="ND77" s="159"/>
      <c r="NE77" s="159"/>
      <c r="NF77" s="159"/>
      <c r="NG77" s="159"/>
      <c r="NH77" s="159"/>
      <c r="NI77" s="159"/>
      <c r="NJ77" s="159"/>
      <c r="NK77" s="159"/>
      <c r="NL77" s="159"/>
      <c r="NM77" s="159"/>
      <c r="NN77" s="159"/>
      <c r="NO77" s="159"/>
      <c r="NP77" s="159"/>
      <c r="NQ77" s="159"/>
      <c r="NR77" s="159"/>
      <c r="NS77" s="159"/>
      <c r="NT77" s="159"/>
      <c r="NU77" s="159"/>
      <c r="NV77" s="159"/>
      <c r="NW77" s="159"/>
      <c r="NX77" s="159"/>
      <c r="NY77" s="159"/>
      <c r="NZ77" s="159"/>
      <c r="OA77" s="159"/>
      <c r="OB77" s="159"/>
      <c r="OC77" s="159"/>
      <c r="OD77" s="159"/>
      <c r="OE77" s="159"/>
      <c r="OF77" s="159"/>
      <c r="OG77" s="159"/>
      <c r="OH77" s="159"/>
      <c r="OI77" s="159"/>
      <c r="OJ77" s="159"/>
      <c r="OK77" s="159"/>
      <c r="OL77" s="159"/>
      <c r="OM77" s="159"/>
      <c r="ON77" s="159"/>
      <c r="OO77" s="159"/>
      <c r="OP77" s="159"/>
      <c r="OQ77" s="159"/>
      <c r="OR77" s="159"/>
      <c r="OS77" s="159"/>
      <c r="OT77" s="159"/>
      <c r="OU77" s="159"/>
      <c r="OV77" s="159"/>
      <c r="OW77" s="159"/>
      <c r="OX77" s="159"/>
      <c r="OY77" s="159"/>
      <c r="OZ77" s="159"/>
      <c r="PA77" s="159"/>
      <c r="PB77" s="159"/>
      <c r="PC77" s="159"/>
      <c r="PD77" s="159"/>
      <c r="PE77" s="159"/>
      <c r="PF77" s="159"/>
      <c r="PG77" s="159"/>
      <c r="PH77" s="159"/>
      <c r="PI77" s="159"/>
      <c r="PJ77" s="159"/>
      <c r="PK77" s="159"/>
      <c r="PL77" s="159"/>
      <c r="PM77" s="159"/>
      <c r="PN77" s="159"/>
      <c r="PO77" s="159"/>
      <c r="PP77" s="159"/>
      <c r="PQ77" s="159"/>
      <c r="PR77" s="159"/>
      <c r="PS77" s="159"/>
      <c r="PT77" s="159"/>
      <c r="PU77" s="159"/>
      <c r="PV77" s="159"/>
      <c r="PW77" s="159"/>
      <c r="PX77" s="159"/>
      <c r="PY77" s="159"/>
      <c r="PZ77" s="159"/>
      <c r="QA77" s="159"/>
      <c r="QB77" s="159"/>
      <c r="QC77" s="159"/>
      <c r="QD77" s="159"/>
      <c r="QE77" s="159"/>
      <c r="QF77" s="159"/>
      <c r="QG77" s="159"/>
      <c r="QH77" s="159"/>
      <c r="QI77" s="159"/>
      <c r="QJ77" s="159"/>
      <c r="QK77" s="159"/>
      <c r="QL77" s="159"/>
      <c r="QM77" s="159"/>
      <c r="QN77" s="159"/>
      <c r="QO77" s="159"/>
      <c r="QP77" s="159"/>
      <c r="QQ77" s="159"/>
      <c r="QR77" s="159"/>
      <c r="QS77" s="159"/>
      <c r="QT77" s="159"/>
      <c r="QU77" s="159"/>
      <c r="QV77" s="159"/>
      <c r="QW77" s="159"/>
      <c r="QX77" s="159"/>
      <c r="QY77" s="159"/>
      <c r="QZ77" s="159"/>
      <c r="RA77" s="159"/>
      <c r="RB77" s="159"/>
      <c r="RC77" s="159"/>
      <c r="RD77" s="159"/>
      <c r="RE77" s="159"/>
      <c r="RF77" s="159"/>
      <c r="RG77" s="159"/>
      <c r="RH77" s="159"/>
      <c r="RI77" s="159"/>
      <c r="RJ77" s="159"/>
      <c r="RK77" s="159"/>
      <c r="RL77" s="159"/>
      <c r="RM77" s="159"/>
      <c r="RN77" s="159"/>
      <c r="RO77" s="159"/>
      <c r="RP77" s="159"/>
      <c r="RQ77" s="159"/>
      <c r="RR77" s="159"/>
      <c r="RS77" s="159"/>
      <c r="RT77" s="159"/>
      <c r="RU77" s="159"/>
      <c r="RV77" s="159"/>
      <c r="RW77" s="159"/>
      <c r="RX77" s="159"/>
      <c r="RY77" s="159"/>
      <c r="RZ77" s="159"/>
      <c r="SA77" s="159"/>
      <c r="SB77" s="159"/>
      <c r="SC77" s="159"/>
      <c r="SD77" s="159"/>
      <c r="SE77" s="159"/>
      <c r="SF77" s="159"/>
      <c r="SG77" s="159"/>
      <c r="SH77" s="159"/>
      <c r="SI77" s="159"/>
      <c r="SJ77" s="159"/>
      <c r="SK77" s="159"/>
      <c r="SL77" s="159"/>
      <c r="SM77" s="159"/>
      <c r="SN77" s="159"/>
      <c r="SO77" s="159"/>
      <c r="SP77" s="159"/>
      <c r="SQ77" s="159"/>
      <c r="SR77" s="159"/>
      <c r="SS77" s="159"/>
      <c r="ST77" s="159"/>
      <c r="SU77" s="159"/>
      <c r="SV77" s="159"/>
      <c r="SW77" s="159"/>
      <c r="SX77" s="159"/>
      <c r="SY77" s="159"/>
      <c r="SZ77" s="159"/>
      <c r="TA77" s="159"/>
      <c r="TB77" s="159"/>
      <c r="TC77" s="159"/>
      <c r="TD77" s="159"/>
      <c r="TE77" s="159"/>
      <c r="TF77" s="159"/>
      <c r="TG77" s="159"/>
      <c r="TH77" s="159"/>
      <c r="TI77" s="159"/>
      <c r="TJ77" s="159"/>
      <c r="TK77" s="159"/>
      <c r="TL77" s="159"/>
      <c r="TM77" s="159"/>
      <c r="TN77" s="159"/>
      <c r="TO77" s="159"/>
      <c r="TP77" s="159"/>
      <c r="TQ77" s="159"/>
      <c r="TR77" s="159"/>
      <c r="TS77" s="159"/>
      <c r="TT77" s="159"/>
      <c r="TU77" s="159"/>
      <c r="TV77" s="159"/>
      <c r="TW77" s="159"/>
      <c r="TX77" s="159"/>
      <c r="TY77" s="159"/>
      <c r="TZ77" s="159"/>
      <c r="UA77" s="159"/>
      <c r="UB77" s="159"/>
      <c r="UC77" s="159"/>
      <c r="UD77" s="159"/>
      <c r="UE77" s="159"/>
      <c r="UF77" s="159"/>
      <c r="UG77" s="159"/>
      <c r="UH77" s="159"/>
      <c r="UI77" s="159"/>
      <c r="UJ77" s="159"/>
      <c r="UK77" s="159"/>
      <c r="UL77" s="159"/>
      <c r="UM77" s="159"/>
      <c r="UN77" s="159"/>
      <c r="UO77" s="159"/>
      <c r="UP77" s="159"/>
      <c r="UQ77" s="159"/>
      <c r="UR77" s="159"/>
      <c r="US77" s="159"/>
      <c r="UT77" s="159"/>
      <c r="UU77" s="159"/>
      <c r="UV77" s="159"/>
      <c r="UW77" s="159"/>
      <c r="UX77" s="159"/>
      <c r="UY77" s="159"/>
      <c r="UZ77" s="159"/>
      <c r="VA77" s="159"/>
      <c r="VB77" s="159"/>
      <c r="VC77" s="159"/>
      <c r="VD77" s="159"/>
      <c r="VE77" s="159"/>
      <c r="VF77" s="159"/>
      <c r="VG77" s="159"/>
      <c r="VH77" s="159"/>
      <c r="VI77" s="159"/>
      <c r="VJ77" s="159"/>
      <c r="VK77" s="159"/>
      <c r="VL77" s="159"/>
      <c r="VM77" s="159"/>
      <c r="VN77" s="159"/>
      <c r="VO77" s="159"/>
      <c r="VP77" s="159"/>
      <c r="VQ77" s="159"/>
      <c r="VR77" s="159"/>
      <c r="VS77" s="159"/>
      <c r="VT77" s="159"/>
      <c r="VU77" s="159"/>
      <c r="VV77" s="159"/>
      <c r="VW77" s="159"/>
      <c r="VX77" s="159"/>
      <c r="VY77" s="159"/>
      <c r="VZ77" s="159"/>
      <c r="WA77" s="159"/>
      <c r="WB77" s="159"/>
      <c r="WC77" s="159"/>
      <c r="WD77" s="159"/>
      <c r="WE77" s="159"/>
      <c r="WF77" s="159"/>
      <c r="WG77" s="159"/>
      <c r="WH77" s="159"/>
      <c r="WI77" s="159"/>
      <c r="WJ77" s="159"/>
      <c r="WK77" s="159"/>
      <c r="WL77" s="159"/>
      <c r="WM77" s="159"/>
      <c r="WN77" s="159"/>
      <c r="WO77" s="159"/>
      <c r="WP77" s="159"/>
      <c r="WQ77" s="159"/>
      <c r="WR77" s="159"/>
      <c r="WS77" s="159"/>
      <c r="WT77" s="159"/>
      <c r="WU77" s="159"/>
      <c r="WV77" s="159"/>
      <c r="WW77" s="159"/>
      <c r="WX77" s="159"/>
      <c r="WY77" s="159"/>
      <c r="WZ77" s="159"/>
      <c r="XA77" s="159"/>
      <c r="XB77" s="159"/>
      <c r="XC77" s="159"/>
      <c r="XD77" s="159"/>
      <c r="XE77" s="159"/>
      <c r="XF77" s="159"/>
      <c r="XG77" s="159"/>
      <c r="XH77" s="159"/>
      <c r="XI77" s="159"/>
      <c r="XJ77" s="159"/>
      <c r="XK77" s="159"/>
      <c r="XL77" s="159"/>
      <c r="XM77" s="159"/>
      <c r="XN77" s="159"/>
      <c r="XO77" s="159"/>
      <c r="XP77" s="159"/>
      <c r="XQ77" s="159"/>
      <c r="XR77" s="159"/>
      <c r="XS77" s="159"/>
      <c r="XT77" s="159"/>
      <c r="XU77" s="159"/>
      <c r="XV77" s="159"/>
      <c r="XW77" s="159"/>
      <c r="XX77" s="159"/>
      <c r="XY77" s="159"/>
      <c r="XZ77" s="159"/>
      <c r="YA77" s="159"/>
      <c r="YB77" s="159"/>
      <c r="YC77" s="159"/>
      <c r="YD77" s="159"/>
      <c r="YE77" s="159"/>
      <c r="YF77" s="159"/>
      <c r="YG77" s="159"/>
      <c r="YH77" s="159"/>
      <c r="YI77" s="159"/>
      <c r="YJ77" s="159"/>
      <c r="YK77" s="159"/>
      <c r="YL77" s="159"/>
      <c r="YM77" s="159"/>
      <c r="YN77" s="159"/>
      <c r="YO77" s="159"/>
      <c r="YP77" s="159"/>
      <c r="YQ77" s="159"/>
      <c r="YR77" s="159"/>
      <c r="YS77" s="159"/>
      <c r="YT77" s="159"/>
      <c r="YU77" s="159"/>
      <c r="YV77" s="159"/>
      <c r="YW77" s="159"/>
      <c r="YX77" s="159"/>
      <c r="YY77" s="159"/>
      <c r="YZ77" s="159"/>
      <c r="ZA77" s="159"/>
      <c r="ZB77" s="159"/>
      <c r="ZC77" s="159"/>
      <c r="ZD77" s="159"/>
      <c r="ZE77" s="159"/>
      <c r="ZF77" s="159"/>
      <c r="ZG77" s="159"/>
      <c r="ZH77" s="159"/>
      <c r="ZI77" s="159"/>
      <c r="ZJ77" s="159"/>
      <c r="ZK77" s="159"/>
      <c r="ZL77" s="159"/>
      <c r="ZM77" s="159"/>
      <c r="ZN77" s="159"/>
      <c r="ZO77" s="159"/>
      <c r="ZP77" s="159"/>
      <c r="ZQ77" s="159"/>
      <c r="ZR77" s="159"/>
      <c r="ZS77" s="159"/>
      <c r="ZT77" s="159"/>
      <c r="ZU77" s="159"/>
      <c r="ZV77" s="159"/>
      <c r="ZW77" s="159"/>
      <c r="ZX77" s="159"/>
      <c r="ZY77" s="159"/>
      <c r="ZZ77" s="159"/>
      <c r="AAA77" s="159"/>
      <c r="AAB77" s="159"/>
      <c r="AAC77" s="159"/>
      <c r="AAD77" s="159"/>
      <c r="AAE77" s="159"/>
      <c r="AAF77" s="159"/>
      <c r="AAG77" s="159"/>
      <c r="AAH77" s="159"/>
      <c r="AAI77" s="159"/>
      <c r="AAJ77" s="159"/>
      <c r="AAK77" s="159"/>
      <c r="AAL77" s="159"/>
      <c r="AAM77" s="159"/>
      <c r="AAN77" s="159"/>
      <c r="AAO77" s="159"/>
      <c r="AAP77" s="159"/>
      <c r="AAQ77" s="159"/>
      <c r="AAR77" s="159"/>
      <c r="AAS77" s="159"/>
      <c r="AAT77" s="159"/>
      <c r="AAU77" s="159"/>
      <c r="AAV77" s="159"/>
      <c r="AAW77" s="159"/>
      <c r="AAX77" s="159"/>
      <c r="AAY77" s="159"/>
      <c r="AAZ77" s="159"/>
      <c r="ABA77" s="159"/>
      <c r="ABB77" s="159"/>
      <c r="ABC77" s="159"/>
      <c r="ABD77" s="159"/>
      <c r="ABE77" s="159"/>
      <c r="ABF77" s="159"/>
      <c r="ABG77" s="159"/>
      <c r="ABH77" s="159"/>
      <c r="ABI77" s="159"/>
      <c r="ABJ77" s="159"/>
      <c r="ABK77" s="159"/>
      <c r="ABL77" s="159"/>
      <c r="ABM77" s="159"/>
      <c r="ABN77" s="159"/>
      <c r="ABO77" s="159"/>
      <c r="ABP77" s="159"/>
      <c r="ABQ77" s="159"/>
      <c r="ABR77" s="159"/>
      <c r="ABS77" s="159"/>
      <c r="ABT77" s="159"/>
      <c r="ABU77" s="159"/>
      <c r="ABV77" s="159"/>
      <c r="ABW77" s="159"/>
      <c r="ABX77" s="159"/>
      <c r="ABY77" s="159"/>
      <c r="ABZ77" s="159"/>
      <c r="ACA77" s="159"/>
      <c r="ACB77" s="159"/>
      <c r="ACC77" s="159"/>
      <c r="ACD77" s="159"/>
      <c r="ACE77" s="159"/>
      <c r="ACF77" s="159"/>
      <c r="ACG77" s="159"/>
      <c r="ACH77" s="159"/>
      <c r="ACI77" s="159"/>
      <c r="ACJ77" s="159"/>
      <c r="ACK77" s="159"/>
      <c r="ACL77" s="159"/>
      <c r="ACM77" s="159"/>
      <c r="ACN77" s="159"/>
      <c r="ACO77" s="159"/>
      <c r="ACP77" s="159"/>
      <c r="ACQ77" s="159"/>
      <c r="ACR77" s="159"/>
      <c r="ACS77" s="159"/>
      <c r="ACT77" s="159"/>
      <c r="ACU77" s="159"/>
      <c r="ACV77" s="159"/>
      <c r="ACW77" s="159"/>
      <c r="ACX77" s="159"/>
      <c r="ACY77" s="159"/>
      <c r="ACZ77" s="159"/>
      <c r="ADA77" s="159"/>
      <c r="ADB77" s="159"/>
      <c r="ADC77" s="159"/>
      <c r="ADD77" s="159"/>
      <c r="ADE77" s="159"/>
      <c r="ADF77" s="159"/>
      <c r="ADG77" s="159"/>
      <c r="ADH77" s="159"/>
      <c r="ADI77" s="159"/>
      <c r="ADJ77" s="159"/>
      <c r="ADK77" s="159"/>
      <c r="ADL77" s="159"/>
      <c r="ADM77" s="159"/>
      <c r="ADN77" s="159"/>
      <c r="ADO77" s="159"/>
      <c r="ADP77" s="159"/>
      <c r="ADQ77" s="159"/>
      <c r="ADR77" s="159"/>
      <c r="ADS77" s="159"/>
      <c r="ADT77" s="159"/>
      <c r="ADU77" s="159"/>
      <c r="ADV77" s="159"/>
      <c r="ADW77" s="159"/>
      <c r="ADX77" s="159"/>
      <c r="ADY77" s="159"/>
      <c r="ADZ77" s="159"/>
      <c r="AEA77" s="159"/>
      <c r="AEB77" s="159"/>
      <c r="AEC77" s="159"/>
      <c r="AED77" s="159"/>
      <c r="AEE77" s="159"/>
      <c r="AEF77" s="159"/>
      <c r="AEG77" s="159"/>
      <c r="AEH77" s="159"/>
      <c r="AEI77" s="159"/>
      <c r="AEJ77" s="159"/>
      <c r="AEK77" s="159"/>
      <c r="AEL77" s="159"/>
      <c r="AEM77" s="159"/>
      <c r="AEN77" s="159"/>
      <c r="AEO77" s="159"/>
      <c r="AEP77" s="159"/>
      <c r="AEQ77" s="159"/>
      <c r="AER77" s="159"/>
      <c r="AES77" s="159"/>
      <c r="AET77" s="159"/>
      <c r="AEU77" s="159"/>
      <c r="AEV77" s="159"/>
      <c r="AEW77" s="159"/>
      <c r="AEX77" s="159"/>
      <c r="AEY77" s="159"/>
      <c r="AEZ77" s="159"/>
      <c r="AFA77" s="159"/>
      <c r="AFB77" s="159"/>
      <c r="AFC77" s="159"/>
      <c r="AFD77" s="159"/>
      <c r="AFE77" s="159"/>
      <c r="AFF77" s="159"/>
      <c r="AFG77" s="159"/>
      <c r="AFH77" s="159"/>
      <c r="AFI77" s="159"/>
      <c r="AFJ77" s="159"/>
      <c r="AFK77" s="159"/>
      <c r="AFL77" s="159"/>
      <c r="AFM77" s="159"/>
      <c r="AFN77" s="159"/>
      <c r="AFO77" s="159"/>
      <c r="AFP77" s="159"/>
      <c r="AFQ77" s="159"/>
      <c r="AFR77" s="159"/>
      <c r="AFS77" s="159"/>
      <c r="AFT77" s="159"/>
      <c r="AFU77" s="159"/>
      <c r="AFV77" s="159"/>
      <c r="AFW77" s="159"/>
      <c r="AFX77" s="159"/>
      <c r="AFY77" s="159"/>
      <c r="AFZ77" s="159"/>
      <c r="AGA77" s="159"/>
      <c r="AGB77" s="159"/>
      <c r="AGC77" s="159"/>
      <c r="AGD77" s="159"/>
      <c r="AGE77" s="159"/>
      <c r="AGF77" s="159"/>
      <c r="AGG77" s="159"/>
      <c r="AGH77" s="159"/>
      <c r="AGI77" s="159"/>
      <c r="AGJ77" s="159"/>
      <c r="AGK77" s="159"/>
      <c r="AGL77" s="159"/>
      <c r="AGM77" s="159"/>
      <c r="AGN77" s="159"/>
      <c r="AGO77" s="159"/>
      <c r="AGP77" s="159"/>
      <c r="AGQ77" s="159"/>
      <c r="AGR77" s="159"/>
      <c r="AGS77" s="159"/>
      <c r="AGT77" s="159"/>
      <c r="AGU77" s="159"/>
      <c r="AGV77" s="159"/>
      <c r="AGW77" s="159"/>
      <c r="AGX77" s="159"/>
      <c r="AGY77" s="159"/>
      <c r="AGZ77" s="159"/>
      <c r="AHA77" s="159"/>
      <c r="AHB77" s="159"/>
      <c r="AHC77" s="159"/>
      <c r="AHD77" s="159"/>
      <c r="AHE77" s="159"/>
      <c r="AHF77" s="159"/>
      <c r="AHG77" s="159"/>
      <c r="AHH77" s="159"/>
      <c r="AHI77" s="159"/>
      <c r="AHJ77" s="159"/>
      <c r="AHK77" s="159"/>
      <c r="AHL77" s="159"/>
      <c r="AHM77" s="159"/>
      <c r="AHN77" s="159"/>
      <c r="AHO77" s="159"/>
      <c r="AHP77" s="159"/>
      <c r="AHQ77" s="159"/>
      <c r="AHR77" s="159"/>
      <c r="AHS77" s="159"/>
      <c r="AHT77" s="159"/>
      <c r="AHU77" s="159"/>
      <c r="AHV77" s="159"/>
      <c r="AHW77" s="159"/>
      <c r="AHX77" s="159"/>
      <c r="AHY77" s="159"/>
      <c r="AHZ77" s="159"/>
      <c r="AIA77" s="159"/>
      <c r="AIB77" s="159"/>
      <c r="AIC77" s="159"/>
      <c r="AID77" s="159"/>
      <c r="AIE77" s="159"/>
      <c r="AIF77" s="159"/>
      <c r="AIG77" s="159"/>
      <c r="AIH77" s="159"/>
      <c r="AII77" s="159"/>
      <c r="AIJ77" s="159"/>
      <c r="AIK77" s="159"/>
      <c r="AIL77" s="159"/>
      <c r="AIM77" s="159"/>
      <c r="AIN77" s="159"/>
      <c r="AIO77" s="159"/>
      <c r="AIP77" s="159"/>
      <c r="AIQ77" s="159"/>
      <c r="AIR77" s="159"/>
      <c r="AIS77" s="159"/>
      <c r="AIT77" s="159"/>
      <c r="AIU77" s="159"/>
      <c r="AIV77" s="159"/>
      <c r="AIW77" s="159"/>
      <c r="AIX77" s="159"/>
      <c r="AIY77" s="159"/>
      <c r="AIZ77" s="159"/>
      <c r="AJA77" s="159"/>
      <c r="AJB77" s="159"/>
      <c r="AJC77" s="159"/>
      <c r="AJD77" s="159"/>
      <c r="AJE77" s="159"/>
      <c r="AJF77" s="159"/>
      <c r="AJG77" s="159"/>
      <c r="AJH77" s="159"/>
      <c r="AJI77" s="159"/>
      <c r="AJJ77" s="159"/>
      <c r="AJK77" s="159"/>
      <c r="AJL77" s="159"/>
      <c r="AJM77" s="159"/>
      <c r="AJN77" s="159"/>
      <c r="AJO77" s="159"/>
      <c r="AJP77" s="159"/>
      <c r="AJQ77" s="159"/>
      <c r="AJR77" s="159"/>
      <c r="AJS77" s="159"/>
      <c r="AJT77" s="159"/>
      <c r="AJU77" s="159"/>
      <c r="AJV77" s="159"/>
      <c r="AJW77" s="159"/>
      <c r="AJX77" s="159"/>
      <c r="AJY77" s="159"/>
      <c r="AJZ77" s="159"/>
      <c r="AKA77" s="159"/>
      <c r="AKB77" s="159"/>
      <c r="AKC77" s="159"/>
      <c r="AKD77" s="159"/>
      <c r="AKE77" s="159"/>
      <c r="AKF77" s="159"/>
      <c r="AKG77" s="159"/>
      <c r="AKH77" s="159"/>
      <c r="AKI77" s="159"/>
      <c r="AKJ77" s="159"/>
      <c r="AKK77" s="159"/>
      <c r="AKL77" s="159"/>
      <c r="AKM77" s="159"/>
      <c r="AKN77" s="159"/>
      <c r="AKO77" s="159"/>
      <c r="AKP77" s="159"/>
      <c r="AKQ77" s="159"/>
      <c r="AKR77" s="159"/>
      <c r="AKS77" s="159"/>
      <c r="AKT77" s="159"/>
      <c r="AKU77" s="159"/>
      <c r="AKV77" s="159"/>
      <c r="AKW77" s="159"/>
      <c r="AKX77" s="159"/>
      <c r="AKY77" s="159"/>
      <c r="AKZ77" s="159"/>
      <c r="ALA77" s="159"/>
      <c r="ALB77" s="159"/>
      <c r="ALC77" s="159"/>
      <c r="ALD77" s="159"/>
      <c r="ALE77" s="159"/>
      <c r="ALF77" s="159"/>
      <c r="ALG77" s="159"/>
      <c r="ALH77" s="159"/>
      <c r="ALI77" s="159"/>
      <c r="ALJ77" s="159"/>
      <c r="ALK77" s="159"/>
      <c r="ALL77" s="159"/>
      <c r="ALM77" s="159"/>
      <c r="ALN77" s="159"/>
      <c r="ALO77" s="159"/>
      <c r="ALP77" s="159"/>
      <c r="ALQ77" s="159"/>
      <c r="ALR77" s="159"/>
      <c r="ALS77" s="159"/>
      <c r="ALT77" s="159"/>
      <c r="ALU77" s="159"/>
      <c r="ALV77" s="159"/>
      <c r="ALW77" s="159"/>
      <c r="ALX77" s="159"/>
      <c r="ALY77" s="159"/>
      <c r="ALZ77" s="159"/>
      <c r="AMA77" s="159"/>
      <c r="AMB77" s="159"/>
      <c r="AMC77" s="159"/>
      <c r="AMD77" s="159"/>
      <c r="AME77" s="159"/>
      <c r="AMF77" s="159"/>
      <c r="AMG77" s="159"/>
      <c r="AMH77" s="159"/>
      <c r="AMI77" s="159"/>
      <c r="AMJ77" s="159"/>
      <c r="AMK77" s="159"/>
      <c r="AML77" s="159"/>
      <c r="AMM77" s="159"/>
      <c r="AMN77" s="159"/>
      <c r="AMO77" s="159"/>
    </row>
    <row r="78" spans="1:1029" s="161" customFormat="1" ht="39" thickBot="1" x14ac:dyDescent="0.3">
      <c r="A78" s="127">
        <v>46129</v>
      </c>
      <c r="B78" s="151" t="s">
        <v>67</v>
      </c>
      <c r="C78" s="151" t="s">
        <v>10</v>
      </c>
      <c r="D78" s="162" t="s">
        <v>11</v>
      </c>
      <c r="E78" s="150" t="s">
        <v>101</v>
      </c>
      <c r="F78" s="151" t="s">
        <v>68</v>
      </c>
      <c r="G78" s="151" t="s">
        <v>11</v>
      </c>
      <c r="H78" s="145">
        <f t="shared" si="8"/>
        <v>0.5</v>
      </c>
      <c r="I78" s="154" t="s">
        <v>87</v>
      </c>
      <c r="J78" s="155" t="s">
        <v>38</v>
      </c>
      <c r="K78" s="155" t="s">
        <v>16</v>
      </c>
      <c r="L78" s="147" t="b">
        <f t="shared" si="9"/>
        <v>0</v>
      </c>
      <c r="M78" s="130" t="s">
        <v>101</v>
      </c>
      <c r="N78" s="131" t="s">
        <v>38</v>
      </c>
      <c r="O78" s="131" t="s">
        <v>90</v>
      </c>
      <c r="P78" s="145" t="b">
        <f t="shared" si="10"/>
        <v>0</v>
      </c>
      <c r="Q78" s="152" t="s">
        <v>22</v>
      </c>
      <c r="R78" s="151" t="s">
        <v>10</v>
      </c>
      <c r="S78" s="151" t="s">
        <v>16</v>
      </c>
      <c r="T78" s="145">
        <f t="shared" si="11"/>
        <v>0.5</v>
      </c>
      <c r="U78" s="159"/>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59"/>
      <c r="AT78" s="159"/>
      <c r="AU78" s="159"/>
      <c r="AV78" s="159"/>
      <c r="AW78" s="159"/>
      <c r="AX78" s="159"/>
      <c r="AY78" s="159"/>
      <c r="AZ78" s="159"/>
      <c r="BA78" s="159"/>
      <c r="BB78" s="159"/>
      <c r="BC78" s="159"/>
      <c r="BD78" s="159"/>
      <c r="BE78" s="159"/>
      <c r="BF78" s="159"/>
      <c r="BG78" s="159"/>
      <c r="BH78" s="159"/>
      <c r="BI78" s="159"/>
      <c r="BJ78" s="159"/>
      <c r="BK78" s="159"/>
      <c r="BL78" s="159"/>
      <c r="BM78" s="159"/>
      <c r="BN78" s="159"/>
      <c r="BO78" s="159"/>
      <c r="BP78" s="159"/>
      <c r="BQ78" s="159"/>
      <c r="BR78" s="159"/>
      <c r="BS78" s="159"/>
      <c r="BT78" s="159"/>
      <c r="BU78" s="159"/>
      <c r="BV78" s="159"/>
      <c r="BW78" s="159"/>
      <c r="BX78" s="159"/>
      <c r="BY78" s="159"/>
      <c r="BZ78" s="159"/>
      <c r="CA78" s="159"/>
      <c r="CB78" s="159"/>
      <c r="CC78" s="159"/>
      <c r="CD78" s="159"/>
      <c r="CE78" s="159"/>
      <c r="CF78" s="159"/>
      <c r="CG78" s="159"/>
      <c r="CH78" s="159"/>
      <c r="CI78" s="159"/>
      <c r="CJ78" s="159"/>
      <c r="CK78" s="159"/>
      <c r="CL78" s="159"/>
      <c r="CM78" s="159"/>
      <c r="CN78" s="159"/>
      <c r="CO78" s="159"/>
      <c r="CP78" s="159"/>
      <c r="CQ78" s="159"/>
      <c r="CR78" s="159"/>
      <c r="CS78" s="159"/>
      <c r="CT78" s="159"/>
      <c r="CU78" s="159"/>
      <c r="CV78" s="159"/>
      <c r="CW78" s="159"/>
      <c r="CX78" s="159"/>
      <c r="CY78" s="159"/>
      <c r="CZ78" s="159"/>
      <c r="DA78" s="159"/>
      <c r="DB78" s="159"/>
      <c r="DC78" s="159"/>
      <c r="DD78" s="159"/>
      <c r="DE78" s="159"/>
      <c r="DF78" s="159"/>
      <c r="DG78" s="159"/>
      <c r="DH78" s="159"/>
      <c r="DI78" s="159"/>
      <c r="DJ78" s="159"/>
      <c r="DK78" s="159"/>
      <c r="DL78" s="159"/>
      <c r="DM78" s="159"/>
      <c r="DN78" s="159"/>
      <c r="DO78" s="159"/>
      <c r="DP78" s="159"/>
      <c r="DQ78" s="159"/>
      <c r="DR78" s="159"/>
      <c r="DS78" s="159"/>
      <c r="DT78" s="159"/>
      <c r="DU78" s="159"/>
      <c r="DV78" s="159"/>
      <c r="DW78" s="159"/>
      <c r="DX78" s="159"/>
      <c r="DY78" s="159"/>
      <c r="DZ78" s="159"/>
      <c r="EA78" s="159"/>
      <c r="EB78" s="159"/>
      <c r="EC78" s="159"/>
      <c r="ED78" s="159"/>
      <c r="EE78" s="159"/>
      <c r="EF78" s="159"/>
      <c r="EG78" s="159"/>
      <c r="EH78" s="159"/>
      <c r="EI78" s="159"/>
      <c r="EJ78" s="159"/>
      <c r="EK78" s="159"/>
      <c r="EL78" s="159"/>
      <c r="EM78" s="159"/>
      <c r="EN78" s="159"/>
      <c r="EO78" s="159"/>
      <c r="EP78" s="159"/>
      <c r="EQ78" s="159"/>
      <c r="ER78" s="159"/>
      <c r="ES78" s="159"/>
      <c r="ET78" s="159"/>
      <c r="EU78" s="159"/>
      <c r="EV78" s="159"/>
      <c r="EW78" s="159"/>
      <c r="EX78" s="159"/>
      <c r="EY78" s="159"/>
      <c r="EZ78" s="159"/>
      <c r="FA78" s="159"/>
      <c r="FB78" s="159"/>
      <c r="FC78" s="159"/>
      <c r="FD78" s="159"/>
      <c r="FE78" s="159"/>
      <c r="FF78" s="159"/>
      <c r="FG78" s="159"/>
      <c r="FH78" s="159"/>
      <c r="FI78" s="159"/>
      <c r="FJ78" s="159"/>
      <c r="FK78" s="159"/>
      <c r="FL78" s="159"/>
      <c r="FM78" s="159"/>
      <c r="FN78" s="159"/>
      <c r="FO78" s="159"/>
      <c r="FP78" s="159"/>
      <c r="FQ78" s="159"/>
      <c r="FR78" s="159"/>
      <c r="FS78" s="159"/>
      <c r="FT78" s="159"/>
      <c r="FU78" s="159"/>
      <c r="FV78" s="159"/>
      <c r="FW78" s="159"/>
      <c r="FX78" s="159"/>
      <c r="FY78" s="159"/>
      <c r="FZ78" s="159"/>
      <c r="GA78" s="159"/>
      <c r="GB78" s="159"/>
      <c r="GC78" s="159"/>
      <c r="GD78" s="159"/>
      <c r="GE78" s="159"/>
      <c r="GF78" s="159"/>
      <c r="GG78" s="159"/>
      <c r="GH78" s="159"/>
      <c r="GI78" s="159"/>
      <c r="GJ78" s="159"/>
      <c r="GK78" s="159"/>
      <c r="GL78" s="159"/>
      <c r="GM78" s="159"/>
      <c r="GN78" s="159"/>
      <c r="GO78" s="159"/>
      <c r="GP78" s="159"/>
      <c r="GQ78" s="159"/>
      <c r="GR78" s="159"/>
      <c r="GS78" s="159"/>
      <c r="GT78" s="159"/>
      <c r="GU78" s="159"/>
      <c r="GV78" s="159"/>
      <c r="GW78" s="159"/>
      <c r="GX78" s="159"/>
      <c r="GY78" s="159"/>
      <c r="GZ78" s="159"/>
      <c r="HA78" s="159"/>
      <c r="HB78" s="159"/>
      <c r="HC78" s="159"/>
      <c r="HD78" s="159"/>
      <c r="HE78" s="159"/>
      <c r="HF78" s="159"/>
      <c r="HG78" s="159"/>
      <c r="HH78" s="159"/>
      <c r="HI78" s="159"/>
      <c r="HJ78" s="159"/>
      <c r="HK78" s="159"/>
      <c r="HL78" s="159"/>
      <c r="HM78" s="159"/>
      <c r="HN78" s="159"/>
      <c r="HO78" s="159"/>
      <c r="HP78" s="159"/>
      <c r="HQ78" s="159"/>
      <c r="HR78" s="159"/>
      <c r="HS78" s="159"/>
      <c r="HT78" s="159"/>
      <c r="HU78" s="159"/>
      <c r="HV78" s="159"/>
      <c r="HW78" s="159"/>
      <c r="HX78" s="159"/>
      <c r="HY78" s="159"/>
      <c r="HZ78" s="159"/>
      <c r="IA78" s="159"/>
      <c r="IB78" s="159"/>
      <c r="IC78" s="159"/>
      <c r="ID78" s="159"/>
      <c r="IE78" s="159"/>
      <c r="IF78" s="159"/>
      <c r="IG78" s="159"/>
      <c r="IH78" s="159"/>
      <c r="II78" s="159"/>
      <c r="IJ78" s="159"/>
      <c r="IK78" s="159"/>
      <c r="IL78" s="159"/>
      <c r="IM78" s="159"/>
      <c r="IN78" s="159"/>
      <c r="IO78" s="159"/>
      <c r="IP78" s="159"/>
      <c r="IQ78" s="159"/>
      <c r="IR78" s="159"/>
      <c r="IS78" s="159"/>
      <c r="IT78" s="159"/>
      <c r="IU78" s="159"/>
      <c r="IV78" s="159"/>
      <c r="IW78" s="159"/>
      <c r="IX78" s="159"/>
      <c r="IY78" s="159"/>
      <c r="IZ78" s="159"/>
      <c r="JA78" s="159"/>
      <c r="JB78" s="159"/>
      <c r="JC78" s="159"/>
      <c r="JD78" s="159"/>
      <c r="JE78" s="159"/>
      <c r="JF78" s="159"/>
      <c r="JG78" s="159"/>
      <c r="JH78" s="159"/>
      <c r="JI78" s="159"/>
      <c r="JJ78" s="159"/>
      <c r="JK78" s="159"/>
      <c r="JL78" s="159"/>
      <c r="JM78" s="159"/>
      <c r="JN78" s="159"/>
      <c r="JO78" s="159"/>
      <c r="JP78" s="159"/>
      <c r="JQ78" s="159"/>
      <c r="JR78" s="159"/>
      <c r="JS78" s="159"/>
      <c r="JT78" s="159"/>
      <c r="JU78" s="159"/>
      <c r="JV78" s="159"/>
      <c r="JW78" s="159"/>
      <c r="JX78" s="159"/>
      <c r="JY78" s="159"/>
      <c r="JZ78" s="159"/>
      <c r="KA78" s="159"/>
      <c r="KB78" s="159"/>
      <c r="KC78" s="159"/>
      <c r="KD78" s="159"/>
      <c r="KE78" s="159"/>
      <c r="KF78" s="159"/>
      <c r="KG78" s="159"/>
      <c r="KH78" s="159"/>
      <c r="KI78" s="159"/>
      <c r="KJ78" s="159"/>
      <c r="KK78" s="159"/>
      <c r="KL78" s="159"/>
      <c r="KM78" s="159"/>
      <c r="KN78" s="159"/>
      <c r="KO78" s="159"/>
      <c r="KP78" s="159"/>
      <c r="KQ78" s="159"/>
      <c r="KR78" s="159"/>
      <c r="KS78" s="159"/>
      <c r="KT78" s="159"/>
      <c r="KU78" s="159"/>
      <c r="KV78" s="159"/>
      <c r="KW78" s="159"/>
      <c r="KX78" s="159"/>
      <c r="KY78" s="159"/>
      <c r="KZ78" s="159"/>
      <c r="LA78" s="159"/>
      <c r="LB78" s="159"/>
      <c r="LC78" s="159"/>
      <c r="LD78" s="159"/>
      <c r="LE78" s="159"/>
      <c r="LF78" s="159"/>
      <c r="LG78" s="159"/>
      <c r="LH78" s="159"/>
      <c r="LI78" s="159"/>
      <c r="LJ78" s="159"/>
      <c r="LK78" s="159"/>
      <c r="LL78" s="159"/>
      <c r="LM78" s="159"/>
      <c r="LN78" s="159"/>
      <c r="LO78" s="159"/>
      <c r="LP78" s="159"/>
      <c r="LQ78" s="159"/>
      <c r="LR78" s="159"/>
      <c r="LS78" s="159"/>
      <c r="LT78" s="159"/>
      <c r="LU78" s="159"/>
      <c r="LV78" s="159"/>
      <c r="LW78" s="159"/>
      <c r="LX78" s="159"/>
      <c r="LY78" s="159"/>
      <c r="LZ78" s="159"/>
      <c r="MA78" s="159"/>
      <c r="MB78" s="159"/>
      <c r="MC78" s="159"/>
      <c r="MD78" s="159"/>
      <c r="ME78" s="159"/>
      <c r="MF78" s="159"/>
      <c r="MG78" s="159"/>
      <c r="MH78" s="159"/>
      <c r="MI78" s="159"/>
      <c r="MJ78" s="159"/>
      <c r="MK78" s="159"/>
      <c r="ML78" s="159"/>
      <c r="MM78" s="159"/>
      <c r="MN78" s="159"/>
      <c r="MO78" s="159"/>
      <c r="MP78" s="159"/>
      <c r="MQ78" s="159"/>
      <c r="MR78" s="159"/>
      <c r="MS78" s="159"/>
      <c r="MT78" s="159"/>
      <c r="MU78" s="159"/>
      <c r="MV78" s="159"/>
      <c r="MW78" s="159"/>
      <c r="MX78" s="159"/>
      <c r="MY78" s="159"/>
      <c r="MZ78" s="159"/>
      <c r="NA78" s="159"/>
      <c r="NB78" s="159"/>
      <c r="NC78" s="159"/>
      <c r="ND78" s="159"/>
      <c r="NE78" s="159"/>
      <c r="NF78" s="159"/>
      <c r="NG78" s="159"/>
      <c r="NH78" s="159"/>
      <c r="NI78" s="159"/>
      <c r="NJ78" s="159"/>
      <c r="NK78" s="159"/>
      <c r="NL78" s="159"/>
      <c r="NM78" s="159"/>
      <c r="NN78" s="159"/>
      <c r="NO78" s="159"/>
      <c r="NP78" s="159"/>
      <c r="NQ78" s="159"/>
      <c r="NR78" s="159"/>
      <c r="NS78" s="159"/>
      <c r="NT78" s="159"/>
      <c r="NU78" s="159"/>
      <c r="NV78" s="159"/>
      <c r="NW78" s="159"/>
      <c r="NX78" s="159"/>
      <c r="NY78" s="159"/>
      <c r="NZ78" s="159"/>
      <c r="OA78" s="159"/>
      <c r="OB78" s="159"/>
      <c r="OC78" s="159"/>
      <c r="OD78" s="159"/>
      <c r="OE78" s="159"/>
      <c r="OF78" s="159"/>
      <c r="OG78" s="159"/>
      <c r="OH78" s="159"/>
      <c r="OI78" s="159"/>
      <c r="OJ78" s="159"/>
      <c r="OK78" s="159"/>
      <c r="OL78" s="159"/>
      <c r="OM78" s="159"/>
      <c r="ON78" s="159"/>
      <c r="OO78" s="159"/>
      <c r="OP78" s="159"/>
      <c r="OQ78" s="159"/>
      <c r="OR78" s="159"/>
      <c r="OS78" s="159"/>
      <c r="OT78" s="159"/>
      <c r="OU78" s="159"/>
      <c r="OV78" s="159"/>
      <c r="OW78" s="159"/>
      <c r="OX78" s="159"/>
      <c r="OY78" s="159"/>
      <c r="OZ78" s="159"/>
      <c r="PA78" s="159"/>
      <c r="PB78" s="159"/>
      <c r="PC78" s="159"/>
      <c r="PD78" s="159"/>
      <c r="PE78" s="159"/>
      <c r="PF78" s="159"/>
      <c r="PG78" s="159"/>
      <c r="PH78" s="159"/>
      <c r="PI78" s="159"/>
      <c r="PJ78" s="159"/>
      <c r="PK78" s="159"/>
      <c r="PL78" s="159"/>
      <c r="PM78" s="159"/>
      <c r="PN78" s="159"/>
      <c r="PO78" s="159"/>
      <c r="PP78" s="159"/>
      <c r="PQ78" s="159"/>
      <c r="PR78" s="159"/>
      <c r="PS78" s="159"/>
      <c r="PT78" s="159"/>
      <c r="PU78" s="159"/>
      <c r="PV78" s="159"/>
      <c r="PW78" s="159"/>
      <c r="PX78" s="159"/>
      <c r="PY78" s="159"/>
      <c r="PZ78" s="159"/>
      <c r="QA78" s="159"/>
      <c r="QB78" s="159"/>
      <c r="QC78" s="159"/>
      <c r="QD78" s="159"/>
      <c r="QE78" s="159"/>
      <c r="QF78" s="159"/>
      <c r="QG78" s="159"/>
      <c r="QH78" s="159"/>
      <c r="QI78" s="159"/>
      <c r="QJ78" s="159"/>
      <c r="QK78" s="159"/>
      <c r="QL78" s="159"/>
      <c r="QM78" s="159"/>
      <c r="QN78" s="159"/>
      <c r="QO78" s="159"/>
      <c r="QP78" s="159"/>
      <c r="QQ78" s="159"/>
      <c r="QR78" s="159"/>
      <c r="QS78" s="159"/>
      <c r="QT78" s="159"/>
      <c r="QU78" s="159"/>
      <c r="QV78" s="159"/>
      <c r="QW78" s="159"/>
      <c r="QX78" s="159"/>
      <c r="QY78" s="159"/>
      <c r="QZ78" s="159"/>
      <c r="RA78" s="159"/>
      <c r="RB78" s="159"/>
      <c r="RC78" s="159"/>
      <c r="RD78" s="159"/>
      <c r="RE78" s="159"/>
      <c r="RF78" s="159"/>
      <c r="RG78" s="159"/>
      <c r="RH78" s="159"/>
      <c r="RI78" s="159"/>
      <c r="RJ78" s="159"/>
      <c r="RK78" s="159"/>
      <c r="RL78" s="159"/>
      <c r="RM78" s="159"/>
      <c r="RN78" s="159"/>
      <c r="RO78" s="159"/>
      <c r="RP78" s="159"/>
      <c r="RQ78" s="159"/>
      <c r="RR78" s="159"/>
      <c r="RS78" s="159"/>
      <c r="RT78" s="159"/>
      <c r="RU78" s="159"/>
      <c r="RV78" s="159"/>
      <c r="RW78" s="159"/>
      <c r="RX78" s="159"/>
      <c r="RY78" s="159"/>
      <c r="RZ78" s="159"/>
      <c r="SA78" s="159"/>
      <c r="SB78" s="159"/>
      <c r="SC78" s="159"/>
      <c r="SD78" s="159"/>
      <c r="SE78" s="159"/>
      <c r="SF78" s="159"/>
      <c r="SG78" s="159"/>
      <c r="SH78" s="159"/>
      <c r="SI78" s="159"/>
      <c r="SJ78" s="159"/>
      <c r="SK78" s="159"/>
      <c r="SL78" s="159"/>
      <c r="SM78" s="159"/>
      <c r="SN78" s="159"/>
      <c r="SO78" s="159"/>
      <c r="SP78" s="159"/>
      <c r="SQ78" s="159"/>
      <c r="SR78" s="159"/>
      <c r="SS78" s="159"/>
      <c r="ST78" s="159"/>
      <c r="SU78" s="159"/>
      <c r="SV78" s="159"/>
      <c r="SW78" s="159"/>
      <c r="SX78" s="159"/>
      <c r="SY78" s="159"/>
      <c r="SZ78" s="159"/>
      <c r="TA78" s="159"/>
      <c r="TB78" s="159"/>
      <c r="TC78" s="159"/>
      <c r="TD78" s="159"/>
      <c r="TE78" s="159"/>
      <c r="TF78" s="159"/>
      <c r="TG78" s="159"/>
      <c r="TH78" s="159"/>
      <c r="TI78" s="159"/>
      <c r="TJ78" s="159"/>
      <c r="TK78" s="159"/>
      <c r="TL78" s="159"/>
      <c r="TM78" s="159"/>
      <c r="TN78" s="159"/>
      <c r="TO78" s="159"/>
      <c r="TP78" s="159"/>
      <c r="TQ78" s="159"/>
      <c r="TR78" s="159"/>
      <c r="TS78" s="159"/>
      <c r="TT78" s="159"/>
      <c r="TU78" s="159"/>
      <c r="TV78" s="159"/>
      <c r="TW78" s="159"/>
      <c r="TX78" s="159"/>
      <c r="TY78" s="159"/>
      <c r="TZ78" s="159"/>
      <c r="UA78" s="159"/>
      <c r="UB78" s="159"/>
      <c r="UC78" s="159"/>
      <c r="UD78" s="159"/>
      <c r="UE78" s="159"/>
      <c r="UF78" s="159"/>
      <c r="UG78" s="159"/>
      <c r="UH78" s="159"/>
      <c r="UI78" s="159"/>
      <c r="UJ78" s="159"/>
      <c r="UK78" s="159"/>
      <c r="UL78" s="159"/>
      <c r="UM78" s="159"/>
      <c r="UN78" s="159"/>
      <c r="UO78" s="159"/>
      <c r="UP78" s="159"/>
      <c r="UQ78" s="159"/>
      <c r="UR78" s="159"/>
      <c r="US78" s="159"/>
      <c r="UT78" s="159"/>
      <c r="UU78" s="159"/>
      <c r="UV78" s="159"/>
      <c r="UW78" s="159"/>
      <c r="UX78" s="159"/>
      <c r="UY78" s="159"/>
      <c r="UZ78" s="159"/>
      <c r="VA78" s="159"/>
      <c r="VB78" s="159"/>
      <c r="VC78" s="159"/>
      <c r="VD78" s="159"/>
      <c r="VE78" s="159"/>
      <c r="VF78" s="159"/>
      <c r="VG78" s="159"/>
      <c r="VH78" s="159"/>
      <c r="VI78" s="159"/>
      <c r="VJ78" s="159"/>
      <c r="VK78" s="159"/>
      <c r="VL78" s="159"/>
      <c r="VM78" s="159"/>
      <c r="VN78" s="159"/>
      <c r="VO78" s="159"/>
      <c r="VP78" s="159"/>
      <c r="VQ78" s="159"/>
      <c r="VR78" s="159"/>
      <c r="VS78" s="159"/>
      <c r="VT78" s="159"/>
      <c r="VU78" s="159"/>
      <c r="VV78" s="159"/>
      <c r="VW78" s="159"/>
      <c r="VX78" s="159"/>
      <c r="VY78" s="159"/>
      <c r="VZ78" s="159"/>
      <c r="WA78" s="159"/>
      <c r="WB78" s="159"/>
      <c r="WC78" s="159"/>
      <c r="WD78" s="159"/>
      <c r="WE78" s="159"/>
      <c r="WF78" s="159"/>
      <c r="WG78" s="159"/>
      <c r="WH78" s="159"/>
      <c r="WI78" s="159"/>
      <c r="WJ78" s="159"/>
      <c r="WK78" s="159"/>
      <c r="WL78" s="159"/>
      <c r="WM78" s="159"/>
      <c r="WN78" s="159"/>
      <c r="WO78" s="159"/>
      <c r="WP78" s="159"/>
      <c r="WQ78" s="159"/>
      <c r="WR78" s="159"/>
      <c r="WS78" s="159"/>
      <c r="WT78" s="159"/>
      <c r="WU78" s="159"/>
      <c r="WV78" s="159"/>
      <c r="WW78" s="159"/>
      <c r="WX78" s="159"/>
      <c r="WY78" s="159"/>
      <c r="WZ78" s="159"/>
      <c r="XA78" s="159"/>
      <c r="XB78" s="159"/>
      <c r="XC78" s="159"/>
      <c r="XD78" s="159"/>
      <c r="XE78" s="159"/>
      <c r="XF78" s="159"/>
      <c r="XG78" s="159"/>
      <c r="XH78" s="159"/>
      <c r="XI78" s="159"/>
      <c r="XJ78" s="159"/>
      <c r="XK78" s="159"/>
      <c r="XL78" s="159"/>
      <c r="XM78" s="159"/>
      <c r="XN78" s="159"/>
      <c r="XO78" s="159"/>
      <c r="XP78" s="159"/>
      <c r="XQ78" s="159"/>
      <c r="XR78" s="159"/>
      <c r="XS78" s="159"/>
      <c r="XT78" s="159"/>
      <c r="XU78" s="159"/>
      <c r="XV78" s="159"/>
      <c r="XW78" s="159"/>
      <c r="XX78" s="159"/>
      <c r="XY78" s="159"/>
      <c r="XZ78" s="159"/>
      <c r="YA78" s="159"/>
      <c r="YB78" s="159"/>
      <c r="YC78" s="159"/>
      <c r="YD78" s="159"/>
      <c r="YE78" s="159"/>
      <c r="YF78" s="159"/>
      <c r="YG78" s="159"/>
      <c r="YH78" s="159"/>
      <c r="YI78" s="159"/>
      <c r="YJ78" s="159"/>
      <c r="YK78" s="159"/>
      <c r="YL78" s="159"/>
      <c r="YM78" s="159"/>
      <c r="YN78" s="159"/>
      <c r="YO78" s="159"/>
      <c r="YP78" s="159"/>
      <c r="YQ78" s="159"/>
      <c r="YR78" s="159"/>
      <c r="YS78" s="159"/>
      <c r="YT78" s="159"/>
      <c r="YU78" s="159"/>
      <c r="YV78" s="159"/>
      <c r="YW78" s="159"/>
      <c r="YX78" s="159"/>
      <c r="YY78" s="159"/>
      <c r="YZ78" s="159"/>
      <c r="ZA78" s="159"/>
      <c r="ZB78" s="159"/>
      <c r="ZC78" s="159"/>
      <c r="ZD78" s="159"/>
      <c r="ZE78" s="159"/>
      <c r="ZF78" s="159"/>
      <c r="ZG78" s="159"/>
      <c r="ZH78" s="159"/>
      <c r="ZI78" s="159"/>
      <c r="ZJ78" s="159"/>
      <c r="ZK78" s="159"/>
      <c r="ZL78" s="159"/>
      <c r="ZM78" s="159"/>
      <c r="ZN78" s="159"/>
      <c r="ZO78" s="159"/>
      <c r="ZP78" s="159"/>
      <c r="ZQ78" s="159"/>
      <c r="ZR78" s="159"/>
      <c r="ZS78" s="159"/>
      <c r="ZT78" s="159"/>
      <c r="ZU78" s="159"/>
      <c r="ZV78" s="159"/>
      <c r="ZW78" s="159"/>
      <c r="ZX78" s="159"/>
      <c r="ZY78" s="159"/>
      <c r="ZZ78" s="159"/>
      <c r="AAA78" s="159"/>
      <c r="AAB78" s="159"/>
      <c r="AAC78" s="159"/>
      <c r="AAD78" s="159"/>
      <c r="AAE78" s="159"/>
      <c r="AAF78" s="159"/>
      <c r="AAG78" s="159"/>
      <c r="AAH78" s="159"/>
      <c r="AAI78" s="159"/>
      <c r="AAJ78" s="159"/>
      <c r="AAK78" s="159"/>
      <c r="AAL78" s="159"/>
      <c r="AAM78" s="159"/>
      <c r="AAN78" s="159"/>
      <c r="AAO78" s="159"/>
      <c r="AAP78" s="159"/>
      <c r="AAQ78" s="159"/>
      <c r="AAR78" s="159"/>
      <c r="AAS78" s="159"/>
      <c r="AAT78" s="159"/>
      <c r="AAU78" s="159"/>
      <c r="AAV78" s="159"/>
      <c r="AAW78" s="159"/>
      <c r="AAX78" s="159"/>
      <c r="AAY78" s="159"/>
      <c r="AAZ78" s="159"/>
      <c r="ABA78" s="159"/>
      <c r="ABB78" s="159"/>
      <c r="ABC78" s="159"/>
      <c r="ABD78" s="159"/>
      <c r="ABE78" s="159"/>
      <c r="ABF78" s="159"/>
      <c r="ABG78" s="159"/>
      <c r="ABH78" s="159"/>
      <c r="ABI78" s="159"/>
      <c r="ABJ78" s="159"/>
      <c r="ABK78" s="159"/>
      <c r="ABL78" s="159"/>
      <c r="ABM78" s="159"/>
      <c r="ABN78" s="159"/>
      <c r="ABO78" s="159"/>
      <c r="ABP78" s="159"/>
      <c r="ABQ78" s="159"/>
      <c r="ABR78" s="159"/>
      <c r="ABS78" s="159"/>
      <c r="ABT78" s="159"/>
      <c r="ABU78" s="159"/>
      <c r="ABV78" s="159"/>
      <c r="ABW78" s="159"/>
      <c r="ABX78" s="159"/>
      <c r="ABY78" s="159"/>
      <c r="ABZ78" s="159"/>
      <c r="ACA78" s="159"/>
      <c r="ACB78" s="159"/>
      <c r="ACC78" s="159"/>
      <c r="ACD78" s="159"/>
      <c r="ACE78" s="159"/>
      <c r="ACF78" s="159"/>
      <c r="ACG78" s="159"/>
      <c r="ACH78" s="159"/>
      <c r="ACI78" s="159"/>
      <c r="ACJ78" s="159"/>
      <c r="ACK78" s="159"/>
      <c r="ACL78" s="159"/>
      <c r="ACM78" s="159"/>
      <c r="ACN78" s="159"/>
      <c r="ACO78" s="159"/>
      <c r="ACP78" s="159"/>
      <c r="ACQ78" s="159"/>
      <c r="ACR78" s="159"/>
      <c r="ACS78" s="159"/>
      <c r="ACT78" s="159"/>
      <c r="ACU78" s="159"/>
      <c r="ACV78" s="159"/>
      <c r="ACW78" s="159"/>
      <c r="ACX78" s="159"/>
      <c r="ACY78" s="159"/>
      <c r="ACZ78" s="159"/>
      <c r="ADA78" s="159"/>
      <c r="ADB78" s="159"/>
      <c r="ADC78" s="159"/>
      <c r="ADD78" s="159"/>
      <c r="ADE78" s="159"/>
      <c r="ADF78" s="159"/>
      <c r="ADG78" s="159"/>
      <c r="ADH78" s="159"/>
      <c r="ADI78" s="159"/>
      <c r="ADJ78" s="159"/>
      <c r="ADK78" s="159"/>
      <c r="ADL78" s="159"/>
      <c r="ADM78" s="159"/>
      <c r="ADN78" s="159"/>
      <c r="ADO78" s="159"/>
      <c r="ADP78" s="159"/>
      <c r="ADQ78" s="159"/>
      <c r="ADR78" s="159"/>
      <c r="ADS78" s="159"/>
      <c r="ADT78" s="159"/>
      <c r="ADU78" s="159"/>
      <c r="ADV78" s="159"/>
      <c r="ADW78" s="159"/>
      <c r="ADX78" s="159"/>
      <c r="ADY78" s="159"/>
      <c r="ADZ78" s="159"/>
      <c r="AEA78" s="159"/>
      <c r="AEB78" s="159"/>
      <c r="AEC78" s="159"/>
      <c r="AED78" s="159"/>
      <c r="AEE78" s="159"/>
      <c r="AEF78" s="159"/>
      <c r="AEG78" s="159"/>
      <c r="AEH78" s="159"/>
      <c r="AEI78" s="159"/>
      <c r="AEJ78" s="159"/>
      <c r="AEK78" s="159"/>
      <c r="AEL78" s="159"/>
      <c r="AEM78" s="159"/>
      <c r="AEN78" s="159"/>
      <c r="AEO78" s="159"/>
      <c r="AEP78" s="159"/>
      <c r="AEQ78" s="159"/>
      <c r="AER78" s="159"/>
      <c r="AES78" s="159"/>
      <c r="AET78" s="159"/>
      <c r="AEU78" s="159"/>
      <c r="AEV78" s="159"/>
      <c r="AEW78" s="159"/>
      <c r="AEX78" s="159"/>
      <c r="AEY78" s="159"/>
      <c r="AEZ78" s="159"/>
      <c r="AFA78" s="159"/>
      <c r="AFB78" s="159"/>
      <c r="AFC78" s="159"/>
      <c r="AFD78" s="159"/>
      <c r="AFE78" s="159"/>
      <c r="AFF78" s="159"/>
      <c r="AFG78" s="159"/>
      <c r="AFH78" s="159"/>
      <c r="AFI78" s="159"/>
      <c r="AFJ78" s="159"/>
      <c r="AFK78" s="159"/>
      <c r="AFL78" s="159"/>
      <c r="AFM78" s="159"/>
      <c r="AFN78" s="159"/>
      <c r="AFO78" s="159"/>
      <c r="AFP78" s="159"/>
      <c r="AFQ78" s="159"/>
      <c r="AFR78" s="159"/>
      <c r="AFS78" s="159"/>
      <c r="AFT78" s="159"/>
      <c r="AFU78" s="159"/>
      <c r="AFV78" s="159"/>
      <c r="AFW78" s="159"/>
      <c r="AFX78" s="159"/>
      <c r="AFY78" s="159"/>
      <c r="AFZ78" s="159"/>
      <c r="AGA78" s="159"/>
      <c r="AGB78" s="159"/>
      <c r="AGC78" s="159"/>
      <c r="AGD78" s="159"/>
      <c r="AGE78" s="159"/>
      <c r="AGF78" s="159"/>
      <c r="AGG78" s="159"/>
      <c r="AGH78" s="159"/>
      <c r="AGI78" s="159"/>
      <c r="AGJ78" s="159"/>
      <c r="AGK78" s="159"/>
      <c r="AGL78" s="159"/>
      <c r="AGM78" s="159"/>
      <c r="AGN78" s="159"/>
      <c r="AGO78" s="159"/>
      <c r="AGP78" s="159"/>
      <c r="AGQ78" s="159"/>
      <c r="AGR78" s="159"/>
      <c r="AGS78" s="159"/>
      <c r="AGT78" s="159"/>
      <c r="AGU78" s="159"/>
      <c r="AGV78" s="159"/>
      <c r="AGW78" s="159"/>
      <c r="AGX78" s="159"/>
      <c r="AGY78" s="159"/>
      <c r="AGZ78" s="159"/>
      <c r="AHA78" s="159"/>
      <c r="AHB78" s="159"/>
      <c r="AHC78" s="159"/>
      <c r="AHD78" s="159"/>
      <c r="AHE78" s="159"/>
      <c r="AHF78" s="159"/>
      <c r="AHG78" s="159"/>
      <c r="AHH78" s="159"/>
      <c r="AHI78" s="159"/>
      <c r="AHJ78" s="159"/>
      <c r="AHK78" s="159"/>
      <c r="AHL78" s="159"/>
      <c r="AHM78" s="159"/>
      <c r="AHN78" s="159"/>
      <c r="AHO78" s="159"/>
      <c r="AHP78" s="159"/>
      <c r="AHQ78" s="159"/>
      <c r="AHR78" s="159"/>
      <c r="AHS78" s="159"/>
      <c r="AHT78" s="159"/>
      <c r="AHU78" s="159"/>
      <c r="AHV78" s="159"/>
      <c r="AHW78" s="159"/>
      <c r="AHX78" s="159"/>
      <c r="AHY78" s="159"/>
      <c r="AHZ78" s="159"/>
      <c r="AIA78" s="159"/>
      <c r="AIB78" s="159"/>
      <c r="AIC78" s="159"/>
      <c r="AID78" s="159"/>
      <c r="AIE78" s="159"/>
      <c r="AIF78" s="159"/>
      <c r="AIG78" s="159"/>
      <c r="AIH78" s="159"/>
      <c r="AII78" s="159"/>
      <c r="AIJ78" s="159"/>
      <c r="AIK78" s="159"/>
      <c r="AIL78" s="159"/>
      <c r="AIM78" s="159"/>
      <c r="AIN78" s="159"/>
      <c r="AIO78" s="159"/>
      <c r="AIP78" s="159"/>
      <c r="AIQ78" s="159"/>
      <c r="AIR78" s="159"/>
      <c r="AIS78" s="159"/>
      <c r="AIT78" s="159"/>
      <c r="AIU78" s="159"/>
      <c r="AIV78" s="159"/>
      <c r="AIW78" s="159"/>
      <c r="AIX78" s="159"/>
      <c r="AIY78" s="159"/>
      <c r="AIZ78" s="159"/>
      <c r="AJA78" s="159"/>
      <c r="AJB78" s="159"/>
      <c r="AJC78" s="159"/>
      <c r="AJD78" s="159"/>
      <c r="AJE78" s="159"/>
      <c r="AJF78" s="159"/>
      <c r="AJG78" s="159"/>
      <c r="AJH78" s="159"/>
      <c r="AJI78" s="159"/>
      <c r="AJJ78" s="159"/>
      <c r="AJK78" s="159"/>
      <c r="AJL78" s="159"/>
      <c r="AJM78" s="159"/>
      <c r="AJN78" s="159"/>
      <c r="AJO78" s="159"/>
      <c r="AJP78" s="159"/>
      <c r="AJQ78" s="159"/>
      <c r="AJR78" s="159"/>
      <c r="AJS78" s="159"/>
      <c r="AJT78" s="159"/>
      <c r="AJU78" s="159"/>
      <c r="AJV78" s="159"/>
      <c r="AJW78" s="159"/>
      <c r="AJX78" s="159"/>
      <c r="AJY78" s="159"/>
      <c r="AJZ78" s="159"/>
      <c r="AKA78" s="159"/>
      <c r="AKB78" s="159"/>
      <c r="AKC78" s="159"/>
      <c r="AKD78" s="159"/>
      <c r="AKE78" s="159"/>
      <c r="AKF78" s="159"/>
      <c r="AKG78" s="159"/>
      <c r="AKH78" s="159"/>
      <c r="AKI78" s="159"/>
      <c r="AKJ78" s="159"/>
      <c r="AKK78" s="159"/>
      <c r="AKL78" s="159"/>
      <c r="AKM78" s="159"/>
      <c r="AKN78" s="159"/>
      <c r="AKO78" s="159"/>
      <c r="AKP78" s="159"/>
      <c r="AKQ78" s="159"/>
      <c r="AKR78" s="159"/>
      <c r="AKS78" s="159"/>
      <c r="AKT78" s="159"/>
      <c r="AKU78" s="159"/>
      <c r="AKV78" s="159"/>
      <c r="AKW78" s="159"/>
      <c r="AKX78" s="159"/>
      <c r="AKY78" s="159"/>
      <c r="AKZ78" s="159"/>
      <c r="ALA78" s="159"/>
      <c r="ALB78" s="159"/>
      <c r="ALC78" s="159"/>
      <c r="ALD78" s="159"/>
      <c r="ALE78" s="159"/>
      <c r="ALF78" s="159"/>
      <c r="ALG78" s="159"/>
      <c r="ALH78" s="159"/>
      <c r="ALI78" s="159"/>
      <c r="ALJ78" s="159"/>
      <c r="ALK78" s="159"/>
      <c r="ALL78" s="159"/>
      <c r="ALM78" s="159"/>
      <c r="ALN78" s="159"/>
      <c r="ALO78" s="159"/>
      <c r="ALP78" s="159"/>
      <c r="ALQ78" s="159"/>
      <c r="ALR78" s="159"/>
      <c r="ALS78" s="159"/>
      <c r="ALT78" s="159"/>
      <c r="ALU78" s="159"/>
      <c r="ALV78" s="159"/>
      <c r="ALW78" s="159"/>
      <c r="ALX78" s="159"/>
      <c r="ALY78" s="159"/>
      <c r="ALZ78" s="159"/>
      <c r="AMA78" s="159"/>
      <c r="AMB78" s="159"/>
      <c r="AMC78" s="159"/>
      <c r="AMD78" s="159"/>
      <c r="AME78" s="159"/>
      <c r="AMF78" s="159"/>
      <c r="AMG78" s="159"/>
      <c r="AMH78" s="159"/>
      <c r="AMI78" s="159"/>
      <c r="AMJ78" s="159"/>
      <c r="AMK78" s="159"/>
      <c r="AML78" s="159"/>
      <c r="AMM78" s="159"/>
      <c r="AMN78" s="159"/>
      <c r="AMO78" s="159"/>
    </row>
    <row r="79" spans="1:1029" ht="39" thickTop="1" x14ac:dyDescent="0.25">
      <c r="A79" s="8">
        <v>46132</v>
      </c>
      <c r="B79" s="9" t="s">
        <v>22</v>
      </c>
      <c r="C79" s="9" t="s">
        <v>74</v>
      </c>
      <c r="D79" s="101" t="s">
        <v>27</v>
      </c>
      <c r="E79" s="120" t="s">
        <v>73</v>
      </c>
      <c r="F79" s="119" t="s">
        <v>117</v>
      </c>
      <c r="G79" s="119" t="s">
        <v>21</v>
      </c>
      <c r="H79" s="146" t="b">
        <f t="shared" si="8"/>
        <v>0</v>
      </c>
      <c r="I79" s="122" t="s">
        <v>113</v>
      </c>
      <c r="J79" s="100" t="s">
        <v>117</v>
      </c>
      <c r="K79" s="100" t="s">
        <v>21</v>
      </c>
      <c r="L79" s="143" t="b">
        <f t="shared" si="9"/>
        <v>0</v>
      </c>
      <c r="M79" s="121" t="s">
        <v>19</v>
      </c>
      <c r="N79" s="121" t="s">
        <v>160</v>
      </c>
      <c r="O79" s="121" t="s">
        <v>21</v>
      </c>
      <c r="P79" s="146" t="b">
        <f t="shared" si="10"/>
        <v>0</v>
      </c>
      <c r="Q79" s="121" t="s">
        <v>193</v>
      </c>
      <c r="R79" s="119" t="s">
        <v>57</v>
      </c>
      <c r="S79" s="119" t="s">
        <v>21</v>
      </c>
      <c r="T79" s="146" t="b">
        <f t="shared" si="11"/>
        <v>0</v>
      </c>
    </row>
    <row r="80" spans="1:1029" s="161" customFormat="1" ht="25.5" x14ac:dyDescent="0.25">
      <c r="A80" s="138">
        <v>46133</v>
      </c>
      <c r="B80" s="99" t="s">
        <v>14</v>
      </c>
      <c r="C80" s="99" t="s">
        <v>30</v>
      </c>
      <c r="D80" s="160" t="s">
        <v>31</v>
      </c>
      <c r="E80" s="118" t="s">
        <v>101</v>
      </c>
      <c r="F80" s="99" t="s">
        <v>77</v>
      </c>
      <c r="G80" s="99" t="s">
        <v>90</v>
      </c>
      <c r="H80" s="141" t="b">
        <f t="shared" si="8"/>
        <v>0</v>
      </c>
      <c r="I80" s="118" t="s">
        <v>29</v>
      </c>
      <c r="J80" s="99" t="s">
        <v>125</v>
      </c>
      <c r="K80" s="99" t="s">
        <v>31</v>
      </c>
      <c r="L80" s="141">
        <f t="shared" si="9"/>
        <v>0.5</v>
      </c>
      <c r="M80" s="121" t="s">
        <v>29</v>
      </c>
      <c r="N80" s="121" t="s">
        <v>82</v>
      </c>
      <c r="O80" s="121" t="s">
        <v>168</v>
      </c>
      <c r="P80" s="141" t="b">
        <f t="shared" si="10"/>
        <v>0</v>
      </c>
      <c r="Q80" s="149" t="s">
        <v>144</v>
      </c>
      <c r="R80" s="99" t="s">
        <v>82</v>
      </c>
      <c r="S80" s="99" t="s">
        <v>13</v>
      </c>
      <c r="T80" s="141" t="b">
        <f t="shared" si="11"/>
        <v>0</v>
      </c>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c r="BE80" s="159"/>
      <c r="BF80" s="159"/>
      <c r="BG80" s="159"/>
      <c r="BH80" s="159"/>
      <c r="BI80" s="159"/>
      <c r="BJ80" s="159"/>
      <c r="BK80" s="159"/>
      <c r="BL80" s="159"/>
      <c r="BM80" s="159"/>
      <c r="BN80" s="159"/>
      <c r="BO80" s="159"/>
      <c r="BP80" s="159"/>
      <c r="BQ80" s="159"/>
      <c r="BR80" s="159"/>
      <c r="BS80" s="159"/>
      <c r="BT80" s="159"/>
      <c r="BU80" s="159"/>
      <c r="BV80" s="159"/>
      <c r="BW80" s="159"/>
      <c r="BX80" s="159"/>
      <c r="BY80" s="159"/>
      <c r="BZ80" s="159"/>
      <c r="CA80" s="159"/>
      <c r="CB80" s="159"/>
      <c r="CC80" s="159"/>
      <c r="CD80" s="159"/>
      <c r="CE80" s="159"/>
      <c r="CF80" s="159"/>
      <c r="CG80" s="159"/>
      <c r="CH80" s="159"/>
      <c r="CI80" s="159"/>
      <c r="CJ80" s="159"/>
      <c r="CK80" s="159"/>
      <c r="CL80" s="159"/>
      <c r="CM80" s="159"/>
      <c r="CN80" s="159"/>
      <c r="CO80" s="159"/>
      <c r="CP80" s="159"/>
      <c r="CQ80" s="159"/>
      <c r="CR80" s="159"/>
      <c r="CS80" s="159"/>
      <c r="CT80" s="159"/>
      <c r="CU80" s="159"/>
      <c r="CV80" s="159"/>
      <c r="CW80" s="159"/>
      <c r="CX80" s="159"/>
      <c r="CY80" s="159"/>
      <c r="CZ80" s="159"/>
      <c r="DA80" s="159"/>
      <c r="DB80" s="159"/>
      <c r="DC80" s="159"/>
      <c r="DD80" s="159"/>
      <c r="DE80" s="159"/>
      <c r="DF80" s="159"/>
      <c r="DG80" s="159"/>
      <c r="DH80" s="159"/>
      <c r="DI80" s="159"/>
      <c r="DJ80" s="159"/>
      <c r="DK80" s="159"/>
      <c r="DL80" s="159"/>
      <c r="DM80" s="159"/>
      <c r="DN80" s="159"/>
      <c r="DO80" s="159"/>
      <c r="DP80" s="159"/>
      <c r="DQ80" s="159"/>
      <c r="DR80" s="159"/>
      <c r="DS80" s="159"/>
      <c r="DT80" s="159"/>
      <c r="DU80" s="159"/>
      <c r="DV80" s="159"/>
      <c r="DW80" s="159"/>
      <c r="DX80" s="159"/>
      <c r="DY80" s="159"/>
      <c r="DZ80" s="159"/>
      <c r="EA80" s="159"/>
      <c r="EB80" s="159"/>
      <c r="EC80" s="159"/>
      <c r="ED80" s="159"/>
      <c r="EE80" s="159"/>
      <c r="EF80" s="159"/>
      <c r="EG80" s="159"/>
      <c r="EH80" s="159"/>
      <c r="EI80" s="159"/>
      <c r="EJ80" s="159"/>
      <c r="EK80" s="159"/>
      <c r="EL80" s="159"/>
      <c r="EM80" s="159"/>
      <c r="EN80" s="159"/>
      <c r="EO80" s="159"/>
      <c r="EP80" s="159"/>
      <c r="EQ80" s="159"/>
      <c r="ER80" s="159"/>
      <c r="ES80" s="159"/>
      <c r="ET80" s="159"/>
      <c r="EU80" s="159"/>
      <c r="EV80" s="159"/>
      <c r="EW80" s="159"/>
      <c r="EX80" s="159"/>
      <c r="EY80" s="159"/>
      <c r="EZ80" s="159"/>
      <c r="FA80" s="159"/>
      <c r="FB80" s="159"/>
      <c r="FC80" s="159"/>
      <c r="FD80" s="159"/>
      <c r="FE80" s="159"/>
      <c r="FF80" s="159"/>
      <c r="FG80" s="159"/>
      <c r="FH80" s="159"/>
      <c r="FI80" s="159"/>
      <c r="FJ80" s="159"/>
      <c r="FK80" s="159"/>
      <c r="FL80" s="159"/>
      <c r="FM80" s="159"/>
      <c r="FN80" s="159"/>
      <c r="FO80" s="159"/>
      <c r="FP80" s="159"/>
      <c r="FQ80" s="159"/>
      <c r="FR80" s="159"/>
      <c r="FS80" s="159"/>
      <c r="FT80" s="159"/>
      <c r="FU80" s="159"/>
      <c r="FV80" s="159"/>
      <c r="FW80" s="159"/>
      <c r="FX80" s="159"/>
      <c r="FY80" s="159"/>
      <c r="FZ80" s="159"/>
      <c r="GA80" s="159"/>
      <c r="GB80" s="159"/>
      <c r="GC80" s="159"/>
      <c r="GD80" s="159"/>
      <c r="GE80" s="159"/>
      <c r="GF80" s="159"/>
      <c r="GG80" s="159"/>
      <c r="GH80" s="159"/>
      <c r="GI80" s="159"/>
      <c r="GJ80" s="159"/>
      <c r="GK80" s="159"/>
      <c r="GL80" s="159"/>
      <c r="GM80" s="159"/>
      <c r="GN80" s="159"/>
      <c r="GO80" s="159"/>
      <c r="GP80" s="159"/>
      <c r="GQ80" s="159"/>
      <c r="GR80" s="159"/>
      <c r="GS80" s="159"/>
      <c r="GT80" s="159"/>
      <c r="GU80" s="159"/>
      <c r="GV80" s="159"/>
      <c r="GW80" s="159"/>
      <c r="GX80" s="159"/>
      <c r="GY80" s="159"/>
      <c r="GZ80" s="159"/>
      <c r="HA80" s="159"/>
      <c r="HB80" s="159"/>
      <c r="HC80" s="159"/>
      <c r="HD80" s="159"/>
      <c r="HE80" s="159"/>
      <c r="HF80" s="159"/>
      <c r="HG80" s="159"/>
      <c r="HH80" s="159"/>
      <c r="HI80" s="159"/>
      <c r="HJ80" s="159"/>
      <c r="HK80" s="159"/>
      <c r="HL80" s="159"/>
      <c r="HM80" s="159"/>
      <c r="HN80" s="159"/>
      <c r="HO80" s="159"/>
      <c r="HP80" s="159"/>
      <c r="HQ80" s="159"/>
      <c r="HR80" s="159"/>
      <c r="HS80" s="159"/>
      <c r="HT80" s="159"/>
      <c r="HU80" s="159"/>
      <c r="HV80" s="159"/>
      <c r="HW80" s="159"/>
      <c r="HX80" s="159"/>
      <c r="HY80" s="159"/>
      <c r="HZ80" s="159"/>
      <c r="IA80" s="159"/>
      <c r="IB80" s="159"/>
      <c r="IC80" s="159"/>
      <c r="ID80" s="159"/>
      <c r="IE80" s="159"/>
      <c r="IF80" s="159"/>
      <c r="IG80" s="159"/>
      <c r="IH80" s="159"/>
      <c r="II80" s="159"/>
      <c r="IJ80" s="159"/>
      <c r="IK80" s="159"/>
      <c r="IL80" s="159"/>
      <c r="IM80" s="159"/>
      <c r="IN80" s="159"/>
      <c r="IO80" s="159"/>
      <c r="IP80" s="159"/>
      <c r="IQ80" s="159"/>
      <c r="IR80" s="159"/>
      <c r="IS80" s="159"/>
      <c r="IT80" s="159"/>
      <c r="IU80" s="159"/>
      <c r="IV80" s="159"/>
      <c r="IW80" s="159"/>
      <c r="IX80" s="159"/>
      <c r="IY80" s="159"/>
      <c r="IZ80" s="159"/>
      <c r="JA80" s="159"/>
      <c r="JB80" s="159"/>
      <c r="JC80" s="159"/>
      <c r="JD80" s="159"/>
      <c r="JE80" s="159"/>
      <c r="JF80" s="159"/>
      <c r="JG80" s="159"/>
      <c r="JH80" s="159"/>
      <c r="JI80" s="159"/>
      <c r="JJ80" s="159"/>
      <c r="JK80" s="159"/>
      <c r="JL80" s="159"/>
      <c r="JM80" s="159"/>
      <c r="JN80" s="159"/>
      <c r="JO80" s="159"/>
      <c r="JP80" s="159"/>
      <c r="JQ80" s="159"/>
      <c r="JR80" s="159"/>
      <c r="JS80" s="159"/>
      <c r="JT80" s="159"/>
      <c r="JU80" s="159"/>
      <c r="JV80" s="159"/>
      <c r="JW80" s="159"/>
      <c r="JX80" s="159"/>
      <c r="JY80" s="159"/>
      <c r="JZ80" s="159"/>
      <c r="KA80" s="159"/>
      <c r="KB80" s="159"/>
      <c r="KC80" s="159"/>
      <c r="KD80" s="159"/>
      <c r="KE80" s="159"/>
      <c r="KF80" s="159"/>
      <c r="KG80" s="159"/>
      <c r="KH80" s="159"/>
      <c r="KI80" s="159"/>
      <c r="KJ80" s="159"/>
      <c r="KK80" s="159"/>
      <c r="KL80" s="159"/>
      <c r="KM80" s="159"/>
      <c r="KN80" s="159"/>
      <c r="KO80" s="159"/>
      <c r="KP80" s="159"/>
      <c r="KQ80" s="159"/>
      <c r="KR80" s="159"/>
      <c r="KS80" s="159"/>
      <c r="KT80" s="159"/>
      <c r="KU80" s="159"/>
      <c r="KV80" s="159"/>
      <c r="KW80" s="159"/>
      <c r="KX80" s="159"/>
      <c r="KY80" s="159"/>
      <c r="KZ80" s="159"/>
      <c r="LA80" s="159"/>
      <c r="LB80" s="159"/>
      <c r="LC80" s="159"/>
      <c r="LD80" s="159"/>
      <c r="LE80" s="159"/>
      <c r="LF80" s="159"/>
      <c r="LG80" s="159"/>
      <c r="LH80" s="159"/>
      <c r="LI80" s="159"/>
      <c r="LJ80" s="159"/>
      <c r="LK80" s="159"/>
      <c r="LL80" s="159"/>
      <c r="LM80" s="159"/>
      <c r="LN80" s="159"/>
      <c r="LO80" s="159"/>
      <c r="LP80" s="159"/>
      <c r="LQ80" s="159"/>
      <c r="LR80" s="159"/>
      <c r="LS80" s="159"/>
      <c r="LT80" s="159"/>
      <c r="LU80" s="159"/>
      <c r="LV80" s="159"/>
      <c r="LW80" s="159"/>
      <c r="LX80" s="159"/>
      <c r="LY80" s="159"/>
      <c r="LZ80" s="159"/>
      <c r="MA80" s="159"/>
      <c r="MB80" s="159"/>
      <c r="MC80" s="159"/>
      <c r="MD80" s="159"/>
      <c r="ME80" s="159"/>
      <c r="MF80" s="159"/>
      <c r="MG80" s="159"/>
      <c r="MH80" s="159"/>
      <c r="MI80" s="159"/>
      <c r="MJ80" s="159"/>
      <c r="MK80" s="159"/>
      <c r="ML80" s="159"/>
      <c r="MM80" s="159"/>
      <c r="MN80" s="159"/>
      <c r="MO80" s="159"/>
      <c r="MP80" s="159"/>
      <c r="MQ80" s="159"/>
      <c r="MR80" s="159"/>
      <c r="MS80" s="159"/>
      <c r="MT80" s="159"/>
      <c r="MU80" s="159"/>
      <c r="MV80" s="159"/>
      <c r="MW80" s="159"/>
      <c r="MX80" s="159"/>
      <c r="MY80" s="159"/>
      <c r="MZ80" s="159"/>
      <c r="NA80" s="159"/>
      <c r="NB80" s="159"/>
      <c r="NC80" s="159"/>
      <c r="ND80" s="159"/>
      <c r="NE80" s="159"/>
      <c r="NF80" s="159"/>
      <c r="NG80" s="159"/>
      <c r="NH80" s="159"/>
      <c r="NI80" s="159"/>
      <c r="NJ80" s="159"/>
      <c r="NK80" s="159"/>
      <c r="NL80" s="159"/>
      <c r="NM80" s="159"/>
      <c r="NN80" s="159"/>
      <c r="NO80" s="159"/>
      <c r="NP80" s="159"/>
      <c r="NQ80" s="159"/>
      <c r="NR80" s="159"/>
      <c r="NS80" s="159"/>
      <c r="NT80" s="159"/>
      <c r="NU80" s="159"/>
      <c r="NV80" s="159"/>
      <c r="NW80" s="159"/>
      <c r="NX80" s="159"/>
      <c r="NY80" s="159"/>
      <c r="NZ80" s="159"/>
      <c r="OA80" s="159"/>
      <c r="OB80" s="159"/>
      <c r="OC80" s="159"/>
      <c r="OD80" s="159"/>
      <c r="OE80" s="159"/>
      <c r="OF80" s="159"/>
      <c r="OG80" s="159"/>
      <c r="OH80" s="159"/>
      <c r="OI80" s="159"/>
      <c r="OJ80" s="159"/>
      <c r="OK80" s="159"/>
      <c r="OL80" s="159"/>
      <c r="OM80" s="159"/>
      <c r="ON80" s="159"/>
      <c r="OO80" s="159"/>
      <c r="OP80" s="159"/>
      <c r="OQ80" s="159"/>
      <c r="OR80" s="159"/>
      <c r="OS80" s="159"/>
      <c r="OT80" s="159"/>
      <c r="OU80" s="159"/>
      <c r="OV80" s="159"/>
      <c r="OW80" s="159"/>
      <c r="OX80" s="159"/>
      <c r="OY80" s="159"/>
      <c r="OZ80" s="159"/>
      <c r="PA80" s="159"/>
      <c r="PB80" s="159"/>
      <c r="PC80" s="159"/>
      <c r="PD80" s="159"/>
      <c r="PE80" s="159"/>
      <c r="PF80" s="159"/>
      <c r="PG80" s="159"/>
      <c r="PH80" s="159"/>
      <c r="PI80" s="159"/>
      <c r="PJ80" s="159"/>
      <c r="PK80" s="159"/>
      <c r="PL80" s="159"/>
      <c r="PM80" s="159"/>
      <c r="PN80" s="159"/>
      <c r="PO80" s="159"/>
      <c r="PP80" s="159"/>
      <c r="PQ80" s="159"/>
      <c r="PR80" s="159"/>
      <c r="PS80" s="159"/>
      <c r="PT80" s="159"/>
      <c r="PU80" s="159"/>
      <c r="PV80" s="159"/>
      <c r="PW80" s="159"/>
      <c r="PX80" s="159"/>
      <c r="PY80" s="159"/>
      <c r="PZ80" s="159"/>
      <c r="QA80" s="159"/>
      <c r="QB80" s="159"/>
      <c r="QC80" s="159"/>
      <c r="QD80" s="159"/>
      <c r="QE80" s="159"/>
      <c r="QF80" s="159"/>
      <c r="QG80" s="159"/>
      <c r="QH80" s="159"/>
      <c r="QI80" s="159"/>
      <c r="QJ80" s="159"/>
      <c r="QK80" s="159"/>
      <c r="QL80" s="159"/>
      <c r="QM80" s="159"/>
      <c r="QN80" s="159"/>
      <c r="QO80" s="159"/>
      <c r="QP80" s="159"/>
      <c r="QQ80" s="159"/>
      <c r="QR80" s="159"/>
      <c r="QS80" s="159"/>
      <c r="QT80" s="159"/>
      <c r="QU80" s="159"/>
      <c r="QV80" s="159"/>
      <c r="QW80" s="159"/>
      <c r="QX80" s="159"/>
      <c r="QY80" s="159"/>
      <c r="QZ80" s="159"/>
      <c r="RA80" s="159"/>
      <c r="RB80" s="159"/>
      <c r="RC80" s="159"/>
      <c r="RD80" s="159"/>
      <c r="RE80" s="159"/>
      <c r="RF80" s="159"/>
      <c r="RG80" s="159"/>
      <c r="RH80" s="159"/>
      <c r="RI80" s="159"/>
      <c r="RJ80" s="159"/>
      <c r="RK80" s="159"/>
      <c r="RL80" s="159"/>
      <c r="RM80" s="159"/>
      <c r="RN80" s="159"/>
      <c r="RO80" s="159"/>
      <c r="RP80" s="159"/>
      <c r="RQ80" s="159"/>
      <c r="RR80" s="159"/>
      <c r="RS80" s="159"/>
      <c r="RT80" s="159"/>
      <c r="RU80" s="159"/>
      <c r="RV80" s="159"/>
      <c r="RW80" s="159"/>
      <c r="RX80" s="159"/>
      <c r="RY80" s="159"/>
      <c r="RZ80" s="159"/>
      <c r="SA80" s="159"/>
      <c r="SB80" s="159"/>
      <c r="SC80" s="159"/>
      <c r="SD80" s="159"/>
      <c r="SE80" s="159"/>
      <c r="SF80" s="159"/>
      <c r="SG80" s="159"/>
      <c r="SH80" s="159"/>
      <c r="SI80" s="159"/>
      <c r="SJ80" s="159"/>
      <c r="SK80" s="159"/>
      <c r="SL80" s="159"/>
      <c r="SM80" s="159"/>
      <c r="SN80" s="159"/>
      <c r="SO80" s="159"/>
      <c r="SP80" s="159"/>
      <c r="SQ80" s="159"/>
      <c r="SR80" s="159"/>
      <c r="SS80" s="159"/>
      <c r="ST80" s="159"/>
      <c r="SU80" s="159"/>
      <c r="SV80" s="159"/>
      <c r="SW80" s="159"/>
      <c r="SX80" s="159"/>
      <c r="SY80" s="159"/>
      <c r="SZ80" s="159"/>
      <c r="TA80" s="159"/>
      <c r="TB80" s="159"/>
      <c r="TC80" s="159"/>
      <c r="TD80" s="159"/>
      <c r="TE80" s="159"/>
      <c r="TF80" s="159"/>
      <c r="TG80" s="159"/>
      <c r="TH80" s="159"/>
      <c r="TI80" s="159"/>
      <c r="TJ80" s="159"/>
      <c r="TK80" s="159"/>
      <c r="TL80" s="159"/>
      <c r="TM80" s="159"/>
      <c r="TN80" s="159"/>
      <c r="TO80" s="159"/>
      <c r="TP80" s="159"/>
      <c r="TQ80" s="159"/>
      <c r="TR80" s="159"/>
      <c r="TS80" s="159"/>
      <c r="TT80" s="159"/>
      <c r="TU80" s="159"/>
      <c r="TV80" s="159"/>
      <c r="TW80" s="159"/>
      <c r="TX80" s="159"/>
      <c r="TY80" s="159"/>
      <c r="TZ80" s="159"/>
      <c r="UA80" s="159"/>
      <c r="UB80" s="159"/>
      <c r="UC80" s="159"/>
      <c r="UD80" s="159"/>
      <c r="UE80" s="159"/>
      <c r="UF80" s="159"/>
      <c r="UG80" s="159"/>
      <c r="UH80" s="159"/>
      <c r="UI80" s="159"/>
      <c r="UJ80" s="159"/>
      <c r="UK80" s="159"/>
      <c r="UL80" s="159"/>
      <c r="UM80" s="159"/>
      <c r="UN80" s="159"/>
      <c r="UO80" s="159"/>
      <c r="UP80" s="159"/>
      <c r="UQ80" s="159"/>
      <c r="UR80" s="159"/>
      <c r="US80" s="159"/>
      <c r="UT80" s="159"/>
      <c r="UU80" s="159"/>
      <c r="UV80" s="159"/>
      <c r="UW80" s="159"/>
      <c r="UX80" s="159"/>
      <c r="UY80" s="159"/>
      <c r="UZ80" s="159"/>
      <c r="VA80" s="159"/>
      <c r="VB80" s="159"/>
      <c r="VC80" s="159"/>
      <c r="VD80" s="159"/>
      <c r="VE80" s="159"/>
      <c r="VF80" s="159"/>
      <c r="VG80" s="159"/>
      <c r="VH80" s="159"/>
      <c r="VI80" s="159"/>
      <c r="VJ80" s="159"/>
      <c r="VK80" s="159"/>
      <c r="VL80" s="159"/>
      <c r="VM80" s="159"/>
      <c r="VN80" s="159"/>
      <c r="VO80" s="159"/>
      <c r="VP80" s="159"/>
      <c r="VQ80" s="159"/>
      <c r="VR80" s="159"/>
      <c r="VS80" s="159"/>
      <c r="VT80" s="159"/>
      <c r="VU80" s="159"/>
      <c r="VV80" s="159"/>
      <c r="VW80" s="159"/>
      <c r="VX80" s="159"/>
      <c r="VY80" s="159"/>
      <c r="VZ80" s="159"/>
      <c r="WA80" s="159"/>
      <c r="WB80" s="159"/>
      <c r="WC80" s="159"/>
      <c r="WD80" s="159"/>
      <c r="WE80" s="159"/>
      <c r="WF80" s="159"/>
      <c r="WG80" s="159"/>
      <c r="WH80" s="159"/>
      <c r="WI80" s="159"/>
      <c r="WJ80" s="159"/>
      <c r="WK80" s="159"/>
      <c r="WL80" s="159"/>
      <c r="WM80" s="159"/>
      <c r="WN80" s="159"/>
      <c r="WO80" s="159"/>
      <c r="WP80" s="159"/>
      <c r="WQ80" s="159"/>
      <c r="WR80" s="159"/>
      <c r="WS80" s="159"/>
      <c r="WT80" s="159"/>
      <c r="WU80" s="159"/>
      <c r="WV80" s="159"/>
      <c r="WW80" s="159"/>
      <c r="WX80" s="159"/>
      <c r="WY80" s="159"/>
      <c r="WZ80" s="159"/>
      <c r="XA80" s="159"/>
      <c r="XB80" s="159"/>
      <c r="XC80" s="159"/>
      <c r="XD80" s="159"/>
      <c r="XE80" s="159"/>
      <c r="XF80" s="159"/>
      <c r="XG80" s="159"/>
      <c r="XH80" s="159"/>
      <c r="XI80" s="159"/>
      <c r="XJ80" s="159"/>
      <c r="XK80" s="159"/>
      <c r="XL80" s="159"/>
      <c r="XM80" s="159"/>
      <c r="XN80" s="159"/>
      <c r="XO80" s="159"/>
      <c r="XP80" s="159"/>
      <c r="XQ80" s="159"/>
      <c r="XR80" s="159"/>
      <c r="XS80" s="159"/>
      <c r="XT80" s="159"/>
      <c r="XU80" s="159"/>
      <c r="XV80" s="159"/>
      <c r="XW80" s="159"/>
      <c r="XX80" s="159"/>
      <c r="XY80" s="159"/>
      <c r="XZ80" s="159"/>
      <c r="YA80" s="159"/>
      <c r="YB80" s="159"/>
      <c r="YC80" s="159"/>
      <c r="YD80" s="159"/>
      <c r="YE80" s="159"/>
      <c r="YF80" s="159"/>
      <c r="YG80" s="159"/>
      <c r="YH80" s="159"/>
      <c r="YI80" s="159"/>
      <c r="YJ80" s="159"/>
      <c r="YK80" s="159"/>
      <c r="YL80" s="159"/>
      <c r="YM80" s="159"/>
      <c r="YN80" s="159"/>
      <c r="YO80" s="159"/>
      <c r="YP80" s="159"/>
      <c r="YQ80" s="159"/>
      <c r="YR80" s="159"/>
      <c r="YS80" s="159"/>
      <c r="YT80" s="159"/>
      <c r="YU80" s="159"/>
      <c r="YV80" s="159"/>
      <c r="YW80" s="159"/>
      <c r="YX80" s="159"/>
      <c r="YY80" s="159"/>
      <c r="YZ80" s="159"/>
      <c r="ZA80" s="159"/>
      <c r="ZB80" s="159"/>
      <c r="ZC80" s="159"/>
      <c r="ZD80" s="159"/>
      <c r="ZE80" s="159"/>
      <c r="ZF80" s="159"/>
      <c r="ZG80" s="159"/>
      <c r="ZH80" s="159"/>
      <c r="ZI80" s="159"/>
      <c r="ZJ80" s="159"/>
      <c r="ZK80" s="159"/>
      <c r="ZL80" s="159"/>
      <c r="ZM80" s="159"/>
      <c r="ZN80" s="159"/>
      <c r="ZO80" s="159"/>
      <c r="ZP80" s="159"/>
      <c r="ZQ80" s="159"/>
      <c r="ZR80" s="159"/>
      <c r="ZS80" s="159"/>
      <c r="ZT80" s="159"/>
      <c r="ZU80" s="159"/>
      <c r="ZV80" s="159"/>
      <c r="ZW80" s="159"/>
      <c r="ZX80" s="159"/>
      <c r="ZY80" s="159"/>
      <c r="ZZ80" s="159"/>
      <c r="AAA80" s="159"/>
      <c r="AAB80" s="159"/>
      <c r="AAC80" s="159"/>
      <c r="AAD80" s="159"/>
      <c r="AAE80" s="159"/>
      <c r="AAF80" s="159"/>
      <c r="AAG80" s="159"/>
      <c r="AAH80" s="159"/>
      <c r="AAI80" s="159"/>
      <c r="AAJ80" s="159"/>
      <c r="AAK80" s="159"/>
      <c r="AAL80" s="159"/>
      <c r="AAM80" s="159"/>
      <c r="AAN80" s="159"/>
      <c r="AAO80" s="159"/>
      <c r="AAP80" s="159"/>
      <c r="AAQ80" s="159"/>
      <c r="AAR80" s="159"/>
      <c r="AAS80" s="159"/>
      <c r="AAT80" s="159"/>
      <c r="AAU80" s="159"/>
      <c r="AAV80" s="159"/>
      <c r="AAW80" s="159"/>
      <c r="AAX80" s="159"/>
      <c r="AAY80" s="159"/>
      <c r="AAZ80" s="159"/>
      <c r="ABA80" s="159"/>
      <c r="ABB80" s="159"/>
      <c r="ABC80" s="159"/>
      <c r="ABD80" s="159"/>
      <c r="ABE80" s="159"/>
      <c r="ABF80" s="159"/>
      <c r="ABG80" s="159"/>
      <c r="ABH80" s="159"/>
      <c r="ABI80" s="159"/>
      <c r="ABJ80" s="159"/>
      <c r="ABK80" s="159"/>
      <c r="ABL80" s="159"/>
      <c r="ABM80" s="159"/>
      <c r="ABN80" s="159"/>
      <c r="ABO80" s="159"/>
      <c r="ABP80" s="159"/>
      <c r="ABQ80" s="159"/>
      <c r="ABR80" s="159"/>
      <c r="ABS80" s="159"/>
      <c r="ABT80" s="159"/>
      <c r="ABU80" s="159"/>
      <c r="ABV80" s="159"/>
      <c r="ABW80" s="159"/>
      <c r="ABX80" s="159"/>
      <c r="ABY80" s="159"/>
      <c r="ABZ80" s="159"/>
      <c r="ACA80" s="159"/>
      <c r="ACB80" s="159"/>
      <c r="ACC80" s="159"/>
      <c r="ACD80" s="159"/>
      <c r="ACE80" s="159"/>
      <c r="ACF80" s="159"/>
      <c r="ACG80" s="159"/>
      <c r="ACH80" s="159"/>
      <c r="ACI80" s="159"/>
      <c r="ACJ80" s="159"/>
      <c r="ACK80" s="159"/>
      <c r="ACL80" s="159"/>
      <c r="ACM80" s="159"/>
      <c r="ACN80" s="159"/>
      <c r="ACO80" s="159"/>
      <c r="ACP80" s="159"/>
      <c r="ACQ80" s="159"/>
      <c r="ACR80" s="159"/>
      <c r="ACS80" s="159"/>
      <c r="ACT80" s="159"/>
      <c r="ACU80" s="159"/>
      <c r="ACV80" s="159"/>
      <c r="ACW80" s="159"/>
      <c r="ACX80" s="159"/>
      <c r="ACY80" s="159"/>
      <c r="ACZ80" s="159"/>
      <c r="ADA80" s="159"/>
      <c r="ADB80" s="159"/>
      <c r="ADC80" s="159"/>
      <c r="ADD80" s="159"/>
      <c r="ADE80" s="159"/>
      <c r="ADF80" s="159"/>
      <c r="ADG80" s="159"/>
      <c r="ADH80" s="159"/>
      <c r="ADI80" s="159"/>
      <c r="ADJ80" s="159"/>
      <c r="ADK80" s="159"/>
      <c r="ADL80" s="159"/>
      <c r="ADM80" s="159"/>
      <c r="ADN80" s="159"/>
      <c r="ADO80" s="159"/>
      <c r="ADP80" s="159"/>
      <c r="ADQ80" s="159"/>
      <c r="ADR80" s="159"/>
      <c r="ADS80" s="159"/>
      <c r="ADT80" s="159"/>
      <c r="ADU80" s="159"/>
      <c r="ADV80" s="159"/>
      <c r="ADW80" s="159"/>
      <c r="ADX80" s="159"/>
      <c r="ADY80" s="159"/>
      <c r="ADZ80" s="159"/>
      <c r="AEA80" s="159"/>
      <c r="AEB80" s="159"/>
      <c r="AEC80" s="159"/>
      <c r="AED80" s="159"/>
      <c r="AEE80" s="159"/>
      <c r="AEF80" s="159"/>
      <c r="AEG80" s="159"/>
      <c r="AEH80" s="159"/>
      <c r="AEI80" s="159"/>
      <c r="AEJ80" s="159"/>
      <c r="AEK80" s="159"/>
      <c r="AEL80" s="159"/>
      <c r="AEM80" s="159"/>
      <c r="AEN80" s="159"/>
      <c r="AEO80" s="159"/>
      <c r="AEP80" s="159"/>
      <c r="AEQ80" s="159"/>
      <c r="AER80" s="159"/>
      <c r="AES80" s="159"/>
      <c r="AET80" s="159"/>
      <c r="AEU80" s="159"/>
      <c r="AEV80" s="159"/>
      <c r="AEW80" s="159"/>
      <c r="AEX80" s="159"/>
      <c r="AEY80" s="159"/>
      <c r="AEZ80" s="159"/>
      <c r="AFA80" s="159"/>
      <c r="AFB80" s="159"/>
      <c r="AFC80" s="159"/>
      <c r="AFD80" s="159"/>
      <c r="AFE80" s="159"/>
      <c r="AFF80" s="159"/>
      <c r="AFG80" s="159"/>
      <c r="AFH80" s="159"/>
      <c r="AFI80" s="159"/>
      <c r="AFJ80" s="159"/>
      <c r="AFK80" s="159"/>
      <c r="AFL80" s="159"/>
      <c r="AFM80" s="159"/>
      <c r="AFN80" s="159"/>
      <c r="AFO80" s="159"/>
      <c r="AFP80" s="159"/>
      <c r="AFQ80" s="159"/>
      <c r="AFR80" s="159"/>
      <c r="AFS80" s="159"/>
      <c r="AFT80" s="159"/>
      <c r="AFU80" s="159"/>
      <c r="AFV80" s="159"/>
      <c r="AFW80" s="159"/>
      <c r="AFX80" s="159"/>
      <c r="AFY80" s="159"/>
      <c r="AFZ80" s="159"/>
      <c r="AGA80" s="159"/>
      <c r="AGB80" s="159"/>
      <c r="AGC80" s="159"/>
      <c r="AGD80" s="159"/>
      <c r="AGE80" s="159"/>
      <c r="AGF80" s="159"/>
      <c r="AGG80" s="159"/>
      <c r="AGH80" s="159"/>
      <c r="AGI80" s="159"/>
      <c r="AGJ80" s="159"/>
      <c r="AGK80" s="159"/>
      <c r="AGL80" s="159"/>
      <c r="AGM80" s="159"/>
      <c r="AGN80" s="159"/>
      <c r="AGO80" s="159"/>
      <c r="AGP80" s="159"/>
      <c r="AGQ80" s="159"/>
      <c r="AGR80" s="159"/>
      <c r="AGS80" s="159"/>
      <c r="AGT80" s="159"/>
      <c r="AGU80" s="159"/>
      <c r="AGV80" s="159"/>
      <c r="AGW80" s="159"/>
      <c r="AGX80" s="159"/>
      <c r="AGY80" s="159"/>
      <c r="AGZ80" s="159"/>
      <c r="AHA80" s="159"/>
      <c r="AHB80" s="159"/>
      <c r="AHC80" s="159"/>
      <c r="AHD80" s="159"/>
      <c r="AHE80" s="159"/>
      <c r="AHF80" s="159"/>
      <c r="AHG80" s="159"/>
      <c r="AHH80" s="159"/>
      <c r="AHI80" s="159"/>
      <c r="AHJ80" s="159"/>
      <c r="AHK80" s="159"/>
      <c r="AHL80" s="159"/>
      <c r="AHM80" s="159"/>
      <c r="AHN80" s="159"/>
      <c r="AHO80" s="159"/>
      <c r="AHP80" s="159"/>
      <c r="AHQ80" s="159"/>
      <c r="AHR80" s="159"/>
      <c r="AHS80" s="159"/>
      <c r="AHT80" s="159"/>
      <c r="AHU80" s="159"/>
      <c r="AHV80" s="159"/>
      <c r="AHW80" s="159"/>
      <c r="AHX80" s="159"/>
      <c r="AHY80" s="159"/>
      <c r="AHZ80" s="159"/>
      <c r="AIA80" s="159"/>
      <c r="AIB80" s="159"/>
      <c r="AIC80" s="159"/>
      <c r="AID80" s="159"/>
      <c r="AIE80" s="159"/>
      <c r="AIF80" s="159"/>
      <c r="AIG80" s="159"/>
      <c r="AIH80" s="159"/>
      <c r="AII80" s="159"/>
      <c r="AIJ80" s="159"/>
      <c r="AIK80" s="159"/>
      <c r="AIL80" s="159"/>
      <c r="AIM80" s="159"/>
      <c r="AIN80" s="159"/>
      <c r="AIO80" s="159"/>
      <c r="AIP80" s="159"/>
      <c r="AIQ80" s="159"/>
      <c r="AIR80" s="159"/>
      <c r="AIS80" s="159"/>
      <c r="AIT80" s="159"/>
      <c r="AIU80" s="159"/>
      <c r="AIV80" s="159"/>
      <c r="AIW80" s="159"/>
      <c r="AIX80" s="159"/>
      <c r="AIY80" s="159"/>
      <c r="AIZ80" s="159"/>
      <c r="AJA80" s="159"/>
      <c r="AJB80" s="159"/>
      <c r="AJC80" s="159"/>
      <c r="AJD80" s="159"/>
      <c r="AJE80" s="159"/>
      <c r="AJF80" s="159"/>
      <c r="AJG80" s="159"/>
      <c r="AJH80" s="159"/>
      <c r="AJI80" s="159"/>
      <c r="AJJ80" s="159"/>
      <c r="AJK80" s="159"/>
      <c r="AJL80" s="159"/>
      <c r="AJM80" s="159"/>
      <c r="AJN80" s="159"/>
      <c r="AJO80" s="159"/>
      <c r="AJP80" s="159"/>
      <c r="AJQ80" s="159"/>
      <c r="AJR80" s="159"/>
      <c r="AJS80" s="159"/>
      <c r="AJT80" s="159"/>
      <c r="AJU80" s="159"/>
      <c r="AJV80" s="159"/>
      <c r="AJW80" s="159"/>
      <c r="AJX80" s="159"/>
      <c r="AJY80" s="159"/>
      <c r="AJZ80" s="159"/>
      <c r="AKA80" s="159"/>
      <c r="AKB80" s="159"/>
      <c r="AKC80" s="159"/>
      <c r="AKD80" s="159"/>
      <c r="AKE80" s="159"/>
      <c r="AKF80" s="159"/>
      <c r="AKG80" s="159"/>
      <c r="AKH80" s="159"/>
      <c r="AKI80" s="159"/>
      <c r="AKJ80" s="159"/>
      <c r="AKK80" s="159"/>
      <c r="AKL80" s="159"/>
      <c r="AKM80" s="159"/>
      <c r="AKN80" s="159"/>
      <c r="AKO80" s="159"/>
      <c r="AKP80" s="159"/>
      <c r="AKQ80" s="159"/>
      <c r="AKR80" s="159"/>
      <c r="AKS80" s="159"/>
      <c r="AKT80" s="159"/>
      <c r="AKU80" s="159"/>
      <c r="AKV80" s="159"/>
      <c r="AKW80" s="159"/>
      <c r="AKX80" s="159"/>
      <c r="AKY80" s="159"/>
      <c r="AKZ80" s="159"/>
      <c r="ALA80" s="159"/>
      <c r="ALB80" s="159"/>
      <c r="ALC80" s="159"/>
      <c r="ALD80" s="159"/>
      <c r="ALE80" s="159"/>
      <c r="ALF80" s="159"/>
      <c r="ALG80" s="159"/>
      <c r="ALH80" s="159"/>
      <c r="ALI80" s="159"/>
      <c r="ALJ80" s="159"/>
      <c r="ALK80" s="159"/>
      <c r="ALL80" s="159"/>
      <c r="ALM80" s="159"/>
      <c r="ALN80" s="159"/>
      <c r="ALO80" s="159"/>
      <c r="ALP80" s="159"/>
      <c r="ALQ80" s="159"/>
      <c r="ALR80" s="159"/>
      <c r="ALS80" s="159"/>
      <c r="ALT80" s="159"/>
      <c r="ALU80" s="159"/>
      <c r="ALV80" s="159"/>
      <c r="ALW80" s="159"/>
      <c r="ALX80" s="159"/>
      <c r="ALY80" s="159"/>
      <c r="ALZ80" s="159"/>
      <c r="AMA80" s="159"/>
      <c r="AMB80" s="159"/>
      <c r="AMC80" s="159"/>
      <c r="AMD80" s="159"/>
      <c r="AME80" s="159"/>
      <c r="AMF80" s="159"/>
      <c r="AMG80" s="159"/>
      <c r="AMH80" s="159"/>
      <c r="AMI80" s="159"/>
      <c r="AMJ80" s="159"/>
      <c r="AMK80" s="159"/>
      <c r="AML80" s="159"/>
      <c r="AMM80" s="159"/>
      <c r="AMN80" s="159"/>
      <c r="AMO80" s="159"/>
    </row>
    <row r="81" spans="1:1029" ht="24.75" customHeight="1" x14ac:dyDescent="0.25">
      <c r="A81" s="8">
        <v>46134</v>
      </c>
      <c r="B81" s="16" t="s">
        <v>254</v>
      </c>
      <c r="C81" s="16" t="s">
        <v>195</v>
      </c>
      <c r="D81" s="105" t="s">
        <v>21</v>
      </c>
      <c r="E81" s="118" t="s">
        <v>35</v>
      </c>
      <c r="F81" s="99" t="s">
        <v>119</v>
      </c>
      <c r="G81" s="99" t="s">
        <v>21</v>
      </c>
      <c r="H81" s="141">
        <f t="shared" si="8"/>
        <v>1</v>
      </c>
      <c r="I81" s="118" t="s">
        <v>101</v>
      </c>
      <c r="J81" s="99" t="s">
        <v>33</v>
      </c>
      <c r="K81" s="99" t="s">
        <v>21</v>
      </c>
      <c r="L81" s="141">
        <f t="shared" si="9"/>
        <v>0.5</v>
      </c>
      <c r="M81" s="121" t="s">
        <v>101</v>
      </c>
      <c r="N81" s="121" t="s">
        <v>119</v>
      </c>
      <c r="O81" s="121" t="s">
        <v>21</v>
      </c>
      <c r="P81" s="141">
        <f t="shared" si="10"/>
        <v>1</v>
      </c>
      <c r="Q81" s="149" t="s">
        <v>29</v>
      </c>
      <c r="R81" s="99" t="s">
        <v>119</v>
      </c>
      <c r="S81" s="99" t="s">
        <v>21</v>
      </c>
      <c r="T81" s="17">
        <f t="shared" si="11"/>
        <v>1</v>
      </c>
    </row>
    <row r="82" spans="1:1029" ht="25.5" x14ac:dyDescent="0.25">
      <c r="A82" s="8">
        <v>46135</v>
      </c>
      <c r="B82" s="16" t="s">
        <v>87</v>
      </c>
      <c r="C82" s="16" t="s">
        <v>163</v>
      </c>
      <c r="D82" s="105" t="s">
        <v>90</v>
      </c>
      <c r="E82" s="118" t="s">
        <v>47</v>
      </c>
      <c r="F82" s="99" t="s">
        <v>51</v>
      </c>
      <c r="G82" s="99" t="s">
        <v>52</v>
      </c>
      <c r="H82" s="141" t="b">
        <f t="shared" si="8"/>
        <v>0</v>
      </c>
      <c r="I82" s="118" t="s">
        <v>113</v>
      </c>
      <c r="J82" s="99" t="s">
        <v>38</v>
      </c>
      <c r="K82" s="99" t="s">
        <v>16</v>
      </c>
      <c r="L82" s="141" t="b">
        <f t="shared" si="9"/>
        <v>0</v>
      </c>
      <c r="M82" s="121" t="s">
        <v>35</v>
      </c>
      <c r="N82" s="121" t="s">
        <v>82</v>
      </c>
      <c r="O82" s="121" t="s">
        <v>168</v>
      </c>
      <c r="P82" s="141" t="b">
        <f t="shared" si="10"/>
        <v>0</v>
      </c>
      <c r="Q82" s="19" t="s">
        <v>47</v>
      </c>
      <c r="R82" s="16" t="s">
        <v>38</v>
      </c>
      <c r="S82" s="16" t="s">
        <v>16</v>
      </c>
      <c r="T82" s="17" t="b">
        <f t="shared" si="11"/>
        <v>0</v>
      </c>
    </row>
    <row r="83" spans="1:1029" s="161" customFormat="1" ht="26.25" thickBot="1" x14ac:dyDescent="0.3">
      <c r="A83" s="163">
        <v>46136</v>
      </c>
      <c r="B83" s="155" t="s">
        <v>35</v>
      </c>
      <c r="C83" s="155" t="s">
        <v>267</v>
      </c>
      <c r="D83" s="164" t="s">
        <v>168</v>
      </c>
      <c r="E83" s="154" t="s">
        <v>193</v>
      </c>
      <c r="F83" s="155" t="s">
        <v>38</v>
      </c>
      <c r="G83" s="155" t="s">
        <v>31</v>
      </c>
      <c r="H83" s="147" t="b">
        <f t="shared" si="8"/>
        <v>0</v>
      </c>
      <c r="I83" s="150" t="s">
        <v>73</v>
      </c>
      <c r="J83" s="151" t="s">
        <v>151</v>
      </c>
      <c r="K83" s="151" t="s">
        <v>16</v>
      </c>
      <c r="L83" s="145" t="b">
        <f t="shared" si="9"/>
        <v>0</v>
      </c>
      <c r="M83" s="135" t="s">
        <v>193</v>
      </c>
      <c r="N83" s="135" t="s">
        <v>38</v>
      </c>
      <c r="O83" s="151" t="s">
        <v>16</v>
      </c>
      <c r="P83" s="147" t="b">
        <f t="shared" si="10"/>
        <v>0</v>
      </c>
      <c r="Q83" s="156" t="s">
        <v>73</v>
      </c>
      <c r="R83" s="155" t="s">
        <v>266</v>
      </c>
      <c r="S83" s="155" t="s">
        <v>11</v>
      </c>
      <c r="T83" s="147" t="b">
        <f t="shared" si="11"/>
        <v>0</v>
      </c>
      <c r="U83" s="159"/>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59"/>
      <c r="AT83" s="159"/>
      <c r="AU83" s="159"/>
      <c r="AV83" s="159"/>
      <c r="AW83" s="159"/>
      <c r="AX83" s="159"/>
      <c r="AY83" s="159"/>
      <c r="AZ83" s="159"/>
      <c r="BA83" s="159"/>
      <c r="BB83" s="159"/>
      <c r="BC83" s="159"/>
      <c r="BD83" s="159"/>
      <c r="BE83" s="159"/>
      <c r="BF83" s="159"/>
      <c r="BG83" s="159"/>
      <c r="BH83" s="159"/>
      <c r="BI83" s="159"/>
      <c r="BJ83" s="159"/>
      <c r="BK83" s="159"/>
      <c r="BL83" s="159"/>
      <c r="BM83" s="159"/>
      <c r="BN83" s="159"/>
      <c r="BO83" s="159"/>
      <c r="BP83" s="159"/>
      <c r="BQ83" s="159"/>
      <c r="BR83" s="159"/>
      <c r="BS83" s="159"/>
      <c r="BT83" s="159"/>
      <c r="BU83" s="159"/>
      <c r="BV83" s="159"/>
      <c r="BW83" s="159"/>
      <c r="BX83" s="159"/>
      <c r="BY83" s="159"/>
      <c r="BZ83" s="159"/>
      <c r="CA83" s="159"/>
      <c r="CB83" s="159"/>
      <c r="CC83" s="159"/>
      <c r="CD83" s="159"/>
      <c r="CE83" s="159"/>
      <c r="CF83" s="159"/>
      <c r="CG83" s="159"/>
      <c r="CH83" s="159"/>
      <c r="CI83" s="159"/>
      <c r="CJ83" s="159"/>
      <c r="CK83" s="159"/>
      <c r="CL83" s="159"/>
      <c r="CM83" s="159"/>
      <c r="CN83" s="159"/>
      <c r="CO83" s="159"/>
      <c r="CP83" s="159"/>
      <c r="CQ83" s="159"/>
      <c r="CR83" s="159"/>
      <c r="CS83" s="159"/>
      <c r="CT83" s="159"/>
      <c r="CU83" s="159"/>
      <c r="CV83" s="159"/>
      <c r="CW83" s="159"/>
      <c r="CX83" s="159"/>
      <c r="CY83" s="159"/>
      <c r="CZ83" s="159"/>
      <c r="DA83" s="159"/>
      <c r="DB83" s="159"/>
      <c r="DC83" s="159"/>
      <c r="DD83" s="159"/>
      <c r="DE83" s="159"/>
      <c r="DF83" s="159"/>
      <c r="DG83" s="159"/>
      <c r="DH83" s="159"/>
      <c r="DI83" s="159"/>
      <c r="DJ83" s="159"/>
      <c r="DK83" s="159"/>
      <c r="DL83" s="159"/>
      <c r="DM83" s="159"/>
      <c r="DN83" s="159"/>
      <c r="DO83" s="159"/>
      <c r="DP83" s="159"/>
      <c r="DQ83" s="159"/>
      <c r="DR83" s="159"/>
      <c r="DS83" s="159"/>
      <c r="DT83" s="159"/>
      <c r="DU83" s="159"/>
      <c r="DV83" s="159"/>
      <c r="DW83" s="159"/>
      <c r="DX83" s="159"/>
      <c r="DY83" s="159"/>
      <c r="DZ83" s="159"/>
      <c r="EA83" s="159"/>
      <c r="EB83" s="159"/>
      <c r="EC83" s="159"/>
      <c r="ED83" s="159"/>
      <c r="EE83" s="159"/>
      <c r="EF83" s="159"/>
      <c r="EG83" s="159"/>
      <c r="EH83" s="159"/>
      <c r="EI83" s="159"/>
      <c r="EJ83" s="159"/>
      <c r="EK83" s="159"/>
      <c r="EL83" s="159"/>
      <c r="EM83" s="159"/>
      <c r="EN83" s="159"/>
      <c r="EO83" s="159"/>
      <c r="EP83" s="159"/>
      <c r="EQ83" s="159"/>
      <c r="ER83" s="159"/>
      <c r="ES83" s="159"/>
      <c r="ET83" s="159"/>
      <c r="EU83" s="159"/>
      <c r="EV83" s="159"/>
      <c r="EW83" s="159"/>
      <c r="EX83" s="159"/>
      <c r="EY83" s="159"/>
      <c r="EZ83" s="159"/>
      <c r="FA83" s="159"/>
      <c r="FB83" s="159"/>
      <c r="FC83" s="159"/>
      <c r="FD83" s="159"/>
      <c r="FE83" s="159"/>
      <c r="FF83" s="159"/>
      <c r="FG83" s="159"/>
      <c r="FH83" s="159"/>
      <c r="FI83" s="159"/>
      <c r="FJ83" s="159"/>
      <c r="FK83" s="159"/>
      <c r="FL83" s="159"/>
      <c r="FM83" s="159"/>
      <c r="FN83" s="159"/>
      <c r="FO83" s="159"/>
      <c r="FP83" s="159"/>
      <c r="FQ83" s="159"/>
      <c r="FR83" s="159"/>
      <c r="FS83" s="159"/>
      <c r="FT83" s="159"/>
      <c r="FU83" s="159"/>
      <c r="FV83" s="159"/>
      <c r="FW83" s="159"/>
      <c r="FX83" s="159"/>
      <c r="FY83" s="159"/>
      <c r="FZ83" s="159"/>
      <c r="GA83" s="159"/>
      <c r="GB83" s="159"/>
      <c r="GC83" s="159"/>
      <c r="GD83" s="159"/>
      <c r="GE83" s="159"/>
      <c r="GF83" s="159"/>
      <c r="GG83" s="159"/>
      <c r="GH83" s="159"/>
      <c r="GI83" s="159"/>
      <c r="GJ83" s="159"/>
      <c r="GK83" s="159"/>
      <c r="GL83" s="159"/>
      <c r="GM83" s="159"/>
      <c r="GN83" s="159"/>
      <c r="GO83" s="159"/>
      <c r="GP83" s="159"/>
      <c r="GQ83" s="159"/>
      <c r="GR83" s="159"/>
      <c r="GS83" s="159"/>
      <c r="GT83" s="159"/>
      <c r="GU83" s="159"/>
      <c r="GV83" s="159"/>
      <c r="GW83" s="159"/>
      <c r="GX83" s="159"/>
      <c r="GY83" s="159"/>
      <c r="GZ83" s="159"/>
      <c r="HA83" s="159"/>
      <c r="HB83" s="159"/>
      <c r="HC83" s="159"/>
      <c r="HD83" s="159"/>
      <c r="HE83" s="159"/>
      <c r="HF83" s="159"/>
      <c r="HG83" s="159"/>
      <c r="HH83" s="159"/>
      <c r="HI83" s="159"/>
      <c r="HJ83" s="159"/>
      <c r="HK83" s="159"/>
      <c r="HL83" s="159"/>
      <c r="HM83" s="159"/>
      <c r="HN83" s="159"/>
      <c r="HO83" s="159"/>
      <c r="HP83" s="159"/>
      <c r="HQ83" s="159"/>
      <c r="HR83" s="159"/>
      <c r="HS83" s="159"/>
      <c r="HT83" s="159"/>
      <c r="HU83" s="159"/>
      <c r="HV83" s="159"/>
      <c r="HW83" s="159"/>
      <c r="HX83" s="159"/>
      <c r="HY83" s="159"/>
      <c r="HZ83" s="159"/>
      <c r="IA83" s="159"/>
      <c r="IB83" s="159"/>
      <c r="IC83" s="159"/>
      <c r="ID83" s="159"/>
      <c r="IE83" s="159"/>
      <c r="IF83" s="159"/>
      <c r="IG83" s="159"/>
      <c r="IH83" s="159"/>
      <c r="II83" s="159"/>
      <c r="IJ83" s="159"/>
      <c r="IK83" s="159"/>
      <c r="IL83" s="159"/>
      <c r="IM83" s="159"/>
      <c r="IN83" s="159"/>
      <c r="IO83" s="159"/>
      <c r="IP83" s="159"/>
      <c r="IQ83" s="159"/>
      <c r="IR83" s="159"/>
      <c r="IS83" s="159"/>
      <c r="IT83" s="159"/>
      <c r="IU83" s="159"/>
      <c r="IV83" s="159"/>
      <c r="IW83" s="159"/>
      <c r="IX83" s="159"/>
      <c r="IY83" s="159"/>
      <c r="IZ83" s="159"/>
      <c r="JA83" s="159"/>
      <c r="JB83" s="159"/>
      <c r="JC83" s="159"/>
      <c r="JD83" s="159"/>
      <c r="JE83" s="159"/>
      <c r="JF83" s="159"/>
      <c r="JG83" s="159"/>
      <c r="JH83" s="159"/>
      <c r="JI83" s="159"/>
      <c r="JJ83" s="159"/>
      <c r="JK83" s="159"/>
      <c r="JL83" s="159"/>
      <c r="JM83" s="159"/>
      <c r="JN83" s="159"/>
      <c r="JO83" s="159"/>
      <c r="JP83" s="159"/>
      <c r="JQ83" s="159"/>
      <c r="JR83" s="159"/>
      <c r="JS83" s="159"/>
      <c r="JT83" s="159"/>
      <c r="JU83" s="159"/>
      <c r="JV83" s="159"/>
      <c r="JW83" s="159"/>
      <c r="JX83" s="159"/>
      <c r="JY83" s="159"/>
      <c r="JZ83" s="159"/>
      <c r="KA83" s="159"/>
      <c r="KB83" s="159"/>
      <c r="KC83" s="159"/>
      <c r="KD83" s="159"/>
      <c r="KE83" s="159"/>
      <c r="KF83" s="159"/>
      <c r="KG83" s="159"/>
      <c r="KH83" s="159"/>
      <c r="KI83" s="159"/>
      <c r="KJ83" s="159"/>
      <c r="KK83" s="159"/>
      <c r="KL83" s="159"/>
      <c r="KM83" s="159"/>
      <c r="KN83" s="159"/>
      <c r="KO83" s="159"/>
      <c r="KP83" s="159"/>
      <c r="KQ83" s="159"/>
      <c r="KR83" s="159"/>
      <c r="KS83" s="159"/>
      <c r="KT83" s="159"/>
      <c r="KU83" s="159"/>
      <c r="KV83" s="159"/>
      <c r="KW83" s="159"/>
      <c r="KX83" s="159"/>
      <c r="KY83" s="159"/>
      <c r="KZ83" s="159"/>
      <c r="LA83" s="159"/>
      <c r="LB83" s="159"/>
      <c r="LC83" s="159"/>
      <c r="LD83" s="159"/>
      <c r="LE83" s="159"/>
      <c r="LF83" s="159"/>
      <c r="LG83" s="159"/>
      <c r="LH83" s="159"/>
      <c r="LI83" s="159"/>
      <c r="LJ83" s="159"/>
      <c r="LK83" s="159"/>
      <c r="LL83" s="159"/>
      <c r="LM83" s="159"/>
      <c r="LN83" s="159"/>
      <c r="LO83" s="159"/>
      <c r="LP83" s="159"/>
      <c r="LQ83" s="159"/>
      <c r="LR83" s="159"/>
      <c r="LS83" s="159"/>
      <c r="LT83" s="159"/>
      <c r="LU83" s="159"/>
      <c r="LV83" s="159"/>
      <c r="LW83" s="159"/>
      <c r="LX83" s="159"/>
      <c r="LY83" s="159"/>
      <c r="LZ83" s="159"/>
      <c r="MA83" s="159"/>
      <c r="MB83" s="159"/>
      <c r="MC83" s="159"/>
      <c r="MD83" s="159"/>
      <c r="ME83" s="159"/>
      <c r="MF83" s="159"/>
      <c r="MG83" s="159"/>
      <c r="MH83" s="159"/>
      <c r="MI83" s="159"/>
      <c r="MJ83" s="159"/>
      <c r="MK83" s="159"/>
      <c r="ML83" s="159"/>
      <c r="MM83" s="159"/>
      <c r="MN83" s="159"/>
      <c r="MO83" s="159"/>
      <c r="MP83" s="159"/>
      <c r="MQ83" s="159"/>
      <c r="MR83" s="159"/>
      <c r="MS83" s="159"/>
      <c r="MT83" s="159"/>
      <c r="MU83" s="159"/>
      <c r="MV83" s="159"/>
      <c r="MW83" s="159"/>
      <c r="MX83" s="159"/>
      <c r="MY83" s="159"/>
      <c r="MZ83" s="159"/>
      <c r="NA83" s="159"/>
      <c r="NB83" s="159"/>
      <c r="NC83" s="159"/>
      <c r="ND83" s="159"/>
      <c r="NE83" s="159"/>
      <c r="NF83" s="159"/>
      <c r="NG83" s="159"/>
      <c r="NH83" s="159"/>
      <c r="NI83" s="159"/>
      <c r="NJ83" s="159"/>
      <c r="NK83" s="159"/>
      <c r="NL83" s="159"/>
      <c r="NM83" s="159"/>
      <c r="NN83" s="159"/>
      <c r="NO83" s="159"/>
      <c r="NP83" s="159"/>
      <c r="NQ83" s="159"/>
      <c r="NR83" s="159"/>
      <c r="NS83" s="159"/>
      <c r="NT83" s="159"/>
      <c r="NU83" s="159"/>
      <c r="NV83" s="159"/>
      <c r="NW83" s="159"/>
      <c r="NX83" s="159"/>
      <c r="NY83" s="159"/>
      <c r="NZ83" s="159"/>
      <c r="OA83" s="159"/>
      <c r="OB83" s="159"/>
      <c r="OC83" s="159"/>
      <c r="OD83" s="159"/>
      <c r="OE83" s="159"/>
      <c r="OF83" s="159"/>
      <c r="OG83" s="159"/>
      <c r="OH83" s="159"/>
      <c r="OI83" s="159"/>
      <c r="OJ83" s="159"/>
      <c r="OK83" s="159"/>
      <c r="OL83" s="159"/>
      <c r="OM83" s="159"/>
      <c r="ON83" s="159"/>
      <c r="OO83" s="159"/>
      <c r="OP83" s="159"/>
      <c r="OQ83" s="159"/>
      <c r="OR83" s="159"/>
      <c r="OS83" s="159"/>
      <c r="OT83" s="159"/>
      <c r="OU83" s="159"/>
      <c r="OV83" s="159"/>
      <c r="OW83" s="159"/>
      <c r="OX83" s="159"/>
      <c r="OY83" s="159"/>
      <c r="OZ83" s="159"/>
      <c r="PA83" s="159"/>
      <c r="PB83" s="159"/>
      <c r="PC83" s="159"/>
      <c r="PD83" s="159"/>
      <c r="PE83" s="159"/>
      <c r="PF83" s="159"/>
      <c r="PG83" s="159"/>
      <c r="PH83" s="159"/>
      <c r="PI83" s="159"/>
      <c r="PJ83" s="159"/>
      <c r="PK83" s="159"/>
      <c r="PL83" s="159"/>
      <c r="PM83" s="159"/>
      <c r="PN83" s="159"/>
      <c r="PO83" s="159"/>
      <c r="PP83" s="159"/>
      <c r="PQ83" s="159"/>
      <c r="PR83" s="159"/>
      <c r="PS83" s="159"/>
      <c r="PT83" s="159"/>
      <c r="PU83" s="159"/>
      <c r="PV83" s="159"/>
      <c r="PW83" s="159"/>
      <c r="PX83" s="159"/>
      <c r="PY83" s="159"/>
      <c r="PZ83" s="159"/>
      <c r="QA83" s="159"/>
      <c r="QB83" s="159"/>
      <c r="QC83" s="159"/>
      <c r="QD83" s="159"/>
      <c r="QE83" s="159"/>
      <c r="QF83" s="159"/>
      <c r="QG83" s="159"/>
      <c r="QH83" s="159"/>
      <c r="QI83" s="159"/>
      <c r="QJ83" s="159"/>
      <c r="QK83" s="159"/>
      <c r="QL83" s="159"/>
      <c r="QM83" s="159"/>
      <c r="QN83" s="159"/>
      <c r="QO83" s="159"/>
      <c r="QP83" s="159"/>
      <c r="QQ83" s="159"/>
      <c r="QR83" s="159"/>
      <c r="QS83" s="159"/>
      <c r="QT83" s="159"/>
      <c r="QU83" s="159"/>
      <c r="QV83" s="159"/>
      <c r="QW83" s="159"/>
      <c r="QX83" s="159"/>
      <c r="QY83" s="159"/>
      <c r="QZ83" s="159"/>
      <c r="RA83" s="159"/>
      <c r="RB83" s="159"/>
      <c r="RC83" s="159"/>
      <c r="RD83" s="159"/>
      <c r="RE83" s="159"/>
      <c r="RF83" s="159"/>
      <c r="RG83" s="159"/>
      <c r="RH83" s="159"/>
      <c r="RI83" s="159"/>
      <c r="RJ83" s="159"/>
      <c r="RK83" s="159"/>
      <c r="RL83" s="159"/>
      <c r="RM83" s="159"/>
      <c r="RN83" s="159"/>
      <c r="RO83" s="159"/>
      <c r="RP83" s="159"/>
      <c r="RQ83" s="159"/>
      <c r="RR83" s="159"/>
      <c r="RS83" s="159"/>
      <c r="RT83" s="159"/>
      <c r="RU83" s="159"/>
      <c r="RV83" s="159"/>
      <c r="RW83" s="159"/>
      <c r="RX83" s="159"/>
      <c r="RY83" s="159"/>
      <c r="RZ83" s="159"/>
      <c r="SA83" s="159"/>
      <c r="SB83" s="159"/>
      <c r="SC83" s="159"/>
      <c r="SD83" s="159"/>
      <c r="SE83" s="159"/>
      <c r="SF83" s="159"/>
      <c r="SG83" s="159"/>
      <c r="SH83" s="159"/>
      <c r="SI83" s="159"/>
      <c r="SJ83" s="159"/>
      <c r="SK83" s="159"/>
      <c r="SL83" s="159"/>
      <c r="SM83" s="159"/>
      <c r="SN83" s="159"/>
      <c r="SO83" s="159"/>
      <c r="SP83" s="159"/>
      <c r="SQ83" s="159"/>
      <c r="SR83" s="159"/>
      <c r="SS83" s="159"/>
      <c r="ST83" s="159"/>
      <c r="SU83" s="159"/>
      <c r="SV83" s="159"/>
      <c r="SW83" s="159"/>
      <c r="SX83" s="159"/>
      <c r="SY83" s="159"/>
      <c r="SZ83" s="159"/>
      <c r="TA83" s="159"/>
      <c r="TB83" s="159"/>
      <c r="TC83" s="159"/>
      <c r="TD83" s="159"/>
      <c r="TE83" s="159"/>
      <c r="TF83" s="159"/>
      <c r="TG83" s="159"/>
      <c r="TH83" s="159"/>
      <c r="TI83" s="159"/>
      <c r="TJ83" s="159"/>
      <c r="TK83" s="159"/>
      <c r="TL83" s="159"/>
      <c r="TM83" s="159"/>
      <c r="TN83" s="159"/>
      <c r="TO83" s="159"/>
      <c r="TP83" s="159"/>
      <c r="TQ83" s="159"/>
      <c r="TR83" s="159"/>
      <c r="TS83" s="159"/>
      <c r="TT83" s="159"/>
      <c r="TU83" s="159"/>
      <c r="TV83" s="159"/>
      <c r="TW83" s="159"/>
      <c r="TX83" s="159"/>
      <c r="TY83" s="159"/>
      <c r="TZ83" s="159"/>
      <c r="UA83" s="159"/>
      <c r="UB83" s="159"/>
      <c r="UC83" s="159"/>
      <c r="UD83" s="159"/>
      <c r="UE83" s="159"/>
      <c r="UF83" s="159"/>
      <c r="UG83" s="159"/>
      <c r="UH83" s="159"/>
      <c r="UI83" s="159"/>
      <c r="UJ83" s="159"/>
      <c r="UK83" s="159"/>
      <c r="UL83" s="159"/>
      <c r="UM83" s="159"/>
      <c r="UN83" s="159"/>
      <c r="UO83" s="159"/>
      <c r="UP83" s="159"/>
      <c r="UQ83" s="159"/>
      <c r="UR83" s="159"/>
      <c r="US83" s="159"/>
      <c r="UT83" s="159"/>
      <c r="UU83" s="159"/>
      <c r="UV83" s="159"/>
      <c r="UW83" s="159"/>
      <c r="UX83" s="159"/>
      <c r="UY83" s="159"/>
      <c r="UZ83" s="159"/>
      <c r="VA83" s="159"/>
      <c r="VB83" s="159"/>
      <c r="VC83" s="159"/>
      <c r="VD83" s="159"/>
      <c r="VE83" s="159"/>
      <c r="VF83" s="159"/>
      <c r="VG83" s="159"/>
      <c r="VH83" s="159"/>
      <c r="VI83" s="159"/>
      <c r="VJ83" s="159"/>
      <c r="VK83" s="159"/>
      <c r="VL83" s="159"/>
      <c r="VM83" s="159"/>
      <c r="VN83" s="159"/>
      <c r="VO83" s="159"/>
      <c r="VP83" s="159"/>
      <c r="VQ83" s="159"/>
      <c r="VR83" s="159"/>
      <c r="VS83" s="159"/>
      <c r="VT83" s="159"/>
      <c r="VU83" s="159"/>
      <c r="VV83" s="159"/>
      <c r="VW83" s="159"/>
      <c r="VX83" s="159"/>
      <c r="VY83" s="159"/>
      <c r="VZ83" s="159"/>
      <c r="WA83" s="159"/>
      <c r="WB83" s="159"/>
      <c r="WC83" s="159"/>
      <c r="WD83" s="159"/>
      <c r="WE83" s="159"/>
      <c r="WF83" s="159"/>
      <c r="WG83" s="159"/>
      <c r="WH83" s="159"/>
      <c r="WI83" s="159"/>
      <c r="WJ83" s="159"/>
      <c r="WK83" s="159"/>
      <c r="WL83" s="159"/>
      <c r="WM83" s="159"/>
      <c r="WN83" s="159"/>
      <c r="WO83" s="159"/>
      <c r="WP83" s="159"/>
      <c r="WQ83" s="159"/>
      <c r="WR83" s="159"/>
      <c r="WS83" s="159"/>
      <c r="WT83" s="159"/>
      <c r="WU83" s="159"/>
      <c r="WV83" s="159"/>
      <c r="WW83" s="159"/>
      <c r="WX83" s="159"/>
      <c r="WY83" s="159"/>
      <c r="WZ83" s="159"/>
      <c r="XA83" s="159"/>
      <c r="XB83" s="159"/>
      <c r="XC83" s="159"/>
      <c r="XD83" s="159"/>
      <c r="XE83" s="159"/>
      <c r="XF83" s="159"/>
      <c r="XG83" s="159"/>
      <c r="XH83" s="159"/>
      <c r="XI83" s="159"/>
      <c r="XJ83" s="159"/>
      <c r="XK83" s="159"/>
      <c r="XL83" s="159"/>
      <c r="XM83" s="159"/>
      <c r="XN83" s="159"/>
      <c r="XO83" s="159"/>
      <c r="XP83" s="159"/>
      <c r="XQ83" s="159"/>
      <c r="XR83" s="159"/>
      <c r="XS83" s="159"/>
      <c r="XT83" s="159"/>
      <c r="XU83" s="159"/>
      <c r="XV83" s="159"/>
      <c r="XW83" s="159"/>
      <c r="XX83" s="159"/>
      <c r="XY83" s="159"/>
      <c r="XZ83" s="159"/>
      <c r="YA83" s="159"/>
      <c r="YB83" s="159"/>
      <c r="YC83" s="159"/>
      <c r="YD83" s="159"/>
      <c r="YE83" s="159"/>
      <c r="YF83" s="159"/>
      <c r="YG83" s="159"/>
      <c r="YH83" s="159"/>
      <c r="YI83" s="159"/>
      <c r="YJ83" s="159"/>
      <c r="YK83" s="159"/>
      <c r="YL83" s="159"/>
      <c r="YM83" s="159"/>
      <c r="YN83" s="159"/>
      <c r="YO83" s="159"/>
      <c r="YP83" s="159"/>
      <c r="YQ83" s="159"/>
      <c r="YR83" s="159"/>
      <c r="YS83" s="159"/>
      <c r="YT83" s="159"/>
      <c r="YU83" s="159"/>
      <c r="YV83" s="159"/>
      <c r="YW83" s="159"/>
      <c r="YX83" s="159"/>
      <c r="YY83" s="159"/>
      <c r="YZ83" s="159"/>
      <c r="ZA83" s="159"/>
      <c r="ZB83" s="159"/>
      <c r="ZC83" s="159"/>
      <c r="ZD83" s="159"/>
      <c r="ZE83" s="159"/>
      <c r="ZF83" s="159"/>
      <c r="ZG83" s="159"/>
      <c r="ZH83" s="159"/>
      <c r="ZI83" s="159"/>
      <c r="ZJ83" s="159"/>
      <c r="ZK83" s="159"/>
      <c r="ZL83" s="159"/>
      <c r="ZM83" s="159"/>
      <c r="ZN83" s="159"/>
      <c r="ZO83" s="159"/>
      <c r="ZP83" s="159"/>
      <c r="ZQ83" s="159"/>
      <c r="ZR83" s="159"/>
      <c r="ZS83" s="159"/>
      <c r="ZT83" s="159"/>
      <c r="ZU83" s="159"/>
      <c r="ZV83" s="159"/>
      <c r="ZW83" s="159"/>
      <c r="ZX83" s="159"/>
      <c r="ZY83" s="159"/>
      <c r="ZZ83" s="159"/>
      <c r="AAA83" s="159"/>
      <c r="AAB83" s="159"/>
      <c r="AAC83" s="159"/>
      <c r="AAD83" s="159"/>
      <c r="AAE83" s="159"/>
      <c r="AAF83" s="159"/>
      <c r="AAG83" s="159"/>
      <c r="AAH83" s="159"/>
      <c r="AAI83" s="159"/>
      <c r="AAJ83" s="159"/>
      <c r="AAK83" s="159"/>
      <c r="AAL83" s="159"/>
      <c r="AAM83" s="159"/>
      <c r="AAN83" s="159"/>
      <c r="AAO83" s="159"/>
      <c r="AAP83" s="159"/>
      <c r="AAQ83" s="159"/>
      <c r="AAR83" s="159"/>
      <c r="AAS83" s="159"/>
      <c r="AAT83" s="159"/>
      <c r="AAU83" s="159"/>
      <c r="AAV83" s="159"/>
      <c r="AAW83" s="159"/>
      <c r="AAX83" s="159"/>
      <c r="AAY83" s="159"/>
      <c r="AAZ83" s="159"/>
      <c r="ABA83" s="159"/>
      <c r="ABB83" s="159"/>
      <c r="ABC83" s="159"/>
      <c r="ABD83" s="159"/>
      <c r="ABE83" s="159"/>
      <c r="ABF83" s="159"/>
      <c r="ABG83" s="159"/>
      <c r="ABH83" s="159"/>
      <c r="ABI83" s="159"/>
      <c r="ABJ83" s="159"/>
      <c r="ABK83" s="159"/>
      <c r="ABL83" s="159"/>
      <c r="ABM83" s="159"/>
      <c r="ABN83" s="159"/>
      <c r="ABO83" s="159"/>
      <c r="ABP83" s="159"/>
      <c r="ABQ83" s="159"/>
      <c r="ABR83" s="159"/>
      <c r="ABS83" s="159"/>
      <c r="ABT83" s="159"/>
      <c r="ABU83" s="159"/>
      <c r="ABV83" s="159"/>
      <c r="ABW83" s="159"/>
      <c r="ABX83" s="159"/>
      <c r="ABY83" s="159"/>
      <c r="ABZ83" s="159"/>
      <c r="ACA83" s="159"/>
      <c r="ACB83" s="159"/>
      <c r="ACC83" s="159"/>
      <c r="ACD83" s="159"/>
      <c r="ACE83" s="159"/>
      <c r="ACF83" s="159"/>
      <c r="ACG83" s="159"/>
      <c r="ACH83" s="159"/>
      <c r="ACI83" s="159"/>
      <c r="ACJ83" s="159"/>
      <c r="ACK83" s="159"/>
      <c r="ACL83" s="159"/>
      <c r="ACM83" s="159"/>
      <c r="ACN83" s="159"/>
      <c r="ACO83" s="159"/>
      <c r="ACP83" s="159"/>
      <c r="ACQ83" s="159"/>
      <c r="ACR83" s="159"/>
      <c r="ACS83" s="159"/>
      <c r="ACT83" s="159"/>
      <c r="ACU83" s="159"/>
      <c r="ACV83" s="159"/>
      <c r="ACW83" s="159"/>
      <c r="ACX83" s="159"/>
      <c r="ACY83" s="159"/>
      <c r="ACZ83" s="159"/>
      <c r="ADA83" s="159"/>
      <c r="ADB83" s="159"/>
      <c r="ADC83" s="159"/>
      <c r="ADD83" s="159"/>
      <c r="ADE83" s="159"/>
      <c r="ADF83" s="159"/>
      <c r="ADG83" s="159"/>
      <c r="ADH83" s="159"/>
      <c r="ADI83" s="159"/>
      <c r="ADJ83" s="159"/>
      <c r="ADK83" s="159"/>
      <c r="ADL83" s="159"/>
      <c r="ADM83" s="159"/>
      <c r="ADN83" s="159"/>
      <c r="ADO83" s="159"/>
      <c r="ADP83" s="159"/>
      <c r="ADQ83" s="159"/>
      <c r="ADR83" s="159"/>
      <c r="ADS83" s="159"/>
      <c r="ADT83" s="159"/>
      <c r="ADU83" s="159"/>
      <c r="ADV83" s="159"/>
      <c r="ADW83" s="159"/>
      <c r="ADX83" s="159"/>
      <c r="ADY83" s="159"/>
      <c r="ADZ83" s="159"/>
      <c r="AEA83" s="159"/>
      <c r="AEB83" s="159"/>
      <c r="AEC83" s="159"/>
      <c r="AED83" s="159"/>
      <c r="AEE83" s="159"/>
      <c r="AEF83" s="159"/>
      <c r="AEG83" s="159"/>
      <c r="AEH83" s="159"/>
      <c r="AEI83" s="159"/>
      <c r="AEJ83" s="159"/>
      <c r="AEK83" s="159"/>
      <c r="AEL83" s="159"/>
      <c r="AEM83" s="159"/>
      <c r="AEN83" s="159"/>
      <c r="AEO83" s="159"/>
      <c r="AEP83" s="159"/>
      <c r="AEQ83" s="159"/>
      <c r="AER83" s="159"/>
      <c r="AES83" s="159"/>
      <c r="AET83" s="159"/>
      <c r="AEU83" s="159"/>
      <c r="AEV83" s="159"/>
      <c r="AEW83" s="159"/>
      <c r="AEX83" s="159"/>
      <c r="AEY83" s="159"/>
      <c r="AEZ83" s="159"/>
      <c r="AFA83" s="159"/>
      <c r="AFB83" s="159"/>
      <c r="AFC83" s="159"/>
      <c r="AFD83" s="159"/>
      <c r="AFE83" s="159"/>
      <c r="AFF83" s="159"/>
      <c r="AFG83" s="159"/>
      <c r="AFH83" s="159"/>
      <c r="AFI83" s="159"/>
      <c r="AFJ83" s="159"/>
      <c r="AFK83" s="159"/>
      <c r="AFL83" s="159"/>
      <c r="AFM83" s="159"/>
      <c r="AFN83" s="159"/>
      <c r="AFO83" s="159"/>
      <c r="AFP83" s="159"/>
      <c r="AFQ83" s="159"/>
      <c r="AFR83" s="159"/>
      <c r="AFS83" s="159"/>
      <c r="AFT83" s="159"/>
      <c r="AFU83" s="159"/>
      <c r="AFV83" s="159"/>
      <c r="AFW83" s="159"/>
      <c r="AFX83" s="159"/>
      <c r="AFY83" s="159"/>
      <c r="AFZ83" s="159"/>
      <c r="AGA83" s="159"/>
      <c r="AGB83" s="159"/>
      <c r="AGC83" s="159"/>
      <c r="AGD83" s="159"/>
      <c r="AGE83" s="159"/>
      <c r="AGF83" s="159"/>
      <c r="AGG83" s="159"/>
      <c r="AGH83" s="159"/>
      <c r="AGI83" s="159"/>
      <c r="AGJ83" s="159"/>
      <c r="AGK83" s="159"/>
      <c r="AGL83" s="159"/>
      <c r="AGM83" s="159"/>
      <c r="AGN83" s="159"/>
      <c r="AGO83" s="159"/>
      <c r="AGP83" s="159"/>
      <c r="AGQ83" s="159"/>
      <c r="AGR83" s="159"/>
      <c r="AGS83" s="159"/>
      <c r="AGT83" s="159"/>
      <c r="AGU83" s="159"/>
      <c r="AGV83" s="159"/>
      <c r="AGW83" s="159"/>
      <c r="AGX83" s="159"/>
      <c r="AGY83" s="159"/>
      <c r="AGZ83" s="159"/>
      <c r="AHA83" s="159"/>
      <c r="AHB83" s="159"/>
      <c r="AHC83" s="159"/>
      <c r="AHD83" s="159"/>
      <c r="AHE83" s="159"/>
      <c r="AHF83" s="159"/>
      <c r="AHG83" s="159"/>
      <c r="AHH83" s="159"/>
      <c r="AHI83" s="159"/>
      <c r="AHJ83" s="159"/>
      <c r="AHK83" s="159"/>
      <c r="AHL83" s="159"/>
      <c r="AHM83" s="159"/>
      <c r="AHN83" s="159"/>
      <c r="AHO83" s="159"/>
      <c r="AHP83" s="159"/>
      <c r="AHQ83" s="159"/>
      <c r="AHR83" s="159"/>
      <c r="AHS83" s="159"/>
      <c r="AHT83" s="159"/>
      <c r="AHU83" s="159"/>
      <c r="AHV83" s="159"/>
      <c r="AHW83" s="159"/>
      <c r="AHX83" s="159"/>
      <c r="AHY83" s="159"/>
      <c r="AHZ83" s="159"/>
      <c r="AIA83" s="159"/>
      <c r="AIB83" s="159"/>
      <c r="AIC83" s="159"/>
      <c r="AID83" s="159"/>
      <c r="AIE83" s="159"/>
      <c r="AIF83" s="159"/>
      <c r="AIG83" s="159"/>
      <c r="AIH83" s="159"/>
      <c r="AII83" s="159"/>
      <c r="AIJ83" s="159"/>
      <c r="AIK83" s="159"/>
      <c r="AIL83" s="159"/>
      <c r="AIM83" s="159"/>
      <c r="AIN83" s="159"/>
      <c r="AIO83" s="159"/>
      <c r="AIP83" s="159"/>
      <c r="AIQ83" s="159"/>
      <c r="AIR83" s="159"/>
      <c r="AIS83" s="159"/>
      <c r="AIT83" s="159"/>
      <c r="AIU83" s="159"/>
      <c r="AIV83" s="159"/>
      <c r="AIW83" s="159"/>
      <c r="AIX83" s="159"/>
      <c r="AIY83" s="159"/>
      <c r="AIZ83" s="159"/>
      <c r="AJA83" s="159"/>
      <c r="AJB83" s="159"/>
      <c r="AJC83" s="159"/>
      <c r="AJD83" s="159"/>
      <c r="AJE83" s="159"/>
      <c r="AJF83" s="159"/>
      <c r="AJG83" s="159"/>
      <c r="AJH83" s="159"/>
      <c r="AJI83" s="159"/>
      <c r="AJJ83" s="159"/>
      <c r="AJK83" s="159"/>
      <c r="AJL83" s="159"/>
      <c r="AJM83" s="159"/>
      <c r="AJN83" s="159"/>
      <c r="AJO83" s="159"/>
      <c r="AJP83" s="159"/>
      <c r="AJQ83" s="159"/>
      <c r="AJR83" s="159"/>
      <c r="AJS83" s="159"/>
      <c r="AJT83" s="159"/>
      <c r="AJU83" s="159"/>
      <c r="AJV83" s="159"/>
      <c r="AJW83" s="159"/>
      <c r="AJX83" s="159"/>
      <c r="AJY83" s="159"/>
      <c r="AJZ83" s="159"/>
      <c r="AKA83" s="159"/>
      <c r="AKB83" s="159"/>
      <c r="AKC83" s="159"/>
      <c r="AKD83" s="159"/>
      <c r="AKE83" s="159"/>
      <c r="AKF83" s="159"/>
      <c r="AKG83" s="159"/>
      <c r="AKH83" s="159"/>
      <c r="AKI83" s="159"/>
      <c r="AKJ83" s="159"/>
      <c r="AKK83" s="159"/>
      <c r="AKL83" s="159"/>
      <c r="AKM83" s="159"/>
      <c r="AKN83" s="159"/>
      <c r="AKO83" s="159"/>
      <c r="AKP83" s="159"/>
      <c r="AKQ83" s="159"/>
      <c r="AKR83" s="159"/>
      <c r="AKS83" s="159"/>
      <c r="AKT83" s="159"/>
      <c r="AKU83" s="159"/>
      <c r="AKV83" s="159"/>
      <c r="AKW83" s="159"/>
      <c r="AKX83" s="159"/>
      <c r="AKY83" s="159"/>
      <c r="AKZ83" s="159"/>
      <c r="ALA83" s="159"/>
      <c r="ALB83" s="159"/>
      <c r="ALC83" s="159"/>
      <c r="ALD83" s="159"/>
      <c r="ALE83" s="159"/>
      <c r="ALF83" s="159"/>
      <c r="ALG83" s="159"/>
      <c r="ALH83" s="159"/>
      <c r="ALI83" s="159"/>
      <c r="ALJ83" s="159"/>
      <c r="ALK83" s="159"/>
      <c r="ALL83" s="159"/>
      <c r="ALM83" s="159"/>
      <c r="ALN83" s="159"/>
      <c r="ALO83" s="159"/>
      <c r="ALP83" s="159"/>
      <c r="ALQ83" s="159"/>
      <c r="ALR83" s="159"/>
      <c r="ALS83" s="159"/>
      <c r="ALT83" s="159"/>
      <c r="ALU83" s="159"/>
      <c r="ALV83" s="159"/>
      <c r="ALW83" s="159"/>
      <c r="ALX83" s="159"/>
      <c r="ALY83" s="159"/>
      <c r="ALZ83" s="159"/>
      <c r="AMA83" s="159"/>
      <c r="AMB83" s="159"/>
      <c r="AMC83" s="159"/>
      <c r="AMD83" s="159"/>
      <c r="AME83" s="159"/>
      <c r="AMF83" s="159"/>
      <c r="AMG83" s="159"/>
      <c r="AMH83" s="159"/>
      <c r="AMI83" s="159"/>
      <c r="AMJ83" s="159"/>
      <c r="AMK83" s="159"/>
      <c r="AML83" s="159"/>
      <c r="AMM83" s="159"/>
      <c r="AMN83" s="159"/>
      <c r="AMO83" s="159"/>
    </row>
    <row r="84" spans="1:1029" s="161" customFormat="1" ht="26.25" thickTop="1" x14ac:dyDescent="0.25">
      <c r="A84" s="170">
        <v>46139</v>
      </c>
      <c r="B84" s="100" t="s">
        <v>113</v>
      </c>
      <c r="C84" s="100" t="s">
        <v>88</v>
      </c>
      <c r="D84" s="171" t="s">
        <v>21</v>
      </c>
      <c r="E84" s="122" t="s">
        <v>19</v>
      </c>
      <c r="F84" s="100" t="s">
        <v>130</v>
      </c>
      <c r="G84" s="100" t="s">
        <v>21</v>
      </c>
      <c r="H84" s="143">
        <f>IF(ISBLANK($B84),$W$53,IF(AND($B84=E84,$C84=F84,$D84=G84),$W$50,IF(AND($B84=E84,OR($C84=F84,$D84=G84)),$W$51+$W$52,IF(OR($B84=E84,AND($C84=F84,$D84=G84)),$W$51,IF(OR($C84=F84,$D84=G84),$W$52)))))</f>
        <v>0.5</v>
      </c>
      <c r="I84" s="120" t="s">
        <v>19</v>
      </c>
      <c r="J84" s="119" t="s">
        <v>130</v>
      </c>
      <c r="K84" s="119" t="s">
        <v>21</v>
      </c>
      <c r="L84" s="143">
        <f>IF(ISBLANK($B84),$W$53,IF(AND($B84=I84,$C84=J84,$D84=K84),$W$50,IF(AND($B84=I84,OR($C84=J84,$D84=K84)),$W$51+$W$52,IF(OR($B84=I84,AND($C84=J84,$D84=K84)),$W$51,IF(OR($C84=J84,$D84=K84),$W$52)))))</f>
        <v>0.5</v>
      </c>
      <c r="M84" s="122" t="s">
        <v>19</v>
      </c>
      <c r="N84" s="123" t="s">
        <v>130</v>
      </c>
      <c r="O84" s="100" t="s">
        <v>21</v>
      </c>
      <c r="P84" s="143">
        <f>IF(ISBLANK($B84),$W$53,IF(AND($B84=M84,$C84=N84,$D84=O84),$W$50,IF(AND($B84=M84,OR($C84=N84,$D84=O84)),$W$51+$W$52,IF(OR($B84=M84,AND($C84=N84,$D84=O84)),$W$51,IF(OR($C84=N84,$D84=O84),$W$52)))))</f>
        <v>0.5</v>
      </c>
      <c r="Q84" s="123" t="s">
        <v>19</v>
      </c>
      <c r="R84" s="100" t="s">
        <v>82</v>
      </c>
      <c r="S84" s="100" t="s">
        <v>16</v>
      </c>
      <c r="T84" s="143" t="b">
        <f t="shared" si="11"/>
        <v>0</v>
      </c>
      <c r="U84" s="159"/>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c r="AR84" s="159"/>
      <c r="AS84" s="159"/>
      <c r="AT84" s="159"/>
      <c r="AU84" s="159"/>
      <c r="AV84" s="159"/>
      <c r="AW84" s="159"/>
      <c r="AX84" s="159"/>
      <c r="AY84" s="159"/>
      <c r="AZ84" s="159"/>
      <c r="BA84" s="159"/>
      <c r="BB84" s="159"/>
      <c r="BC84" s="159"/>
      <c r="BD84" s="159"/>
      <c r="BE84" s="159"/>
      <c r="BF84" s="159"/>
      <c r="BG84" s="159"/>
      <c r="BH84" s="159"/>
      <c r="BI84" s="159"/>
      <c r="BJ84" s="159"/>
      <c r="BK84" s="159"/>
      <c r="BL84" s="159"/>
      <c r="BM84" s="159"/>
      <c r="BN84" s="159"/>
      <c r="BO84" s="159"/>
      <c r="BP84" s="159"/>
      <c r="BQ84" s="159"/>
      <c r="BR84" s="159"/>
      <c r="BS84" s="159"/>
      <c r="BT84" s="159"/>
      <c r="BU84" s="159"/>
      <c r="BV84" s="159"/>
      <c r="BW84" s="159"/>
      <c r="BX84" s="159"/>
      <c r="BY84" s="159"/>
      <c r="BZ84" s="159"/>
      <c r="CA84" s="159"/>
      <c r="CB84" s="159"/>
      <c r="CC84" s="159"/>
      <c r="CD84" s="159"/>
      <c r="CE84" s="159"/>
      <c r="CF84" s="159"/>
      <c r="CG84" s="159"/>
      <c r="CH84" s="159"/>
      <c r="CI84" s="159"/>
      <c r="CJ84" s="159"/>
      <c r="CK84" s="159"/>
      <c r="CL84" s="159"/>
      <c r="CM84" s="159"/>
      <c r="CN84" s="159"/>
      <c r="CO84" s="159"/>
      <c r="CP84" s="159"/>
      <c r="CQ84" s="159"/>
      <c r="CR84" s="159"/>
      <c r="CS84" s="159"/>
      <c r="CT84" s="159"/>
      <c r="CU84" s="159"/>
      <c r="CV84" s="159"/>
      <c r="CW84" s="159"/>
      <c r="CX84" s="159"/>
      <c r="CY84" s="159"/>
      <c r="CZ84" s="159"/>
      <c r="DA84" s="159"/>
      <c r="DB84" s="159"/>
      <c r="DC84" s="159"/>
      <c r="DD84" s="159"/>
      <c r="DE84" s="159"/>
      <c r="DF84" s="159"/>
      <c r="DG84" s="159"/>
      <c r="DH84" s="159"/>
      <c r="DI84" s="159"/>
      <c r="DJ84" s="159"/>
      <c r="DK84" s="159"/>
      <c r="DL84" s="159"/>
      <c r="DM84" s="159"/>
      <c r="DN84" s="159"/>
      <c r="DO84" s="159"/>
      <c r="DP84" s="159"/>
      <c r="DQ84" s="159"/>
      <c r="DR84" s="159"/>
      <c r="DS84" s="159"/>
      <c r="DT84" s="159"/>
      <c r="DU84" s="159"/>
      <c r="DV84" s="159"/>
      <c r="DW84" s="159"/>
      <c r="DX84" s="159"/>
      <c r="DY84" s="159"/>
      <c r="DZ84" s="159"/>
      <c r="EA84" s="159"/>
      <c r="EB84" s="159"/>
      <c r="EC84" s="159"/>
      <c r="ED84" s="159"/>
      <c r="EE84" s="159"/>
      <c r="EF84" s="159"/>
      <c r="EG84" s="159"/>
      <c r="EH84" s="159"/>
      <c r="EI84" s="159"/>
      <c r="EJ84" s="159"/>
      <c r="EK84" s="159"/>
      <c r="EL84" s="159"/>
      <c r="EM84" s="159"/>
      <c r="EN84" s="159"/>
      <c r="EO84" s="159"/>
      <c r="EP84" s="159"/>
      <c r="EQ84" s="159"/>
      <c r="ER84" s="159"/>
      <c r="ES84" s="159"/>
      <c r="ET84" s="159"/>
      <c r="EU84" s="159"/>
      <c r="EV84" s="159"/>
      <c r="EW84" s="159"/>
      <c r="EX84" s="159"/>
      <c r="EY84" s="159"/>
      <c r="EZ84" s="159"/>
      <c r="FA84" s="159"/>
      <c r="FB84" s="159"/>
      <c r="FC84" s="159"/>
      <c r="FD84" s="159"/>
      <c r="FE84" s="159"/>
      <c r="FF84" s="159"/>
      <c r="FG84" s="159"/>
      <c r="FH84" s="159"/>
      <c r="FI84" s="159"/>
      <c r="FJ84" s="159"/>
      <c r="FK84" s="159"/>
      <c r="FL84" s="159"/>
      <c r="FM84" s="159"/>
      <c r="FN84" s="159"/>
      <c r="FO84" s="159"/>
      <c r="FP84" s="159"/>
      <c r="FQ84" s="159"/>
      <c r="FR84" s="159"/>
      <c r="FS84" s="159"/>
      <c r="FT84" s="159"/>
      <c r="FU84" s="159"/>
      <c r="FV84" s="159"/>
      <c r="FW84" s="159"/>
      <c r="FX84" s="159"/>
      <c r="FY84" s="159"/>
      <c r="FZ84" s="159"/>
      <c r="GA84" s="159"/>
      <c r="GB84" s="159"/>
      <c r="GC84" s="159"/>
      <c r="GD84" s="159"/>
      <c r="GE84" s="159"/>
      <c r="GF84" s="159"/>
      <c r="GG84" s="159"/>
      <c r="GH84" s="159"/>
      <c r="GI84" s="159"/>
      <c r="GJ84" s="159"/>
      <c r="GK84" s="159"/>
      <c r="GL84" s="159"/>
      <c r="GM84" s="159"/>
      <c r="GN84" s="159"/>
      <c r="GO84" s="159"/>
      <c r="GP84" s="159"/>
      <c r="GQ84" s="159"/>
      <c r="GR84" s="159"/>
      <c r="GS84" s="159"/>
      <c r="GT84" s="159"/>
      <c r="GU84" s="159"/>
      <c r="GV84" s="159"/>
      <c r="GW84" s="159"/>
      <c r="GX84" s="159"/>
      <c r="GY84" s="159"/>
      <c r="GZ84" s="159"/>
      <c r="HA84" s="159"/>
      <c r="HB84" s="159"/>
      <c r="HC84" s="159"/>
      <c r="HD84" s="159"/>
      <c r="HE84" s="159"/>
      <c r="HF84" s="159"/>
      <c r="HG84" s="159"/>
      <c r="HH84" s="159"/>
      <c r="HI84" s="159"/>
      <c r="HJ84" s="159"/>
      <c r="HK84" s="159"/>
      <c r="HL84" s="159"/>
      <c r="HM84" s="159"/>
      <c r="HN84" s="159"/>
      <c r="HO84" s="159"/>
      <c r="HP84" s="159"/>
      <c r="HQ84" s="159"/>
      <c r="HR84" s="159"/>
      <c r="HS84" s="159"/>
      <c r="HT84" s="159"/>
      <c r="HU84" s="159"/>
      <c r="HV84" s="159"/>
      <c r="HW84" s="159"/>
      <c r="HX84" s="159"/>
      <c r="HY84" s="159"/>
      <c r="HZ84" s="159"/>
      <c r="IA84" s="159"/>
      <c r="IB84" s="159"/>
      <c r="IC84" s="159"/>
      <c r="ID84" s="159"/>
      <c r="IE84" s="159"/>
      <c r="IF84" s="159"/>
      <c r="IG84" s="159"/>
      <c r="IH84" s="159"/>
      <c r="II84" s="159"/>
      <c r="IJ84" s="159"/>
      <c r="IK84" s="159"/>
      <c r="IL84" s="159"/>
      <c r="IM84" s="159"/>
      <c r="IN84" s="159"/>
      <c r="IO84" s="159"/>
      <c r="IP84" s="159"/>
      <c r="IQ84" s="159"/>
      <c r="IR84" s="159"/>
      <c r="IS84" s="159"/>
      <c r="IT84" s="159"/>
      <c r="IU84" s="159"/>
      <c r="IV84" s="159"/>
      <c r="IW84" s="159"/>
      <c r="IX84" s="159"/>
      <c r="IY84" s="159"/>
      <c r="IZ84" s="159"/>
      <c r="JA84" s="159"/>
      <c r="JB84" s="159"/>
      <c r="JC84" s="159"/>
      <c r="JD84" s="159"/>
      <c r="JE84" s="159"/>
      <c r="JF84" s="159"/>
      <c r="JG84" s="159"/>
      <c r="JH84" s="159"/>
      <c r="JI84" s="159"/>
      <c r="JJ84" s="159"/>
      <c r="JK84" s="159"/>
      <c r="JL84" s="159"/>
      <c r="JM84" s="159"/>
      <c r="JN84" s="159"/>
      <c r="JO84" s="159"/>
      <c r="JP84" s="159"/>
      <c r="JQ84" s="159"/>
      <c r="JR84" s="159"/>
      <c r="JS84" s="159"/>
      <c r="JT84" s="159"/>
      <c r="JU84" s="159"/>
      <c r="JV84" s="159"/>
      <c r="JW84" s="159"/>
      <c r="JX84" s="159"/>
      <c r="JY84" s="159"/>
      <c r="JZ84" s="159"/>
      <c r="KA84" s="159"/>
      <c r="KB84" s="159"/>
      <c r="KC84" s="159"/>
      <c r="KD84" s="159"/>
      <c r="KE84" s="159"/>
      <c r="KF84" s="159"/>
      <c r="KG84" s="159"/>
      <c r="KH84" s="159"/>
      <c r="KI84" s="159"/>
      <c r="KJ84" s="159"/>
      <c r="KK84" s="159"/>
      <c r="KL84" s="159"/>
      <c r="KM84" s="159"/>
      <c r="KN84" s="159"/>
      <c r="KO84" s="159"/>
      <c r="KP84" s="159"/>
      <c r="KQ84" s="159"/>
      <c r="KR84" s="159"/>
      <c r="KS84" s="159"/>
      <c r="KT84" s="159"/>
      <c r="KU84" s="159"/>
      <c r="KV84" s="159"/>
      <c r="KW84" s="159"/>
      <c r="KX84" s="159"/>
      <c r="KY84" s="159"/>
      <c r="KZ84" s="159"/>
      <c r="LA84" s="159"/>
      <c r="LB84" s="159"/>
      <c r="LC84" s="159"/>
      <c r="LD84" s="159"/>
      <c r="LE84" s="159"/>
      <c r="LF84" s="159"/>
      <c r="LG84" s="159"/>
      <c r="LH84" s="159"/>
      <c r="LI84" s="159"/>
      <c r="LJ84" s="159"/>
      <c r="LK84" s="159"/>
      <c r="LL84" s="159"/>
      <c r="LM84" s="159"/>
      <c r="LN84" s="159"/>
      <c r="LO84" s="159"/>
      <c r="LP84" s="159"/>
      <c r="LQ84" s="159"/>
      <c r="LR84" s="159"/>
      <c r="LS84" s="159"/>
      <c r="LT84" s="159"/>
      <c r="LU84" s="159"/>
      <c r="LV84" s="159"/>
      <c r="LW84" s="159"/>
      <c r="LX84" s="159"/>
      <c r="LY84" s="159"/>
      <c r="LZ84" s="159"/>
      <c r="MA84" s="159"/>
      <c r="MB84" s="159"/>
      <c r="MC84" s="159"/>
      <c r="MD84" s="159"/>
      <c r="ME84" s="159"/>
      <c r="MF84" s="159"/>
      <c r="MG84" s="159"/>
      <c r="MH84" s="159"/>
      <c r="MI84" s="159"/>
      <c r="MJ84" s="159"/>
      <c r="MK84" s="159"/>
      <c r="ML84" s="159"/>
      <c r="MM84" s="159"/>
      <c r="MN84" s="159"/>
      <c r="MO84" s="159"/>
      <c r="MP84" s="159"/>
      <c r="MQ84" s="159"/>
      <c r="MR84" s="159"/>
      <c r="MS84" s="159"/>
      <c r="MT84" s="159"/>
      <c r="MU84" s="159"/>
      <c r="MV84" s="159"/>
      <c r="MW84" s="159"/>
      <c r="MX84" s="159"/>
      <c r="MY84" s="159"/>
      <c r="MZ84" s="159"/>
      <c r="NA84" s="159"/>
      <c r="NB84" s="159"/>
      <c r="NC84" s="159"/>
      <c r="ND84" s="159"/>
      <c r="NE84" s="159"/>
      <c r="NF84" s="159"/>
      <c r="NG84" s="159"/>
      <c r="NH84" s="159"/>
      <c r="NI84" s="159"/>
      <c r="NJ84" s="159"/>
      <c r="NK84" s="159"/>
      <c r="NL84" s="159"/>
      <c r="NM84" s="159"/>
      <c r="NN84" s="159"/>
      <c r="NO84" s="159"/>
      <c r="NP84" s="159"/>
      <c r="NQ84" s="159"/>
      <c r="NR84" s="159"/>
      <c r="NS84" s="159"/>
      <c r="NT84" s="159"/>
      <c r="NU84" s="159"/>
      <c r="NV84" s="159"/>
      <c r="NW84" s="159"/>
      <c r="NX84" s="159"/>
      <c r="NY84" s="159"/>
      <c r="NZ84" s="159"/>
      <c r="OA84" s="159"/>
      <c r="OB84" s="159"/>
      <c r="OC84" s="159"/>
      <c r="OD84" s="159"/>
      <c r="OE84" s="159"/>
      <c r="OF84" s="159"/>
      <c r="OG84" s="159"/>
      <c r="OH84" s="159"/>
      <c r="OI84" s="159"/>
      <c r="OJ84" s="159"/>
      <c r="OK84" s="159"/>
      <c r="OL84" s="159"/>
      <c r="OM84" s="159"/>
      <c r="ON84" s="159"/>
      <c r="OO84" s="159"/>
      <c r="OP84" s="159"/>
      <c r="OQ84" s="159"/>
      <c r="OR84" s="159"/>
      <c r="OS84" s="159"/>
      <c r="OT84" s="159"/>
      <c r="OU84" s="159"/>
      <c r="OV84" s="159"/>
      <c r="OW84" s="159"/>
      <c r="OX84" s="159"/>
      <c r="OY84" s="159"/>
      <c r="OZ84" s="159"/>
      <c r="PA84" s="159"/>
      <c r="PB84" s="159"/>
      <c r="PC84" s="159"/>
      <c r="PD84" s="159"/>
      <c r="PE84" s="159"/>
      <c r="PF84" s="159"/>
      <c r="PG84" s="159"/>
      <c r="PH84" s="159"/>
      <c r="PI84" s="159"/>
      <c r="PJ84" s="159"/>
      <c r="PK84" s="159"/>
      <c r="PL84" s="159"/>
      <c r="PM84" s="159"/>
      <c r="PN84" s="159"/>
      <c r="PO84" s="159"/>
      <c r="PP84" s="159"/>
      <c r="PQ84" s="159"/>
      <c r="PR84" s="159"/>
      <c r="PS84" s="159"/>
      <c r="PT84" s="159"/>
      <c r="PU84" s="159"/>
      <c r="PV84" s="159"/>
      <c r="PW84" s="159"/>
      <c r="PX84" s="159"/>
      <c r="PY84" s="159"/>
      <c r="PZ84" s="159"/>
      <c r="QA84" s="159"/>
      <c r="QB84" s="159"/>
      <c r="QC84" s="159"/>
      <c r="QD84" s="159"/>
      <c r="QE84" s="159"/>
      <c r="QF84" s="159"/>
      <c r="QG84" s="159"/>
      <c r="QH84" s="159"/>
      <c r="QI84" s="159"/>
      <c r="QJ84" s="159"/>
      <c r="QK84" s="159"/>
      <c r="QL84" s="159"/>
      <c r="QM84" s="159"/>
      <c r="QN84" s="159"/>
      <c r="QO84" s="159"/>
      <c r="QP84" s="159"/>
      <c r="QQ84" s="159"/>
      <c r="QR84" s="159"/>
      <c r="QS84" s="159"/>
      <c r="QT84" s="159"/>
      <c r="QU84" s="159"/>
      <c r="QV84" s="159"/>
      <c r="QW84" s="159"/>
      <c r="QX84" s="159"/>
      <c r="QY84" s="159"/>
      <c r="QZ84" s="159"/>
      <c r="RA84" s="159"/>
      <c r="RB84" s="159"/>
      <c r="RC84" s="159"/>
      <c r="RD84" s="159"/>
      <c r="RE84" s="159"/>
      <c r="RF84" s="159"/>
      <c r="RG84" s="159"/>
      <c r="RH84" s="159"/>
      <c r="RI84" s="159"/>
      <c r="RJ84" s="159"/>
      <c r="RK84" s="159"/>
      <c r="RL84" s="159"/>
      <c r="RM84" s="159"/>
      <c r="RN84" s="159"/>
      <c r="RO84" s="159"/>
      <c r="RP84" s="159"/>
      <c r="RQ84" s="159"/>
      <c r="RR84" s="159"/>
      <c r="RS84" s="159"/>
      <c r="RT84" s="159"/>
      <c r="RU84" s="159"/>
      <c r="RV84" s="159"/>
      <c r="RW84" s="159"/>
      <c r="RX84" s="159"/>
      <c r="RY84" s="159"/>
      <c r="RZ84" s="159"/>
      <c r="SA84" s="159"/>
      <c r="SB84" s="159"/>
      <c r="SC84" s="159"/>
      <c r="SD84" s="159"/>
      <c r="SE84" s="159"/>
      <c r="SF84" s="159"/>
      <c r="SG84" s="159"/>
      <c r="SH84" s="159"/>
      <c r="SI84" s="159"/>
      <c r="SJ84" s="159"/>
      <c r="SK84" s="159"/>
      <c r="SL84" s="159"/>
      <c r="SM84" s="159"/>
      <c r="SN84" s="159"/>
      <c r="SO84" s="159"/>
      <c r="SP84" s="159"/>
      <c r="SQ84" s="159"/>
      <c r="SR84" s="159"/>
      <c r="SS84" s="159"/>
      <c r="ST84" s="159"/>
      <c r="SU84" s="159"/>
      <c r="SV84" s="159"/>
      <c r="SW84" s="159"/>
      <c r="SX84" s="159"/>
      <c r="SY84" s="159"/>
      <c r="SZ84" s="159"/>
      <c r="TA84" s="159"/>
      <c r="TB84" s="159"/>
      <c r="TC84" s="159"/>
      <c r="TD84" s="159"/>
      <c r="TE84" s="159"/>
      <c r="TF84" s="159"/>
      <c r="TG84" s="159"/>
      <c r="TH84" s="159"/>
      <c r="TI84" s="159"/>
      <c r="TJ84" s="159"/>
      <c r="TK84" s="159"/>
      <c r="TL84" s="159"/>
      <c r="TM84" s="159"/>
      <c r="TN84" s="159"/>
      <c r="TO84" s="159"/>
      <c r="TP84" s="159"/>
      <c r="TQ84" s="159"/>
      <c r="TR84" s="159"/>
      <c r="TS84" s="159"/>
      <c r="TT84" s="159"/>
      <c r="TU84" s="159"/>
      <c r="TV84" s="159"/>
      <c r="TW84" s="159"/>
      <c r="TX84" s="159"/>
      <c r="TY84" s="159"/>
      <c r="TZ84" s="159"/>
      <c r="UA84" s="159"/>
      <c r="UB84" s="159"/>
      <c r="UC84" s="159"/>
      <c r="UD84" s="159"/>
      <c r="UE84" s="159"/>
      <c r="UF84" s="159"/>
      <c r="UG84" s="159"/>
      <c r="UH84" s="159"/>
      <c r="UI84" s="159"/>
      <c r="UJ84" s="159"/>
      <c r="UK84" s="159"/>
      <c r="UL84" s="159"/>
      <c r="UM84" s="159"/>
      <c r="UN84" s="159"/>
      <c r="UO84" s="159"/>
      <c r="UP84" s="159"/>
      <c r="UQ84" s="159"/>
      <c r="UR84" s="159"/>
      <c r="US84" s="159"/>
      <c r="UT84" s="159"/>
      <c r="UU84" s="159"/>
      <c r="UV84" s="159"/>
      <c r="UW84" s="159"/>
      <c r="UX84" s="159"/>
      <c r="UY84" s="159"/>
      <c r="UZ84" s="159"/>
      <c r="VA84" s="159"/>
      <c r="VB84" s="159"/>
      <c r="VC84" s="159"/>
      <c r="VD84" s="159"/>
      <c r="VE84" s="159"/>
      <c r="VF84" s="159"/>
      <c r="VG84" s="159"/>
      <c r="VH84" s="159"/>
      <c r="VI84" s="159"/>
      <c r="VJ84" s="159"/>
      <c r="VK84" s="159"/>
      <c r="VL84" s="159"/>
      <c r="VM84" s="159"/>
      <c r="VN84" s="159"/>
      <c r="VO84" s="159"/>
      <c r="VP84" s="159"/>
      <c r="VQ84" s="159"/>
      <c r="VR84" s="159"/>
      <c r="VS84" s="159"/>
      <c r="VT84" s="159"/>
      <c r="VU84" s="159"/>
      <c r="VV84" s="159"/>
      <c r="VW84" s="159"/>
      <c r="VX84" s="159"/>
      <c r="VY84" s="159"/>
      <c r="VZ84" s="159"/>
      <c r="WA84" s="159"/>
      <c r="WB84" s="159"/>
      <c r="WC84" s="159"/>
      <c r="WD84" s="159"/>
      <c r="WE84" s="159"/>
      <c r="WF84" s="159"/>
      <c r="WG84" s="159"/>
      <c r="WH84" s="159"/>
      <c r="WI84" s="159"/>
      <c r="WJ84" s="159"/>
      <c r="WK84" s="159"/>
      <c r="WL84" s="159"/>
      <c r="WM84" s="159"/>
      <c r="WN84" s="159"/>
      <c r="WO84" s="159"/>
      <c r="WP84" s="159"/>
      <c r="WQ84" s="159"/>
      <c r="WR84" s="159"/>
      <c r="WS84" s="159"/>
      <c r="WT84" s="159"/>
      <c r="WU84" s="159"/>
      <c r="WV84" s="159"/>
      <c r="WW84" s="159"/>
      <c r="WX84" s="159"/>
      <c r="WY84" s="159"/>
      <c r="WZ84" s="159"/>
      <c r="XA84" s="159"/>
      <c r="XB84" s="159"/>
      <c r="XC84" s="159"/>
      <c r="XD84" s="159"/>
      <c r="XE84" s="159"/>
      <c r="XF84" s="159"/>
      <c r="XG84" s="159"/>
      <c r="XH84" s="159"/>
      <c r="XI84" s="159"/>
      <c r="XJ84" s="159"/>
      <c r="XK84" s="159"/>
      <c r="XL84" s="159"/>
      <c r="XM84" s="159"/>
      <c r="XN84" s="159"/>
      <c r="XO84" s="159"/>
      <c r="XP84" s="159"/>
      <c r="XQ84" s="159"/>
      <c r="XR84" s="159"/>
      <c r="XS84" s="159"/>
      <c r="XT84" s="159"/>
      <c r="XU84" s="159"/>
      <c r="XV84" s="159"/>
      <c r="XW84" s="159"/>
      <c r="XX84" s="159"/>
      <c r="XY84" s="159"/>
      <c r="XZ84" s="159"/>
      <c r="YA84" s="159"/>
      <c r="YB84" s="159"/>
      <c r="YC84" s="159"/>
      <c r="YD84" s="159"/>
      <c r="YE84" s="159"/>
      <c r="YF84" s="159"/>
      <c r="YG84" s="159"/>
      <c r="YH84" s="159"/>
      <c r="YI84" s="159"/>
      <c r="YJ84" s="159"/>
      <c r="YK84" s="159"/>
      <c r="YL84" s="159"/>
      <c r="YM84" s="159"/>
      <c r="YN84" s="159"/>
      <c r="YO84" s="159"/>
      <c r="YP84" s="159"/>
      <c r="YQ84" s="159"/>
      <c r="YR84" s="159"/>
      <c r="YS84" s="159"/>
      <c r="YT84" s="159"/>
      <c r="YU84" s="159"/>
      <c r="YV84" s="159"/>
      <c r="YW84" s="159"/>
      <c r="YX84" s="159"/>
      <c r="YY84" s="159"/>
      <c r="YZ84" s="159"/>
      <c r="ZA84" s="159"/>
      <c r="ZB84" s="159"/>
      <c r="ZC84" s="159"/>
      <c r="ZD84" s="159"/>
      <c r="ZE84" s="159"/>
      <c r="ZF84" s="159"/>
      <c r="ZG84" s="159"/>
      <c r="ZH84" s="159"/>
      <c r="ZI84" s="159"/>
      <c r="ZJ84" s="159"/>
      <c r="ZK84" s="159"/>
      <c r="ZL84" s="159"/>
      <c r="ZM84" s="159"/>
      <c r="ZN84" s="159"/>
      <c r="ZO84" s="159"/>
      <c r="ZP84" s="159"/>
      <c r="ZQ84" s="159"/>
      <c r="ZR84" s="159"/>
      <c r="ZS84" s="159"/>
      <c r="ZT84" s="159"/>
      <c r="ZU84" s="159"/>
      <c r="ZV84" s="159"/>
      <c r="ZW84" s="159"/>
      <c r="ZX84" s="159"/>
      <c r="ZY84" s="159"/>
      <c r="ZZ84" s="159"/>
      <c r="AAA84" s="159"/>
      <c r="AAB84" s="159"/>
      <c r="AAC84" s="159"/>
      <c r="AAD84" s="159"/>
      <c r="AAE84" s="159"/>
      <c r="AAF84" s="159"/>
      <c r="AAG84" s="159"/>
      <c r="AAH84" s="159"/>
      <c r="AAI84" s="159"/>
      <c r="AAJ84" s="159"/>
      <c r="AAK84" s="159"/>
      <c r="AAL84" s="159"/>
      <c r="AAM84" s="159"/>
      <c r="AAN84" s="159"/>
      <c r="AAO84" s="159"/>
      <c r="AAP84" s="159"/>
      <c r="AAQ84" s="159"/>
      <c r="AAR84" s="159"/>
      <c r="AAS84" s="159"/>
      <c r="AAT84" s="159"/>
      <c r="AAU84" s="159"/>
      <c r="AAV84" s="159"/>
      <c r="AAW84" s="159"/>
      <c r="AAX84" s="159"/>
      <c r="AAY84" s="159"/>
      <c r="AAZ84" s="159"/>
      <c r="ABA84" s="159"/>
      <c r="ABB84" s="159"/>
      <c r="ABC84" s="159"/>
      <c r="ABD84" s="159"/>
      <c r="ABE84" s="159"/>
      <c r="ABF84" s="159"/>
      <c r="ABG84" s="159"/>
      <c r="ABH84" s="159"/>
      <c r="ABI84" s="159"/>
      <c r="ABJ84" s="159"/>
      <c r="ABK84" s="159"/>
      <c r="ABL84" s="159"/>
      <c r="ABM84" s="159"/>
      <c r="ABN84" s="159"/>
      <c r="ABO84" s="159"/>
      <c r="ABP84" s="159"/>
      <c r="ABQ84" s="159"/>
      <c r="ABR84" s="159"/>
      <c r="ABS84" s="159"/>
      <c r="ABT84" s="159"/>
      <c r="ABU84" s="159"/>
      <c r="ABV84" s="159"/>
      <c r="ABW84" s="159"/>
      <c r="ABX84" s="159"/>
      <c r="ABY84" s="159"/>
      <c r="ABZ84" s="159"/>
      <c r="ACA84" s="159"/>
      <c r="ACB84" s="159"/>
      <c r="ACC84" s="159"/>
      <c r="ACD84" s="159"/>
      <c r="ACE84" s="159"/>
      <c r="ACF84" s="159"/>
      <c r="ACG84" s="159"/>
      <c r="ACH84" s="159"/>
      <c r="ACI84" s="159"/>
      <c r="ACJ84" s="159"/>
      <c r="ACK84" s="159"/>
      <c r="ACL84" s="159"/>
      <c r="ACM84" s="159"/>
      <c r="ACN84" s="159"/>
      <c r="ACO84" s="159"/>
      <c r="ACP84" s="159"/>
      <c r="ACQ84" s="159"/>
      <c r="ACR84" s="159"/>
      <c r="ACS84" s="159"/>
      <c r="ACT84" s="159"/>
      <c r="ACU84" s="159"/>
      <c r="ACV84" s="159"/>
      <c r="ACW84" s="159"/>
      <c r="ACX84" s="159"/>
      <c r="ACY84" s="159"/>
      <c r="ACZ84" s="159"/>
      <c r="ADA84" s="159"/>
      <c r="ADB84" s="159"/>
      <c r="ADC84" s="159"/>
      <c r="ADD84" s="159"/>
      <c r="ADE84" s="159"/>
      <c r="ADF84" s="159"/>
      <c r="ADG84" s="159"/>
      <c r="ADH84" s="159"/>
      <c r="ADI84" s="159"/>
      <c r="ADJ84" s="159"/>
      <c r="ADK84" s="159"/>
      <c r="ADL84" s="159"/>
      <c r="ADM84" s="159"/>
      <c r="ADN84" s="159"/>
      <c r="ADO84" s="159"/>
      <c r="ADP84" s="159"/>
      <c r="ADQ84" s="159"/>
      <c r="ADR84" s="159"/>
      <c r="ADS84" s="159"/>
      <c r="ADT84" s="159"/>
      <c r="ADU84" s="159"/>
      <c r="ADV84" s="159"/>
      <c r="ADW84" s="159"/>
      <c r="ADX84" s="159"/>
      <c r="ADY84" s="159"/>
      <c r="ADZ84" s="159"/>
      <c r="AEA84" s="159"/>
      <c r="AEB84" s="159"/>
      <c r="AEC84" s="159"/>
      <c r="AED84" s="159"/>
      <c r="AEE84" s="159"/>
      <c r="AEF84" s="159"/>
      <c r="AEG84" s="159"/>
      <c r="AEH84" s="159"/>
      <c r="AEI84" s="159"/>
      <c r="AEJ84" s="159"/>
      <c r="AEK84" s="159"/>
      <c r="AEL84" s="159"/>
      <c r="AEM84" s="159"/>
      <c r="AEN84" s="159"/>
      <c r="AEO84" s="159"/>
      <c r="AEP84" s="159"/>
      <c r="AEQ84" s="159"/>
      <c r="AER84" s="159"/>
      <c r="AES84" s="159"/>
      <c r="AET84" s="159"/>
      <c r="AEU84" s="159"/>
      <c r="AEV84" s="159"/>
      <c r="AEW84" s="159"/>
      <c r="AEX84" s="159"/>
      <c r="AEY84" s="159"/>
      <c r="AEZ84" s="159"/>
      <c r="AFA84" s="159"/>
      <c r="AFB84" s="159"/>
      <c r="AFC84" s="159"/>
      <c r="AFD84" s="159"/>
      <c r="AFE84" s="159"/>
      <c r="AFF84" s="159"/>
      <c r="AFG84" s="159"/>
      <c r="AFH84" s="159"/>
      <c r="AFI84" s="159"/>
      <c r="AFJ84" s="159"/>
      <c r="AFK84" s="159"/>
      <c r="AFL84" s="159"/>
      <c r="AFM84" s="159"/>
      <c r="AFN84" s="159"/>
      <c r="AFO84" s="159"/>
      <c r="AFP84" s="159"/>
      <c r="AFQ84" s="159"/>
      <c r="AFR84" s="159"/>
      <c r="AFS84" s="159"/>
      <c r="AFT84" s="159"/>
      <c r="AFU84" s="159"/>
      <c r="AFV84" s="159"/>
      <c r="AFW84" s="159"/>
      <c r="AFX84" s="159"/>
      <c r="AFY84" s="159"/>
      <c r="AFZ84" s="159"/>
      <c r="AGA84" s="159"/>
      <c r="AGB84" s="159"/>
      <c r="AGC84" s="159"/>
      <c r="AGD84" s="159"/>
      <c r="AGE84" s="159"/>
      <c r="AGF84" s="159"/>
      <c r="AGG84" s="159"/>
      <c r="AGH84" s="159"/>
      <c r="AGI84" s="159"/>
      <c r="AGJ84" s="159"/>
      <c r="AGK84" s="159"/>
      <c r="AGL84" s="159"/>
      <c r="AGM84" s="159"/>
      <c r="AGN84" s="159"/>
      <c r="AGO84" s="159"/>
      <c r="AGP84" s="159"/>
      <c r="AGQ84" s="159"/>
      <c r="AGR84" s="159"/>
      <c r="AGS84" s="159"/>
      <c r="AGT84" s="159"/>
      <c r="AGU84" s="159"/>
      <c r="AGV84" s="159"/>
      <c r="AGW84" s="159"/>
      <c r="AGX84" s="159"/>
      <c r="AGY84" s="159"/>
      <c r="AGZ84" s="159"/>
      <c r="AHA84" s="159"/>
      <c r="AHB84" s="159"/>
      <c r="AHC84" s="159"/>
      <c r="AHD84" s="159"/>
      <c r="AHE84" s="159"/>
      <c r="AHF84" s="159"/>
      <c r="AHG84" s="159"/>
      <c r="AHH84" s="159"/>
      <c r="AHI84" s="159"/>
      <c r="AHJ84" s="159"/>
      <c r="AHK84" s="159"/>
      <c r="AHL84" s="159"/>
      <c r="AHM84" s="159"/>
      <c r="AHN84" s="159"/>
      <c r="AHO84" s="159"/>
      <c r="AHP84" s="159"/>
      <c r="AHQ84" s="159"/>
      <c r="AHR84" s="159"/>
      <c r="AHS84" s="159"/>
      <c r="AHT84" s="159"/>
      <c r="AHU84" s="159"/>
      <c r="AHV84" s="159"/>
      <c r="AHW84" s="159"/>
      <c r="AHX84" s="159"/>
      <c r="AHY84" s="159"/>
      <c r="AHZ84" s="159"/>
      <c r="AIA84" s="159"/>
      <c r="AIB84" s="159"/>
      <c r="AIC84" s="159"/>
      <c r="AID84" s="159"/>
      <c r="AIE84" s="159"/>
      <c r="AIF84" s="159"/>
      <c r="AIG84" s="159"/>
      <c r="AIH84" s="159"/>
      <c r="AII84" s="159"/>
      <c r="AIJ84" s="159"/>
      <c r="AIK84" s="159"/>
      <c r="AIL84" s="159"/>
      <c r="AIM84" s="159"/>
      <c r="AIN84" s="159"/>
      <c r="AIO84" s="159"/>
      <c r="AIP84" s="159"/>
      <c r="AIQ84" s="159"/>
      <c r="AIR84" s="159"/>
      <c r="AIS84" s="159"/>
      <c r="AIT84" s="159"/>
      <c r="AIU84" s="159"/>
      <c r="AIV84" s="159"/>
      <c r="AIW84" s="159"/>
      <c r="AIX84" s="159"/>
      <c r="AIY84" s="159"/>
      <c r="AIZ84" s="159"/>
      <c r="AJA84" s="159"/>
      <c r="AJB84" s="159"/>
      <c r="AJC84" s="159"/>
      <c r="AJD84" s="159"/>
      <c r="AJE84" s="159"/>
      <c r="AJF84" s="159"/>
      <c r="AJG84" s="159"/>
      <c r="AJH84" s="159"/>
      <c r="AJI84" s="159"/>
      <c r="AJJ84" s="159"/>
      <c r="AJK84" s="159"/>
      <c r="AJL84" s="159"/>
      <c r="AJM84" s="159"/>
      <c r="AJN84" s="159"/>
      <c r="AJO84" s="159"/>
      <c r="AJP84" s="159"/>
      <c r="AJQ84" s="159"/>
      <c r="AJR84" s="159"/>
      <c r="AJS84" s="159"/>
      <c r="AJT84" s="159"/>
      <c r="AJU84" s="159"/>
      <c r="AJV84" s="159"/>
      <c r="AJW84" s="159"/>
      <c r="AJX84" s="159"/>
      <c r="AJY84" s="159"/>
      <c r="AJZ84" s="159"/>
      <c r="AKA84" s="159"/>
      <c r="AKB84" s="159"/>
      <c r="AKC84" s="159"/>
      <c r="AKD84" s="159"/>
      <c r="AKE84" s="159"/>
      <c r="AKF84" s="159"/>
      <c r="AKG84" s="159"/>
      <c r="AKH84" s="159"/>
      <c r="AKI84" s="159"/>
      <c r="AKJ84" s="159"/>
      <c r="AKK84" s="159"/>
      <c r="AKL84" s="159"/>
      <c r="AKM84" s="159"/>
      <c r="AKN84" s="159"/>
      <c r="AKO84" s="159"/>
      <c r="AKP84" s="159"/>
      <c r="AKQ84" s="159"/>
      <c r="AKR84" s="159"/>
      <c r="AKS84" s="159"/>
      <c r="AKT84" s="159"/>
      <c r="AKU84" s="159"/>
      <c r="AKV84" s="159"/>
      <c r="AKW84" s="159"/>
      <c r="AKX84" s="159"/>
      <c r="AKY84" s="159"/>
      <c r="AKZ84" s="159"/>
      <c r="ALA84" s="159"/>
      <c r="ALB84" s="159"/>
      <c r="ALC84" s="159"/>
      <c r="ALD84" s="159"/>
      <c r="ALE84" s="159"/>
      <c r="ALF84" s="159"/>
      <c r="ALG84" s="159"/>
      <c r="ALH84" s="159"/>
      <c r="ALI84" s="159"/>
      <c r="ALJ84" s="159"/>
      <c r="ALK84" s="159"/>
      <c r="ALL84" s="159"/>
      <c r="ALM84" s="159"/>
      <c r="ALN84" s="159"/>
      <c r="ALO84" s="159"/>
      <c r="ALP84" s="159"/>
      <c r="ALQ84" s="159"/>
      <c r="ALR84" s="159"/>
      <c r="ALS84" s="159"/>
      <c r="ALT84" s="159"/>
      <c r="ALU84" s="159"/>
      <c r="ALV84" s="159"/>
      <c r="ALW84" s="159"/>
      <c r="ALX84" s="159"/>
      <c r="ALY84" s="159"/>
      <c r="ALZ84" s="159"/>
      <c r="AMA84" s="159"/>
      <c r="AMB84" s="159"/>
      <c r="AMC84" s="159"/>
      <c r="AMD84" s="159"/>
      <c r="AME84" s="159"/>
      <c r="AMF84" s="159"/>
      <c r="AMG84" s="159"/>
      <c r="AMH84" s="159"/>
      <c r="AMI84" s="159"/>
      <c r="AMJ84" s="159"/>
      <c r="AMK84" s="159"/>
      <c r="AML84" s="159"/>
      <c r="AMM84" s="159"/>
      <c r="AMN84" s="159"/>
      <c r="AMO84" s="159"/>
    </row>
    <row r="85" spans="1:1029" s="161" customFormat="1" ht="25.5" x14ac:dyDescent="0.25">
      <c r="A85" s="138">
        <v>46140</v>
      </c>
      <c r="B85" s="99" t="s">
        <v>105</v>
      </c>
      <c r="C85" s="99" t="s">
        <v>77</v>
      </c>
      <c r="D85" s="160" t="s">
        <v>52</v>
      </c>
      <c r="E85" s="118" t="s">
        <v>29</v>
      </c>
      <c r="F85" s="99" t="s">
        <v>125</v>
      </c>
      <c r="G85" s="99" t="s">
        <v>31</v>
      </c>
      <c r="H85" s="141" t="b">
        <f t="shared" si="8"/>
        <v>0</v>
      </c>
      <c r="I85" s="118" t="s">
        <v>66</v>
      </c>
      <c r="J85" s="99" t="s">
        <v>38</v>
      </c>
      <c r="K85" s="99" t="s">
        <v>31</v>
      </c>
      <c r="L85" s="141" t="b">
        <f t="shared" si="9"/>
        <v>0</v>
      </c>
      <c r="M85" s="120" t="s">
        <v>29</v>
      </c>
      <c r="N85" s="121" t="s">
        <v>12</v>
      </c>
      <c r="O85" s="121" t="s">
        <v>90</v>
      </c>
      <c r="P85" s="141" t="b">
        <f t="shared" si="10"/>
        <v>0</v>
      </c>
      <c r="Q85" s="149" t="str">
        <f>I85</f>
        <v>Käseknödel</v>
      </c>
      <c r="R85" s="99" t="str">
        <f>N85</f>
        <v>Truthahnbraten</v>
      </c>
      <c r="S85" s="99" t="str">
        <f>G85</f>
        <v>Pommes</v>
      </c>
      <c r="T85" s="141" t="b">
        <f t="shared" si="11"/>
        <v>0</v>
      </c>
      <c r="U85" s="159"/>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59"/>
      <c r="AT85" s="159"/>
      <c r="AU85" s="159"/>
      <c r="AV85" s="159"/>
      <c r="AW85" s="159"/>
      <c r="AX85" s="159"/>
      <c r="AY85" s="159"/>
      <c r="AZ85" s="159"/>
      <c r="BA85" s="159"/>
      <c r="BB85" s="159"/>
      <c r="BC85" s="159"/>
      <c r="BD85" s="159"/>
      <c r="BE85" s="159"/>
      <c r="BF85" s="159"/>
      <c r="BG85" s="159"/>
      <c r="BH85" s="159"/>
      <c r="BI85" s="159"/>
      <c r="BJ85" s="159"/>
      <c r="BK85" s="159"/>
      <c r="BL85" s="159"/>
      <c r="BM85" s="159"/>
      <c r="BN85" s="159"/>
      <c r="BO85" s="159"/>
      <c r="BP85" s="159"/>
      <c r="BQ85" s="159"/>
      <c r="BR85" s="159"/>
      <c r="BS85" s="159"/>
      <c r="BT85" s="159"/>
      <c r="BU85" s="159"/>
      <c r="BV85" s="159"/>
      <c r="BW85" s="159"/>
      <c r="BX85" s="159"/>
      <c r="BY85" s="159"/>
      <c r="BZ85" s="159"/>
      <c r="CA85" s="159"/>
      <c r="CB85" s="159"/>
      <c r="CC85" s="159"/>
      <c r="CD85" s="159"/>
      <c r="CE85" s="159"/>
      <c r="CF85" s="159"/>
      <c r="CG85" s="159"/>
      <c r="CH85" s="159"/>
      <c r="CI85" s="159"/>
      <c r="CJ85" s="159"/>
      <c r="CK85" s="159"/>
      <c r="CL85" s="159"/>
      <c r="CM85" s="159"/>
      <c r="CN85" s="159"/>
      <c r="CO85" s="159"/>
      <c r="CP85" s="159"/>
      <c r="CQ85" s="159"/>
      <c r="CR85" s="159"/>
      <c r="CS85" s="159"/>
      <c r="CT85" s="159"/>
      <c r="CU85" s="159"/>
      <c r="CV85" s="159"/>
      <c r="CW85" s="159"/>
      <c r="CX85" s="159"/>
      <c r="CY85" s="159"/>
      <c r="CZ85" s="159"/>
      <c r="DA85" s="159"/>
      <c r="DB85" s="159"/>
      <c r="DC85" s="159"/>
      <c r="DD85" s="159"/>
      <c r="DE85" s="159"/>
      <c r="DF85" s="159"/>
      <c r="DG85" s="159"/>
      <c r="DH85" s="159"/>
      <c r="DI85" s="159"/>
      <c r="DJ85" s="159"/>
      <c r="DK85" s="159"/>
      <c r="DL85" s="159"/>
      <c r="DM85" s="159"/>
      <c r="DN85" s="159"/>
      <c r="DO85" s="159"/>
      <c r="DP85" s="159"/>
      <c r="DQ85" s="159"/>
      <c r="DR85" s="159"/>
      <c r="DS85" s="159"/>
      <c r="DT85" s="159"/>
      <c r="DU85" s="159"/>
      <c r="DV85" s="159"/>
      <c r="DW85" s="159"/>
      <c r="DX85" s="159"/>
      <c r="DY85" s="159"/>
      <c r="DZ85" s="159"/>
      <c r="EA85" s="159"/>
      <c r="EB85" s="159"/>
      <c r="EC85" s="159"/>
      <c r="ED85" s="159"/>
      <c r="EE85" s="159"/>
      <c r="EF85" s="159"/>
      <c r="EG85" s="159"/>
      <c r="EH85" s="159"/>
      <c r="EI85" s="159"/>
      <c r="EJ85" s="159"/>
      <c r="EK85" s="159"/>
      <c r="EL85" s="159"/>
      <c r="EM85" s="159"/>
      <c r="EN85" s="159"/>
      <c r="EO85" s="159"/>
      <c r="EP85" s="159"/>
      <c r="EQ85" s="159"/>
      <c r="ER85" s="159"/>
      <c r="ES85" s="159"/>
      <c r="ET85" s="159"/>
      <c r="EU85" s="159"/>
      <c r="EV85" s="159"/>
      <c r="EW85" s="159"/>
      <c r="EX85" s="159"/>
      <c r="EY85" s="159"/>
      <c r="EZ85" s="159"/>
      <c r="FA85" s="159"/>
      <c r="FB85" s="159"/>
      <c r="FC85" s="159"/>
      <c r="FD85" s="159"/>
      <c r="FE85" s="159"/>
      <c r="FF85" s="159"/>
      <c r="FG85" s="159"/>
      <c r="FH85" s="159"/>
      <c r="FI85" s="159"/>
      <c r="FJ85" s="159"/>
      <c r="FK85" s="159"/>
      <c r="FL85" s="159"/>
      <c r="FM85" s="159"/>
      <c r="FN85" s="159"/>
      <c r="FO85" s="159"/>
      <c r="FP85" s="159"/>
      <c r="FQ85" s="159"/>
      <c r="FR85" s="159"/>
      <c r="FS85" s="159"/>
      <c r="FT85" s="159"/>
      <c r="FU85" s="159"/>
      <c r="FV85" s="159"/>
      <c r="FW85" s="159"/>
      <c r="FX85" s="159"/>
      <c r="FY85" s="159"/>
      <c r="FZ85" s="159"/>
      <c r="GA85" s="159"/>
      <c r="GB85" s="159"/>
      <c r="GC85" s="159"/>
      <c r="GD85" s="159"/>
      <c r="GE85" s="159"/>
      <c r="GF85" s="159"/>
      <c r="GG85" s="159"/>
      <c r="GH85" s="159"/>
      <c r="GI85" s="159"/>
      <c r="GJ85" s="159"/>
      <c r="GK85" s="159"/>
      <c r="GL85" s="159"/>
      <c r="GM85" s="159"/>
      <c r="GN85" s="159"/>
      <c r="GO85" s="159"/>
      <c r="GP85" s="159"/>
      <c r="GQ85" s="159"/>
      <c r="GR85" s="159"/>
      <c r="GS85" s="159"/>
      <c r="GT85" s="159"/>
      <c r="GU85" s="159"/>
      <c r="GV85" s="159"/>
      <c r="GW85" s="159"/>
      <c r="GX85" s="159"/>
      <c r="GY85" s="159"/>
      <c r="GZ85" s="159"/>
      <c r="HA85" s="159"/>
      <c r="HB85" s="159"/>
      <c r="HC85" s="159"/>
      <c r="HD85" s="159"/>
      <c r="HE85" s="159"/>
      <c r="HF85" s="159"/>
      <c r="HG85" s="159"/>
      <c r="HH85" s="159"/>
      <c r="HI85" s="159"/>
      <c r="HJ85" s="159"/>
      <c r="HK85" s="159"/>
      <c r="HL85" s="159"/>
      <c r="HM85" s="159"/>
      <c r="HN85" s="159"/>
      <c r="HO85" s="159"/>
      <c r="HP85" s="159"/>
      <c r="HQ85" s="159"/>
      <c r="HR85" s="159"/>
      <c r="HS85" s="159"/>
      <c r="HT85" s="159"/>
      <c r="HU85" s="159"/>
      <c r="HV85" s="159"/>
      <c r="HW85" s="159"/>
      <c r="HX85" s="159"/>
      <c r="HY85" s="159"/>
      <c r="HZ85" s="159"/>
      <c r="IA85" s="159"/>
      <c r="IB85" s="159"/>
      <c r="IC85" s="159"/>
      <c r="ID85" s="159"/>
      <c r="IE85" s="159"/>
      <c r="IF85" s="159"/>
      <c r="IG85" s="159"/>
      <c r="IH85" s="159"/>
      <c r="II85" s="159"/>
      <c r="IJ85" s="159"/>
      <c r="IK85" s="159"/>
      <c r="IL85" s="159"/>
      <c r="IM85" s="159"/>
      <c r="IN85" s="159"/>
      <c r="IO85" s="159"/>
      <c r="IP85" s="159"/>
      <c r="IQ85" s="159"/>
      <c r="IR85" s="159"/>
      <c r="IS85" s="159"/>
      <c r="IT85" s="159"/>
      <c r="IU85" s="159"/>
      <c r="IV85" s="159"/>
      <c r="IW85" s="159"/>
      <c r="IX85" s="159"/>
      <c r="IY85" s="159"/>
      <c r="IZ85" s="159"/>
      <c r="JA85" s="159"/>
      <c r="JB85" s="159"/>
      <c r="JC85" s="159"/>
      <c r="JD85" s="159"/>
      <c r="JE85" s="159"/>
      <c r="JF85" s="159"/>
      <c r="JG85" s="159"/>
      <c r="JH85" s="159"/>
      <c r="JI85" s="159"/>
      <c r="JJ85" s="159"/>
      <c r="JK85" s="159"/>
      <c r="JL85" s="159"/>
      <c r="JM85" s="159"/>
      <c r="JN85" s="159"/>
      <c r="JO85" s="159"/>
      <c r="JP85" s="159"/>
      <c r="JQ85" s="159"/>
      <c r="JR85" s="159"/>
      <c r="JS85" s="159"/>
      <c r="JT85" s="159"/>
      <c r="JU85" s="159"/>
      <c r="JV85" s="159"/>
      <c r="JW85" s="159"/>
      <c r="JX85" s="159"/>
      <c r="JY85" s="159"/>
      <c r="JZ85" s="159"/>
      <c r="KA85" s="159"/>
      <c r="KB85" s="159"/>
      <c r="KC85" s="159"/>
      <c r="KD85" s="159"/>
      <c r="KE85" s="159"/>
      <c r="KF85" s="159"/>
      <c r="KG85" s="159"/>
      <c r="KH85" s="159"/>
      <c r="KI85" s="159"/>
      <c r="KJ85" s="159"/>
      <c r="KK85" s="159"/>
      <c r="KL85" s="159"/>
      <c r="KM85" s="159"/>
      <c r="KN85" s="159"/>
      <c r="KO85" s="159"/>
      <c r="KP85" s="159"/>
      <c r="KQ85" s="159"/>
      <c r="KR85" s="159"/>
      <c r="KS85" s="159"/>
      <c r="KT85" s="159"/>
      <c r="KU85" s="159"/>
      <c r="KV85" s="159"/>
      <c r="KW85" s="159"/>
      <c r="KX85" s="159"/>
      <c r="KY85" s="159"/>
      <c r="KZ85" s="159"/>
      <c r="LA85" s="159"/>
      <c r="LB85" s="159"/>
      <c r="LC85" s="159"/>
      <c r="LD85" s="159"/>
      <c r="LE85" s="159"/>
      <c r="LF85" s="159"/>
      <c r="LG85" s="159"/>
      <c r="LH85" s="159"/>
      <c r="LI85" s="159"/>
      <c r="LJ85" s="159"/>
      <c r="LK85" s="159"/>
      <c r="LL85" s="159"/>
      <c r="LM85" s="159"/>
      <c r="LN85" s="159"/>
      <c r="LO85" s="159"/>
      <c r="LP85" s="159"/>
      <c r="LQ85" s="159"/>
      <c r="LR85" s="159"/>
      <c r="LS85" s="159"/>
      <c r="LT85" s="159"/>
      <c r="LU85" s="159"/>
      <c r="LV85" s="159"/>
      <c r="LW85" s="159"/>
      <c r="LX85" s="159"/>
      <c r="LY85" s="159"/>
      <c r="LZ85" s="159"/>
      <c r="MA85" s="159"/>
      <c r="MB85" s="159"/>
      <c r="MC85" s="159"/>
      <c r="MD85" s="159"/>
      <c r="ME85" s="159"/>
      <c r="MF85" s="159"/>
      <c r="MG85" s="159"/>
      <c r="MH85" s="159"/>
      <c r="MI85" s="159"/>
      <c r="MJ85" s="159"/>
      <c r="MK85" s="159"/>
      <c r="ML85" s="159"/>
      <c r="MM85" s="159"/>
      <c r="MN85" s="159"/>
      <c r="MO85" s="159"/>
      <c r="MP85" s="159"/>
      <c r="MQ85" s="159"/>
      <c r="MR85" s="159"/>
      <c r="MS85" s="159"/>
      <c r="MT85" s="159"/>
      <c r="MU85" s="159"/>
      <c r="MV85" s="159"/>
      <c r="MW85" s="159"/>
      <c r="MX85" s="159"/>
      <c r="MY85" s="159"/>
      <c r="MZ85" s="159"/>
      <c r="NA85" s="159"/>
      <c r="NB85" s="159"/>
      <c r="NC85" s="159"/>
      <c r="ND85" s="159"/>
      <c r="NE85" s="159"/>
      <c r="NF85" s="159"/>
      <c r="NG85" s="159"/>
      <c r="NH85" s="159"/>
      <c r="NI85" s="159"/>
      <c r="NJ85" s="159"/>
      <c r="NK85" s="159"/>
      <c r="NL85" s="159"/>
      <c r="NM85" s="159"/>
      <c r="NN85" s="159"/>
      <c r="NO85" s="159"/>
      <c r="NP85" s="159"/>
      <c r="NQ85" s="159"/>
      <c r="NR85" s="159"/>
      <c r="NS85" s="159"/>
      <c r="NT85" s="159"/>
      <c r="NU85" s="159"/>
      <c r="NV85" s="159"/>
      <c r="NW85" s="159"/>
      <c r="NX85" s="159"/>
      <c r="NY85" s="159"/>
      <c r="NZ85" s="159"/>
      <c r="OA85" s="159"/>
      <c r="OB85" s="159"/>
      <c r="OC85" s="159"/>
      <c r="OD85" s="159"/>
      <c r="OE85" s="159"/>
      <c r="OF85" s="159"/>
      <c r="OG85" s="159"/>
      <c r="OH85" s="159"/>
      <c r="OI85" s="159"/>
      <c r="OJ85" s="159"/>
      <c r="OK85" s="159"/>
      <c r="OL85" s="159"/>
      <c r="OM85" s="159"/>
      <c r="ON85" s="159"/>
      <c r="OO85" s="159"/>
      <c r="OP85" s="159"/>
      <c r="OQ85" s="159"/>
      <c r="OR85" s="159"/>
      <c r="OS85" s="159"/>
      <c r="OT85" s="159"/>
      <c r="OU85" s="159"/>
      <c r="OV85" s="159"/>
      <c r="OW85" s="159"/>
      <c r="OX85" s="159"/>
      <c r="OY85" s="159"/>
      <c r="OZ85" s="159"/>
      <c r="PA85" s="159"/>
      <c r="PB85" s="159"/>
      <c r="PC85" s="159"/>
      <c r="PD85" s="159"/>
      <c r="PE85" s="159"/>
      <c r="PF85" s="159"/>
      <c r="PG85" s="159"/>
      <c r="PH85" s="159"/>
      <c r="PI85" s="159"/>
      <c r="PJ85" s="159"/>
      <c r="PK85" s="159"/>
      <c r="PL85" s="159"/>
      <c r="PM85" s="159"/>
      <c r="PN85" s="159"/>
      <c r="PO85" s="159"/>
      <c r="PP85" s="159"/>
      <c r="PQ85" s="159"/>
      <c r="PR85" s="159"/>
      <c r="PS85" s="159"/>
      <c r="PT85" s="159"/>
      <c r="PU85" s="159"/>
      <c r="PV85" s="159"/>
      <c r="PW85" s="159"/>
      <c r="PX85" s="159"/>
      <c r="PY85" s="159"/>
      <c r="PZ85" s="159"/>
      <c r="QA85" s="159"/>
      <c r="QB85" s="159"/>
      <c r="QC85" s="159"/>
      <c r="QD85" s="159"/>
      <c r="QE85" s="159"/>
      <c r="QF85" s="159"/>
      <c r="QG85" s="159"/>
      <c r="QH85" s="159"/>
      <c r="QI85" s="159"/>
      <c r="QJ85" s="159"/>
      <c r="QK85" s="159"/>
      <c r="QL85" s="159"/>
      <c r="QM85" s="159"/>
      <c r="QN85" s="159"/>
      <c r="QO85" s="159"/>
      <c r="QP85" s="159"/>
      <c r="QQ85" s="159"/>
      <c r="QR85" s="159"/>
      <c r="QS85" s="159"/>
      <c r="QT85" s="159"/>
      <c r="QU85" s="159"/>
      <c r="QV85" s="159"/>
      <c r="QW85" s="159"/>
      <c r="QX85" s="159"/>
      <c r="QY85" s="159"/>
      <c r="QZ85" s="159"/>
      <c r="RA85" s="159"/>
      <c r="RB85" s="159"/>
      <c r="RC85" s="159"/>
      <c r="RD85" s="159"/>
      <c r="RE85" s="159"/>
      <c r="RF85" s="159"/>
      <c r="RG85" s="159"/>
      <c r="RH85" s="159"/>
      <c r="RI85" s="159"/>
      <c r="RJ85" s="159"/>
      <c r="RK85" s="159"/>
      <c r="RL85" s="159"/>
      <c r="RM85" s="159"/>
      <c r="RN85" s="159"/>
      <c r="RO85" s="159"/>
      <c r="RP85" s="159"/>
      <c r="RQ85" s="159"/>
      <c r="RR85" s="159"/>
      <c r="RS85" s="159"/>
      <c r="RT85" s="159"/>
      <c r="RU85" s="159"/>
      <c r="RV85" s="159"/>
      <c r="RW85" s="159"/>
      <c r="RX85" s="159"/>
      <c r="RY85" s="159"/>
      <c r="RZ85" s="159"/>
      <c r="SA85" s="159"/>
      <c r="SB85" s="159"/>
      <c r="SC85" s="159"/>
      <c r="SD85" s="159"/>
      <c r="SE85" s="159"/>
      <c r="SF85" s="159"/>
      <c r="SG85" s="159"/>
      <c r="SH85" s="159"/>
      <c r="SI85" s="159"/>
      <c r="SJ85" s="159"/>
      <c r="SK85" s="159"/>
      <c r="SL85" s="159"/>
      <c r="SM85" s="159"/>
      <c r="SN85" s="159"/>
      <c r="SO85" s="159"/>
      <c r="SP85" s="159"/>
      <c r="SQ85" s="159"/>
      <c r="SR85" s="159"/>
      <c r="SS85" s="159"/>
      <c r="ST85" s="159"/>
      <c r="SU85" s="159"/>
      <c r="SV85" s="159"/>
      <c r="SW85" s="159"/>
      <c r="SX85" s="159"/>
      <c r="SY85" s="159"/>
      <c r="SZ85" s="159"/>
      <c r="TA85" s="159"/>
      <c r="TB85" s="159"/>
      <c r="TC85" s="159"/>
      <c r="TD85" s="159"/>
      <c r="TE85" s="159"/>
      <c r="TF85" s="159"/>
      <c r="TG85" s="159"/>
      <c r="TH85" s="159"/>
      <c r="TI85" s="159"/>
      <c r="TJ85" s="159"/>
      <c r="TK85" s="159"/>
      <c r="TL85" s="159"/>
      <c r="TM85" s="159"/>
      <c r="TN85" s="159"/>
      <c r="TO85" s="159"/>
      <c r="TP85" s="159"/>
      <c r="TQ85" s="159"/>
      <c r="TR85" s="159"/>
      <c r="TS85" s="159"/>
      <c r="TT85" s="159"/>
      <c r="TU85" s="159"/>
      <c r="TV85" s="159"/>
      <c r="TW85" s="159"/>
      <c r="TX85" s="159"/>
      <c r="TY85" s="159"/>
      <c r="TZ85" s="159"/>
      <c r="UA85" s="159"/>
      <c r="UB85" s="159"/>
      <c r="UC85" s="159"/>
      <c r="UD85" s="159"/>
      <c r="UE85" s="159"/>
      <c r="UF85" s="159"/>
      <c r="UG85" s="159"/>
      <c r="UH85" s="159"/>
      <c r="UI85" s="159"/>
      <c r="UJ85" s="159"/>
      <c r="UK85" s="159"/>
      <c r="UL85" s="159"/>
      <c r="UM85" s="159"/>
      <c r="UN85" s="159"/>
      <c r="UO85" s="159"/>
      <c r="UP85" s="159"/>
      <c r="UQ85" s="159"/>
      <c r="UR85" s="159"/>
      <c r="US85" s="159"/>
      <c r="UT85" s="159"/>
      <c r="UU85" s="159"/>
      <c r="UV85" s="159"/>
      <c r="UW85" s="159"/>
      <c r="UX85" s="159"/>
      <c r="UY85" s="159"/>
      <c r="UZ85" s="159"/>
      <c r="VA85" s="159"/>
      <c r="VB85" s="159"/>
      <c r="VC85" s="159"/>
      <c r="VD85" s="159"/>
      <c r="VE85" s="159"/>
      <c r="VF85" s="159"/>
      <c r="VG85" s="159"/>
      <c r="VH85" s="159"/>
      <c r="VI85" s="159"/>
      <c r="VJ85" s="159"/>
      <c r="VK85" s="159"/>
      <c r="VL85" s="159"/>
      <c r="VM85" s="159"/>
      <c r="VN85" s="159"/>
      <c r="VO85" s="159"/>
      <c r="VP85" s="159"/>
      <c r="VQ85" s="159"/>
      <c r="VR85" s="159"/>
      <c r="VS85" s="159"/>
      <c r="VT85" s="159"/>
      <c r="VU85" s="159"/>
      <c r="VV85" s="159"/>
      <c r="VW85" s="159"/>
      <c r="VX85" s="159"/>
      <c r="VY85" s="159"/>
      <c r="VZ85" s="159"/>
      <c r="WA85" s="159"/>
      <c r="WB85" s="159"/>
      <c r="WC85" s="159"/>
      <c r="WD85" s="159"/>
      <c r="WE85" s="159"/>
      <c r="WF85" s="159"/>
      <c r="WG85" s="159"/>
      <c r="WH85" s="159"/>
      <c r="WI85" s="159"/>
      <c r="WJ85" s="159"/>
      <c r="WK85" s="159"/>
      <c r="WL85" s="159"/>
      <c r="WM85" s="159"/>
      <c r="WN85" s="159"/>
      <c r="WO85" s="159"/>
      <c r="WP85" s="159"/>
      <c r="WQ85" s="159"/>
      <c r="WR85" s="159"/>
      <c r="WS85" s="159"/>
      <c r="WT85" s="159"/>
      <c r="WU85" s="159"/>
      <c r="WV85" s="159"/>
      <c r="WW85" s="159"/>
      <c r="WX85" s="159"/>
      <c r="WY85" s="159"/>
      <c r="WZ85" s="159"/>
      <c r="XA85" s="159"/>
      <c r="XB85" s="159"/>
      <c r="XC85" s="159"/>
      <c r="XD85" s="159"/>
      <c r="XE85" s="159"/>
      <c r="XF85" s="159"/>
      <c r="XG85" s="159"/>
      <c r="XH85" s="159"/>
      <c r="XI85" s="159"/>
      <c r="XJ85" s="159"/>
      <c r="XK85" s="159"/>
      <c r="XL85" s="159"/>
      <c r="XM85" s="159"/>
      <c r="XN85" s="159"/>
      <c r="XO85" s="159"/>
      <c r="XP85" s="159"/>
      <c r="XQ85" s="159"/>
      <c r="XR85" s="159"/>
      <c r="XS85" s="159"/>
      <c r="XT85" s="159"/>
      <c r="XU85" s="159"/>
      <c r="XV85" s="159"/>
      <c r="XW85" s="159"/>
      <c r="XX85" s="159"/>
      <c r="XY85" s="159"/>
      <c r="XZ85" s="159"/>
      <c r="YA85" s="159"/>
      <c r="YB85" s="159"/>
      <c r="YC85" s="159"/>
      <c r="YD85" s="159"/>
      <c r="YE85" s="159"/>
      <c r="YF85" s="159"/>
      <c r="YG85" s="159"/>
      <c r="YH85" s="159"/>
      <c r="YI85" s="159"/>
      <c r="YJ85" s="159"/>
      <c r="YK85" s="159"/>
      <c r="YL85" s="159"/>
      <c r="YM85" s="159"/>
      <c r="YN85" s="159"/>
      <c r="YO85" s="159"/>
      <c r="YP85" s="159"/>
      <c r="YQ85" s="159"/>
      <c r="YR85" s="159"/>
      <c r="YS85" s="159"/>
      <c r="YT85" s="159"/>
      <c r="YU85" s="159"/>
      <c r="YV85" s="159"/>
      <c r="YW85" s="159"/>
      <c r="YX85" s="159"/>
      <c r="YY85" s="159"/>
      <c r="YZ85" s="159"/>
      <c r="ZA85" s="159"/>
      <c r="ZB85" s="159"/>
      <c r="ZC85" s="159"/>
      <c r="ZD85" s="159"/>
      <c r="ZE85" s="159"/>
      <c r="ZF85" s="159"/>
      <c r="ZG85" s="159"/>
      <c r="ZH85" s="159"/>
      <c r="ZI85" s="159"/>
      <c r="ZJ85" s="159"/>
      <c r="ZK85" s="159"/>
      <c r="ZL85" s="159"/>
      <c r="ZM85" s="159"/>
      <c r="ZN85" s="159"/>
      <c r="ZO85" s="159"/>
      <c r="ZP85" s="159"/>
      <c r="ZQ85" s="159"/>
      <c r="ZR85" s="159"/>
      <c r="ZS85" s="159"/>
      <c r="ZT85" s="159"/>
      <c r="ZU85" s="159"/>
      <c r="ZV85" s="159"/>
      <c r="ZW85" s="159"/>
      <c r="ZX85" s="159"/>
      <c r="ZY85" s="159"/>
      <c r="ZZ85" s="159"/>
      <c r="AAA85" s="159"/>
      <c r="AAB85" s="159"/>
      <c r="AAC85" s="159"/>
      <c r="AAD85" s="159"/>
      <c r="AAE85" s="159"/>
      <c r="AAF85" s="159"/>
      <c r="AAG85" s="159"/>
      <c r="AAH85" s="159"/>
      <c r="AAI85" s="159"/>
      <c r="AAJ85" s="159"/>
      <c r="AAK85" s="159"/>
      <c r="AAL85" s="159"/>
      <c r="AAM85" s="159"/>
      <c r="AAN85" s="159"/>
      <c r="AAO85" s="159"/>
      <c r="AAP85" s="159"/>
      <c r="AAQ85" s="159"/>
      <c r="AAR85" s="159"/>
      <c r="AAS85" s="159"/>
      <c r="AAT85" s="159"/>
      <c r="AAU85" s="159"/>
      <c r="AAV85" s="159"/>
      <c r="AAW85" s="159"/>
      <c r="AAX85" s="159"/>
      <c r="AAY85" s="159"/>
      <c r="AAZ85" s="159"/>
      <c r="ABA85" s="159"/>
      <c r="ABB85" s="159"/>
      <c r="ABC85" s="159"/>
      <c r="ABD85" s="159"/>
      <c r="ABE85" s="159"/>
      <c r="ABF85" s="159"/>
      <c r="ABG85" s="159"/>
      <c r="ABH85" s="159"/>
      <c r="ABI85" s="159"/>
      <c r="ABJ85" s="159"/>
      <c r="ABK85" s="159"/>
      <c r="ABL85" s="159"/>
      <c r="ABM85" s="159"/>
      <c r="ABN85" s="159"/>
      <c r="ABO85" s="159"/>
      <c r="ABP85" s="159"/>
      <c r="ABQ85" s="159"/>
      <c r="ABR85" s="159"/>
      <c r="ABS85" s="159"/>
      <c r="ABT85" s="159"/>
      <c r="ABU85" s="159"/>
      <c r="ABV85" s="159"/>
      <c r="ABW85" s="159"/>
      <c r="ABX85" s="159"/>
      <c r="ABY85" s="159"/>
      <c r="ABZ85" s="159"/>
      <c r="ACA85" s="159"/>
      <c r="ACB85" s="159"/>
      <c r="ACC85" s="159"/>
      <c r="ACD85" s="159"/>
      <c r="ACE85" s="159"/>
      <c r="ACF85" s="159"/>
      <c r="ACG85" s="159"/>
      <c r="ACH85" s="159"/>
      <c r="ACI85" s="159"/>
      <c r="ACJ85" s="159"/>
      <c r="ACK85" s="159"/>
      <c r="ACL85" s="159"/>
      <c r="ACM85" s="159"/>
      <c r="ACN85" s="159"/>
      <c r="ACO85" s="159"/>
      <c r="ACP85" s="159"/>
      <c r="ACQ85" s="159"/>
      <c r="ACR85" s="159"/>
      <c r="ACS85" s="159"/>
      <c r="ACT85" s="159"/>
      <c r="ACU85" s="159"/>
      <c r="ACV85" s="159"/>
      <c r="ACW85" s="159"/>
      <c r="ACX85" s="159"/>
      <c r="ACY85" s="159"/>
      <c r="ACZ85" s="159"/>
      <c r="ADA85" s="159"/>
      <c r="ADB85" s="159"/>
      <c r="ADC85" s="159"/>
      <c r="ADD85" s="159"/>
      <c r="ADE85" s="159"/>
      <c r="ADF85" s="159"/>
      <c r="ADG85" s="159"/>
      <c r="ADH85" s="159"/>
      <c r="ADI85" s="159"/>
      <c r="ADJ85" s="159"/>
      <c r="ADK85" s="159"/>
      <c r="ADL85" s="159"/>
      <c r="ADM85" s="159"/>
      <c r="ADN85" s="159"/>
      <c r="ADO85" s="159"/>
      <c r="ADP85" s="159"/>
      <c r="ADQ85" s="159"/>
      <c r="ADR85" s="159"/>
      <c r="ADS85" s="159"/>
      <c r="ADT85" s="159"/>
      <c r="ADU85" s="159"/>
      <c r="ADV85" s="159"/>
      <c r="ADW85" s="159"/>
      <c r="ADX85" s="159"/>
      <c r="ADY85" s="159"/>
      <c r="ADZ85" s="159"/>
      <c r="AEA85" s="159"/>
      <c r="AEB85" s="159"/>
      <c r="AEC85" s="159"/>
      <c r="AED85" s="159"/>
      <c r="AEE85" s="159"/>
      <c r="AEF85" s="159"/>
      <c r="AEG85" s="159"/>
      <c r="AEH85" s="159"/>
      <c r="AEI85" s="159"/>
      <c r="AEJ85" s="159"/>
      <c r="AEK85" s="159"/>
      <c r="AEL85" s="159"/>
      <c r="AEM85" s="159"/>
      <c r="AEN85" s="159"/>
      <c r="AEO85" s="159"/>
      <c r="AEP85" s="159"/>
      <c r="AEQ85" s="159"/>
      <c r="AER85" s="159"/>
      <c r="AES85" s="159"/>
      <c r="AET85" s="159"/>
      <c r="AEU85" s="159"/>
      <c r="AEV85" s="159"/>
      <c r="AEW85" s="159"/>
      <c r="AEX85" s="159"/>
      <c r="AEY85" s="159"/>
      <c r="AEZ85" s="159"/>
      <c r="AFA85" s="159"/>
      <c r="AFB85" s="159"/>
      <c r="AFC85" s="159"/>
      <c r="AFD85" s="159"/>
      <c r="AFE85" s="159"/>
      <c r="AFF85" s="159"/>
      <c r="AFG85" s="159"/>
      <c r="AFH85" s="159"/>
      <c r="AFI85" s="159"/>
      <c r="AFJ85" s="159"/>
      <c r="AFK85" s="159"/>
      <c r="AFL85" s="159"/>
      <c r="AFM85" s="159"/>
      <c r="AFN85" s="159"/>
      <c r="AFO85" s="159"/>
      <c r="AFP85" s="159"/>
      <c r="AFQ85" s="159"/>
      <c r="AFR85" s="159"/>
      <c r="AFS85" s="159"/>
      <c r="AFT85" s="159"/>
      <c r="AFU85" s="159"/>
      <c r="AFV85" s="159"/>
      <c r="AFW85" s="159"/>
      <c r="AFX85" s="159"/>
      <c r="AFY85" s="159"/>
      <c r="AFZ85" s="159"/>
      <c r="AGA85" s="159"/>
      <c r="AGB85" s="159"/>
      <c r="AGC85" s="159"/>
      <c r="AGD85" s="159"/>
      <c r="AGE85" s="159"/>
      <c r="AGF85" s="159"/>
      <c r="AGG85" s="159"/>
      <c r="AGH85" s="159"/>
      <c r="AGI85" s="159"/>
      <c r="AGJ85" s="159"/>
      <c r="AGK85" s="159"/>
      <c r="AGL85" s="159"/>
      <c r="AGM85" s="159"/>
      <c r="AGN85" s="159"/>
      <c r="AGO85" s="159"/>
      <c r="AGP85" s="159"/>
      <c r="AGQ85" s="159"/>
      <c r="AGR85" s="159"/>
      <c r="AGS85" s="159"/>
      <c r="AGT85" s="159"/>
      <c r="AGU85" s="159"/>
      <c r="AGV85" s="159"/>
      <c r="AGW85" s="159"/>
      <c r="AGX85" s="159"/>
      <c r="AGY85" s="159"/>
      <c r="AGZ85" s="159"/>
      <c r="AHA85" s="159"/>
      <c r="AHB85" s="159"/>
      <c r="AHC85" s="159"/>
      <c r="AHD85" s="159"/>
      <c r="AHE85" s="159"/>
      <c r="AHF85" s="159"/>
      <c r="AHG85" s="159"/>
      <c r="AHH85" s="159"/>
      <c r="AHI85" s="159"/>
      <c r="AHJ85" s="159"/>
      <c r="AHK85" s="159"/>
      <c r="AHL85" s="159"/>
      <c r="AHM85" s="159"/>
      <c r="AHN85" s="159"/>
      <c r="AHO85" s="159"/>
      <c r="AHP85" s="159"/>
      <c r="AHQ85" s="159"/>
      <c r="AHR85" s="159"/>
      <c r="AHS85" s="159"/>
      <c r="AHT85" s="159"/>
      <c r="AHU85" s="159"/>
      <c r="AHV85" s="159"/>
      <c r="AHW85" s="159"/>
      <c r="AHX85" s="159"/>
      <c r="AHY85" s="159"/>
      <c r="AHZ85" s="159"/>
      <c r="AIA85" s="159"/>
      <c r="AIB85" s="159"/>
      <c r="AIC85" s="159"/>
      <c r="AID85" s="159"/>
      <c r="AIE85" s="159"/>
      <c r="AIF85" s="159"/>
      <c r="AIG85" s="159"/>
      <c r="AIH85" s="159"/>
      <c r="AII85" s="159"/>
      <c r="AIJ85" s="159"/>
      <c r="AIK85" s="159"/>
      <c r="AIL85" s="159"/>
      <c r="AIM85" s="159"/>
      <c r="AIN85" s="159"/>
      <c r="AIO85" s="159"/>
      <c r="AIP85" s="159"/>
      <c r="AIQ85" s="159"/>
      <c r="AIR85" s="159"/>
      <c r="AIS85" s="159"/>
      <c r="AIT85" s="159"/>
      <c r="AIU85" s="159"/>
      <c r="AIV85" s="159"/>
      <c r="AIW85" s="159"/>
      <c r="AIX85" s="159"/>
      <c r="AIY85" s="159"/>
      <c r="AIZ85" s="159"/>
      <c r="AJA85" s="159"/>
      <c r="AJB85" s="159"/>
      <c r="AJC85" s="159"/>
      <c r="AJD85" s="159"/>
      <c r="AJE85" s="159"/>
      <c r="AJF85" s="159"/>
      <c r="AJG85" s="159"/>
      <c r="AJH85" s="159"/>
      <c r="AJI85" s="159"/>
      <c r="AJJ85" s="159"/>
      <c r="AJK85" s="159"/>
      <c r="AJL85" s="159"/>
      <c r="AJM85" s="159"/>
      <c r="AJN85" s="159"/>
      <c r="AJO85" s="159"/>
      <c r="AJP85" s="159"/>
      <c r="AJQ85" s="159"/>
      <c r="AJR85" s="159"/>
      <c r="AJS85" s="159"/>
      <c r="AJT85" s="159"/>
      <c r="AJU85" s="159"/>
      <c r="AJV85" s="159"/>
      <c r="AJW85" s="159"/>
      <c r="AJX85" s="159"/>
      <c r="AJY85" s="159"/>
      <c r="AJZ85" s="159"/>
      <c r="AKA85" s="159"/>
      <c r="AKB85" s="159"/>
      <c r="AKC85" s="159"/>
      <c r="AKD85" s="159"/>
      <c r="AKE85" s="159"/>
      <c r="AKF85" s="159"/>
      <c r="AKG85" s="159"/>
      <c r="AKH85" s="159"/>
      <c r="AKI85" s="159"/>
      <c r="AKJ85" s="159"/>
      <c r="AKK85" s="159"/>
      <c r="AKL85" s="159"/>
      <c r="AKM85" s="159"/>
      <c r="AKN85" s="159"/>
      <c r="AKO85" s="159"/>
      <c r="AKP85" s="159"/>
      <c r="AKQ85" s="159"/>
      <c r="AKR85" s="159"/>
      <c r="AKS85" s="159"/>
      <c r="AKT85" s="159"/>
      <c r="AKU85" s="159"/>
      <c r="AKV85" s="159"/>
      <c r="AKW85" s="159"/>
      <c r="AKX85" s="159"/>
      <c r="AKY85" s="159"/>
      <c r="AKZ85" s="159"/>
      <c r="ALA85" s="159"/>
      <c r="ALB85" s="159"/>
      <c r="ALC85" s="159"/>
      <c r="ALD85" s="159"/>
      <c r="ALE85" s="159"/>
      <c r="ALF85" s="159"/>
      <c r="ALG85" s="159"/>
      <c r="ALH85" s="159"/>
      <c r="ALI85" s="159"/>
      <c r="ALJ85" s="159"/>
      <c r="ALK85" s="159"/>
      <c r="ALL85" s="159"/>
      <c r="ALM85" s="159"/>
      <c r="ALN85" s="159"/>
      <c r="ALO85" s="159"/>
      <c r="ALP85" s="159"/>
      <c r="ALQ85" s="159"/>
      <c r="ALR85" s="159"/>
      <c r="ALS85" s="159"/>
      <c r="ALT85" s="159"/>
      <c r="ALU85" s="159"/>
      <c r="ALV85" s="159"/>
      <c r="ALW85" s="159"/>
      <c r="ALX85" s="159"/>
      <c r="ALY85" s="159"/>
      <c r="ALZ85" s="159"/>
      <c r="AMA85" s="159"/>
      <c r="AMB85" s="159"/>
      <c r="AMC85" s="159"/>
      <c r="AMD85" s="159"/>
      <c r="AME85" s="159"/>
      <c r="AMF85" s="159"/>
      <c r="AMG85" s="159"/>
      <c r="AMH85" s="159"/>
      <c r="AMI85" s="159"/>
      <c r="AMJ85" s="159"/>
      <c r="AMK85" s="159"/>
      <c r="AML85" s="159"/>
      <c r="AMM85" s="159"/>
      <c r="AMN85" s="159"/>
      <c r="AMO85" s="159"/>
    </row>
    <row r="86" spans="1:1029" s="161" customFormat="1" ht="25.5" x14ac:dyDescent="0.25">
      <c r="A86" s="138">
        <v>46141</v>
      </c>
      <c r="B86" s="99" t="s">
        <v>73</v>
      </c>
      <c r="C86" s="99" t="s">
        <v>54</v>
      </c>
      <c r="D86" s="160" t="s">
        <v>199</v>
      </c>
      <c r="E86" s="118" t="s">
        <v>73</v>
      </c>
      <c r="F86" s="99" t="s">
        <v>38</v>
      </c>
      <c r="G86" s="99" t="s">
        <v>16</v>
      </c>
      <c r="H86" s="141">
        <f t="shared" si="8"/>
        <v>1</v>
      </c>
      <c r="I86" s="118" t="s">
        <v>19</v>
      </c>
      <c r="J86" s="99" t="s">
        <v>125</v>
      </c>
      <c r="K86" s="99" t="s">
        <v>16</v>
      </c>
      <c r="L86" s="141" t="b">
        <f t="shared" si="9"/>
        <v>0</v>
      </c>
      <c r="M86" s="120" t="s">
        <v>42</v>
      </c>
      <c r="N86" s="121" t="s">
        <v>82</v>
      </c>
      <c r="O86" s="121" t="s">
        <v>168</v>
      </c>
      <c r="P86" s="141" t="b">
        <f t="shared" si="10"/>
        <v>0</v>
      </c>
      <c r="Q86" s="149" t="s">
        <v>42</v>
      </c>
      <c r="R86" s="99" t="s">
        <v>51</v>
      </c>
      <c r="S86" s="99" t="s">
        <v>16</v>
      </c>
      <c r="T86" s="141" t="b">
        <f t="shared" si="11"/>
        <v>0</v>
      </c>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59"/>
      <c r="BD86" s="159"/>
      <c r="BE86" s="159"/>
      <c r="BF86" s="159"/>
      <c r="BG86" s="159"/>
      <c r="BH86" s="159"/>
      <c r="BI86" s="159"/>
      <c r="BJ86" s="159"/>
      <c r="BK86" s="159"/>
      <c r="BL86" s="159"/>
      <c r="BM86" s="159"/>
      <c r="BN86" s="159"/>
      <c r="BO86" s="159"/>
      <c r="BP86" s="159"/>
      <c r="BQ86" s="159"/>
      <c r="BR86" s="159"/>
      <c r="BS86" s="159"/>
      <c r="BT86" s="159"/>
      <c r="BU86" s="159"/>
      <c r="BV86" s="159"/>
      <c r="BW86" s="159"/>
      <c r="BX86" s="159"/>
      <c r="BY86" s="159"/>
      <c r="BZ86" s="159"/>
      <c r="CA86" s="159"/>
      <c r="CB86" s="159"/>
      <c r="CC86" s="159"/>
      <c r="CD86" s="159"/>
      <c r="CE86" s="159"/>
      <c r="CF86" s="159"/>
      <c r="CG86" s="159"/>
      <c r="CH86" s="159"/>
      <c r="CI86" s="159"/>
      <c r="CJ86" s="159"/>
      <c r="CK86" s="159"/>
      <c r="CL86" s="159"/>
      <c r="CM86" s="159"/>
      <c r="CN86" s="159"/>
      <c r="CO86" s="159"/>
      <c r="CP86" s="159"/>
      <c r="CQ86" s="159"/>
      <c r="CR86" s="159"/>
      <c r="CS86" s="159"/>
      <c r="CT86" s="159"/>
      <c r="CU86" s="159"/>
      <c r="CV86" s="159"/>
      <c r="CW86" s="159"/>
      <c r="CX86" s="159"/>
      <c r="CY86" s="159"/>
      <c r="CZ86" s="159"/>
      <c r="DA86" s="159"/>
      <c r="DB86" s="159"/>
      <c r="DC86" s="159"/>
      <c r="DD86" s="159"/>
      <c r="DE86" s="159"/>
      <c r="DF86" s="159"/>
      <c r="DG86" s="159"/>
      <c r="DH86" s="159"/>
      <c r="DI86" s="159"/>
      <c r="DJ86" s="159"/>
      <c r="DK86" s="159"/>
      <c r="DL86" s="159"/>
      <c r="DM86" s="159"/>
      <c r="DN86" s="159"/>
      <c r="DO86" s="159"/>
      <c r="DP86" s="159"/>
      <c r="DQ86" s="159"/>
      <c r="DR86" s="159"/>
      <c r="DS86" s="159"/>
      <c r="DT86" s="159"/>
      <c r="DU86" s="159"/>
      <c r="DV86" s="159"/>
      <c r="DW86" s="159"/>
      <c r="DX86" s="159"/>
      <c r="DY86" s="159"/>
      <c r="DZ86" s="159"/>
      <c r="EA86" s="159"/>
      <c r="EB86" s="159"/>
      <c r="EC86" s="159"/>
      <c r="ED86" s="159"/>
      <c r="EE86" s="159"/>
      <c r="EF86" s="159"/>
      <c r="EG86" s="159"/>
      <c r="EH86" s="159"/>
      <c r="EI86" s="159"/>
      <c r="EJ86" s="159"/>
      <c r="EK86" s="159"/>
      <c r="EL86" s="159"/>
      <c r="EM86" s="159"/>
      <c r="EN86" s="159"/>
      <c r="EO86" s="159"/>
      <c r="EP86" s="159"/>
      <c r="EQ86" s="159"/>
      <c r="ER86" s="159"/>
      <c r="ES86" s="159"/>
      <c r="ET86" s="159"/>
      <c r="EU86" s="159"/>
      <c r="EV86" s="159"/>
      <c r="EW86" s="159"/>
      <c r="EX86" s="159"/>
      <c r="EY86" s="159"/>
      <c r="EZ86" s="159"/>
      <c r="FA86" s="159"/>
      <c r="FB86" s="159"/>
      <c r="FC86" s="159"/>
      <c r="FD86" s="159"/>
      <c r="FE86" s="159"/>
      <c r="FF86" s="159"/>
      <c r="FG86" s="159"/>
      <c r="FH86" s="159"/>
      <c r="FI86" s="159"/>
      <c r="FJ86" s="159"/>
      <c r="FK86" s="159"/>
      <c r="FL86" s="159"/>
      <c r="FM86" s="159"/>
      <c r="FN86" s="159"/>
      <c r="FO86" s="159"/>
      <c r="FP86" s="159"/>
      <c r="FQ86" s="159"/>
      <c r="FR86" s="159"/>
      <c r="FS86" s="159"/>
      <c r="FT86" s="159"/>
      <c r="FU86" s="159"/>
      <c r="FV86" s="159"/>
      <c r="FW86" s="159"/>
      <c r="FX86" s="159"/>
      <c r="FY86" s="159"/>
      <c r="FZ86" s="159"/>
      <c r="GA86" s="159"/>
      <c r="GB86" s="159"/>
      <c r="GC86" s="159"/>
      <c r="GD86" s="159"/>
      <c r="GE86" s="159"/>
      <c r="GF86" s="159"/>
      <c r="GG86" s="159"/>
      <c r="GH86" s="159"/>
      <c r="GI86" s="159"/>
      <c r="GJ86" s="159"/>
      <c r="GK86" s="159"/>
      <c r="GL86" s="159"/>
      <c r="GM86" s="159"/>
      <c r="GN86" s="159"/>
      <c r="GO86" s="159"/>
      <c r="GP86" s="159"/>
      <c r="GQ86" s="159"/>
      <c r="GR86" s="159"/>
      <c r="GS86" s="159"/>
      <c r="GT86" s="159"/>
      <c r="GU86" s="159"/>
      <c r="GV86" s="159"/>
      <c r="GW86" s="159"/>
      <c r="GX86" s="159"/>
      <c r="GY86" s="159"/>
      <c r="GZ86" s="159"/>
      <c r="HA86" s="159"/>
      <c r="HB86" s="159"/>
      <c r="HC86" s="159"/>
      <c r="HD86" s="159"/>
      <c r="HE86" s="159"/>
      <c r="HF86" s="159"/>
      <c r="HG86" s="159"/>
      <c r="HH86" s="159"/>
      <c r="HI86" s="159"/>
      <c r="HJ86" s="159"/>
      <c r="HK86" s="159"/>
      <c r="HL86" s="159"/>
      <c r="HM86" s="159"/>
      <c r="HN86" s="159"/>
      <c r="HO86" s="159"/>
      <c r="HP86" s="159"/>
      <c r="HQ86" s="159"/>
      <c r="HR86" s="159"/>
      <c r="HS86" s="159"/>
      <c r="HT86" s="159"/>
      <c r="HU86" s="159"/>
      <c r="HV86" s="159"/>
      <c r="HW86" s="159"/>
      <c r="HX86" s="159"/>
      <c r="HY86" s="159"/>
      <c r="HZ86" s="159"/>
      <c r="IA86" s="159"/>
      <c r="IB86" s="159"/>
      <c r="IC86" s="159"/>
      <c r="ID86" s="159"/>
      <c r="IE86" s="159"/>
      <c r="IF86" s="159"/>
      <c r="IG86" s="159"/>
      <c r="IH86" s="159"/>
      <c r="II86" s="159"/>
      <c r="IJ86" s="159"/>
      <c r="IK86" s="159"/>
      <c r="IL86" s="159"/>
      <c r="IM86" s="159"/>
      <c r="IN86" s="159"/>
      <c r="IO86" s="159"/>
      <c r="IP86" s="159"/>
      <c r="IQ86" s="159"/>
      <c r="IR86" s="159"/>
      <c r="IS86" s="159"/>
      <c r="IT86" s="159"/>
      <c r="IU86" s="159"/>
      <c r="IV86" s="159"/>
      <c r="IW86" s="159"/>
      <c r="IX86" s="159"/>
      <c r="IY86" s="159"/>
      <c r="IZ86" s="159"/>
      <c r="JA86" s="159"/>
      <c r="JB86" s="159"/>
      <c r="JC86" s="159"/>
      <c r="JD86" s="159"/>
      <c r="JE86" s="159"/>
      <c r="JF86" s="159"/>
      <c r="JG86" s="159"/>
      <c r="JH86" s="159"/>
      <c r="JI86" s="159"/>
      <c r="JJ86" s="159"/>
      <c r="JK86" s="159"/>
      <c r="JL86" s="159"/>
      <c r="JM86" s="159"/>
      <c r="JN86" s="159"/>
      <c r="JO86" s="159"/>
      <c r="JP86" s="159"/>
      <c r="JQ86" s="159"/>
      <c r="JR86" s="159"/>
      <c r="JS86" s="159"/>
      <c r="JT86" s="159"/>
      <c r="JU86" s="159"/>
      <c r="JV86" s="159"/>
      <c r="JW86" s="159"/>
      <c r="JX86" s="159"/>
      <c r="JY86" s="159"/>
      <c r="JZ86" s="159"/>
      <c r="KA86" s="159"/>
      <c r="KB86" s="159"/>
      <c r="KC86" s="159"/>
      <c r="KD86" s="159"/>
      <c r="KE86" s="159"/>
      <c r="KF86" s="159"/>
      <c r="KG86" s="159"/>
      <c r="KH86" s="159"/>
      <c r="KI86" s="159"/>
      <c r="KJ86" s="159"/>
      <c r="KK86" s="159"/>
      <c r="KL86" s="159"/>
      <c r="KM86" s="159"/>
      <c r="KN86" s="159"/>
      <c r="KO86" s="159"/>
      <c r="KP86" s="159"/>
      <c r="KQ86" s="159"/>
      <c r="KR86" s="159"/>
      <c r="KS86" s="159"/>
      <c r="KT86" s="159"/>
      <c r="KU86" s="159"/>
      <c r="KV86" s="159"/>
      <c r="KW86" s="159"/>
      <c r="KX86" s="159"/>
      <c r="KY86" s="159"/>
      <c r="KZ86" s="159"/>
      <c r="LA86" s="159"/>
      <c r="LB86" s="159"/>
      <c r="LC86" s="159"/>
      <c r="LD86" s="159"/>
      <c r="LE86" s="159"/>
      <c r="LF86" s="159"/>
      <c r="LG86" s="159"/>
      <c r="LH86" s="159"/>
      <c r="LI86" s="159"/>
      <c r="LJ86" s="159"/>
      <c r="LK86" s="159"/>
      <c r="LL86" s="159"/>
      <c r="LM86" s="159"/>
      <c r="LN86" s="159"/>
      <c r="LO86" s="159"/>
      <c r="LP86" s="159"/>
      <c r="LQ86" s="159"/>
      <c r="LR86" s="159"/>
      <c r="LS86" s="159"/>
      <c r="LT86" s="159"/>
      <c r="LU86" s="159"/>
      <c r="LV86" s="159"/>
      <c r="LW86" s="159"/>
      <c r="LX86" s="159"/>
      <c r="LY86" s="159"/>
      <c r="LZ86" s="159"/>
      <c r="MA86" s="159"/>
      <c r="MB86" s="159"/>
      <c r="MC86" s="159"/>
      <c r="MD86" s="159"/>
      <c r="ME86" s="159"/>
      <c r="MF86" s="159"/>
      <c r="MG86" s="159"/>
      <c r="MH86" s="159"/>
      <c r="MI86" s="159"/>
      <c r="MJ86" s="159"/>
      <c r="MK86" s="159"/>
      <c r="ML86" s="159"/>
      <c r="MM86" s="159"/>
      <c r="MN86" s="159"/>
      <c r="MO86" s="159"/>
      <c r="MP86" s="159"/>
      <c r="MQ86" s="159"/>
      <c r="MR86" s="159"/>
      <c r="MS86" s="159"/>
      <c r="MT86" s="159"/>
      <c r="MU86" s="159"/>
      <c r="MV86" s="159"/>
      <c r="MW86" s="159"/>
      <c r="MX86" s="159"/>
      <c r="MY86" s="159"/>
      <c r="MZ86" s="159"/>
      <c r="NA86" s="159"/>
      <c r="NB86" s="159"/>
      <c r="NC86" s="159"/>
      <c r="ND86" s="159"/>
      <c r="NE86" s="159"/>
      <c r="NF86" s="159"/>
      <c r="NG86" s="159"/>
      <c r="NH86" s="159"/>
      <c r="NI86" s="159"/>
      <c r="NJ86" s="159"/>
      <c r="NK86" s="159"/>
      <c r="NL86" s="159"/>
      <c r="NM86" s="159"/>
      <c r="NN86" s="159"/>
      <c r="NO86" s="159"/>
      <c r="NP86" s="159"/>
      <c r="NQ86" s="159"/>
      <c r="NR86" s="159"/>
      <c r="NS86" s="159"/>
      <c r="NT86" s="159"/>
      <c r="NU86" s="159"/>
      <c r="NV86" s="159"/>
      <c r="NW86" s="159"/>
      <c r="NX86" s="159"/>
      <c r="NY86" s="159"/>
      <c r="NZ86" s="159"/>
      <c r="OA86" s="159"/>
      <c r="OB86" s="159"/>
      <c r="OC86" s="159"/>
      <c r="OD86" s="159"/>
      <c r="OE86" s="159"/>
      <c r="OF86" s="159"/>
      <c r="OG86" s="159"/>
      <c r="OH86" s="159"/>
      <c r="OI86" s="159"/>
      <c r="OJ86" s="159"/>
      <c r="OK86" s="159"/>
      <c r="OL86" s="159"/>
      <c r="OM86" s="159"/>
      <c r="ON86" s="159"/>
      <c r="OO86" s="159"/>
      <c r="OP86" s="159"/>
      <c r="OQ86" s="159"/>
      <c r="OR86" s="159"/>
      <c r="OS86" s="159"/>
      <c r="OT86" s="159"/>
      <c r="OU86" s="159"/>
      <c r="OV86" s="159"/>
      <c r="OW86" s="159"/>
      <c r="OX86" s="159"/>
      <c r="OY86" s="159"/>
      <c r="OZ86" s="159"/>
      <c r="PA86" s="159"/>
      <c r="PB86" s="159"/>
      <c r="PC86" s="159"/>
      <c r="PD86" s="159"/>
      <c r="PE86" s="159"/>
      <c r="PF86" s="159"/>
      <c r="PG86" s="159"/>
      <c r="PH86" s="159"/>
      <c r="PI86" s="159"/>
      <c r="PJ86" s="159"/>
      <c r="PK86" s="159"/>
      <c r="PL86" s="159"/>
      <c r="PM86" s="159"/>
      <c r="PN86" s="159"/>
      <c r="PO86" s="159"/>
      <c r="PP86" s="159"/>
      <c r="PQ86" s="159"/>
      <c r="PR86" s="159"/>
      <c r="PS86" s="159"/>
      <c r="PT86" s="159"/>
      <c r="PU86" s="159"/>
      <c r="PV86" s="159"/>
      <c r="PW86" s="159"/>
      <c r="PX86" s="159"/>
      <c r="PY86" s="159"/>
      <c r="PZ86" s="159"/>
      <c r="QA86" s="159"/>
      <c r="QB86" s="159"/>
      <c r="QC86" s="159"/>
      <c r="QD86" s="159"/>
      <c r="QE86" s="159"/>
      <c r="QF86" s="159"/>
      <c r="QG86" s="159"/>
      <c r="QH86" s="159"/>
      <c r="QI86" s="159"/>
      <c r="QJ86" s="159"/>
      <c r="QK86" s="159"/>
      <c r="QL86" s="159"/>
      <c r="QM86" s="159"/>
      <c r="QN86" s="159"/>
      <c r="QO86" s="159"/>
      <c r="QP86" s="159"/>
      <c r="QQ86" s="159"/>
      <c r="QR86" s="159"/>
      <c r="QS86" s="159"/>
      <c r="QT86" s="159"/>
      <c r="QU86" s="159"/>
      <c r="QV86" s="159"/>
      <c r="QW86" s="159"/>
      <c r="QX86" s="159"/>
      <c r="QY86" s="159"/>
      <c r="QZ86" s="159"/>
      <c r="RA86" s="159"/>
      <c r="RB86" s="159"/>
      <c r="RC86" s="159"/>
      <c r="RD86" s="159"/>
      <c r="RE86" s="159"/>
      <c r="RF86" s="159"/>
      <c r="RG86" s="159"/>
      <c r="RH86" s="159"/>
      <c r="RI86" s="159"/>
      <c r="RJ86" s="159"/>
      <c r="RK86" s="159"/>
      <c r="RL86" s="159"/>
      <c r="RM86" s="159"/>
      <c r="RN86" s="159"/>
      <c r="RO86" s="159"/>
      <c r="RP86" s="159"/>
      <c r="RQ86" s="159"/>
      <c r="RR86" s="159"/>
      <c r="RS86" s="159"/>
      <c r="RT86" s="159"/>
      <c r="RU86" s="159"/>
      <c r="RV86" s="159"/>
      <c r="RW86" s="159"/>
      <c r="RX86" s="159"/>
      <c r="RY86" s="159"/>
      <c r="RZ86" s="159"/>
      <c r="SA86" s="159"/>
      <c r="SB86" s="159"/>
      <c r="SC86" s="159"/>
      <c r="SD86" s="159"/>
      <c r="SE86" s="159"/>
      <c r="SF86" s="159"/>
      <c r="SG86" s="159"/>
      <c r="SH86" s="159"/>
      <c r="SI86" s="159"/>
      <c r="SJ86" s="159"/>
      <c r="SK86" s="159"/>
      <c r="SL86" s="159"/>
      <c r="SM86" s="159"/>
      <c r="SN86" s="159"/>
      <c r="SO86" s="159"/>
      <c r="SP86" s="159"/>
      <c r="SQ86" s="159"/>
      <c r="SR86" s="159"/>
      <c r="SS86" s="159"/>
      <c r="ST86" s="159"/>
      <c r="SU86" s="159"/>
      <c r="SV86" s="159"/>
      <c r="SW86" s="159"/>
      <c r="SX86" s="159"/>
      <c r="SY86" s="159"/>
      <c r="SZ86" s="159"/>
      <c r="TA86" s="159"/>
      <c r="TB86" s="159"/>
      <c r="TC86" s="159"/>
      <c r="TD86" s="159"/>
      <c r="TE86" s="159"/>
      <c r="TF86" s="159"/>
      <c r="TG86" s="159"/>
      <c r="TH86" s="159"/>
      <c r="TI86" s="159"/>
      <c r="TJ86" s="159"/>
      <c r="TK86" s="159"/>
      <c r="TL86" s="159"/>
      <c r="TM86" s="159"/>
      <c r="TN86" s="159"/>
      <c r="TO86" s="159"/>
      <c r="TP86" s="159"/>
      <c r="TQ86" s="159"/>
      <c r="TR86" s="159"/>
      <c r="TS86" s="159"/>
      <c r="TT86" s="159"/>
      <c r="TU86" s="159"/>
      <c r="TV86" s="159"/>
      <c r="TW86" s="159"/>
      <c r="TX86" s="159"/>
      <c r="TY86" s="159"/>
      <c r="TZ86" s="159"/>
      <c r="UA86" s="159"/>
      <c r="UB86" s="159"/>
      <c r="UC86" s="159"/>
      <c r="UD86" s="159"/>
      <c r="UE86" s="159"/>
      <c r="UF86" s="159"/>
      <c r="UG86" s="159"/>
      <c r="UH86" s="159"/>
      <c r="UI86" s="159"/>
      <c r="UJ86" s="159"/>
      <c r="UK86" s="159"/>
      <c r="UL86" s="159"/>
      <c r="UM86" s="159"/>
      <c r="UN86" s="159"/>
      <c r="UO86" s="159"/>
      <c r="UP86" s="159"/>
      <c r="UQ86" s="159"/>
      <c r="UR86" s="159"/>
      <c r="US86" s="159"/>
      <c r="UT86" s="159"/>
      <c r="UU86" s="159"/>
      <c r="UV86" s="159"/>
      <c r="UW86" s="159"/>
      <c r="UX86" s="159"/>
      <c r="UY86" s="159"/>
      <c r="UZ86" s="159"/>
      <c r="VA86" s="159"/>
      <c r="VB86" s="159"/>
      <c r="VC86" s="159"/>
      <c r="VD86" s="159"/>
      <c r="VE86" s="159"/>
      <c r="VF86" s="159"/>
      <c r="VG86" s="159"/>
      <c r="VH86" s="159"/>
      <c r="VI86" s="159"/>
      <c r="VJ86" s="159"/>
      <c r="VK86" s="159"/>
      <c r="VL86" s="159"/>
      <c r="VM86" s="159"/>
      <c r="VN86" s="159"/>
      <c r="VO86" s="159"/>
      <c r="VP86" s="159"/>
      <c r="VQ86" s="159"/>
      <c r="VR86" s="159"/>
      <c r="VS86" s="159"/>
      <c r="VT86" s="159"/>
      <c r="VU86" s="159"/>
      <c r="VV86" s="159"/>
      <c r="VW86" s="159"/>
      <c r="VX86" s="159"/>
      <c r="VY86" s="159"/>
      <c r="VZ86" s="159"/>
      <c r="WA86" s="159"/>
      <c r="WB86" s="159"/>
      <c r="WC86" s="159"/>
      <c r="WD86" s="159"/>
      <c r="WE86" s="159"/>
      <c r="WF86" s="159"/>
      <c r="WG86" s="159"/>
      <c r="WH86" s="159"/>
      <c r="WI86" s="159"/>
      <c r="WJ86" s="159"/>
      <c r="WK86" s="159"/>
      <c r="WL86" s="159"/>
      <c r="WM86" s="159"/>
      <c r="WN86" s="159"/>
      <c r="WO86" s="159"/>
      <c r="WP86" s="159"/>
      <c r="WQ86" s="159"/>
      <c r="WR86" s="159"/>
      <c r="WS86" s="159"/>
      <c r="WT86" s="159"/>
      <c r="WU86" s="159"/>
      <c r="WV86" s="159"/>
      <c r="WW86" s="159"/>
      <c r="WX86" s="159"/>
      <c r="WY86" s="159"/>
      <c r="WZ86" s="159"/>
      <c r="XA86" s="159"/>
      <c r="XB86" s="159"/>
      <c r="XC86" s="159"/>
      <c r="XD86" s="159"/>
      <c r="XE86" s="159"/>
      <c r="XF86" s="159"/>
      <c r="XG86" s="159"/>
      <c r="XH86" s="159"/>
      <c r="XI86" s="159"/>
      <c r="XJ86" s="159"/>
      <c r="XK86" s="159"/>
      <c r="XL86" s="159"/>
      <c r="XM86" s="159"/>
      <c r="XN86" s="159"/>
      <c r="XO86" s="159"/>
      <c r="XP86" s="159"/>
      <c r="XQ86" s="159"/>
      <c r="XR86" s="159"/>
      <c r="XS86" s="159"/>
      <c r="XT86" s="159"/>
      <c r="XU86" s="159"/>
      <c r="XV86" s="159"/>
      <c r="XW86" s="159"/>
      <c r="XX86" s="159"/>
      <c r="XY86" s="159"/>
      <c r="XZ86" s="159"/>
      <c r="YA86" s="159"/>
      <c r="YB86" s="159"/>
      <c r="YC86" s="159"/>
      <c r="YD86" s="159"/>
      <c r="YE86" s="159"/>
      <c r="YF86" s="159"/>
      <c r="YG86" s="159"/>
      <c r="YH86" s="159"/>
      <c r="YI86" s="159"/>
      <c r="YJ86" s="159"/>
      <c r="YK86" s="159"/>
      <c r="YL86" s="159"/>
      <c r="YM86" s="159"/>
      <c r="YN86" s="159"/>
      <c r="YO86" s="159"/>
      <c r="YP86" s="159"/>
      <c r="YQ86" s="159"/>
      <c r="YR86" s="159"/>
      <c r="YS86" s="159"/>
      <c r="YT86" s="159"/>
      <c r="YU86" s="159"/>
      <c r="YV86" s="159"/>
      <c r="YW86" s="159"/>
      <c r="YX86" s="159"/>
      <c r="YY86" s="159"/>
      <c r="YZ86" s="159"/>
      <c r="ZA86" s="159"/>
      <c r="ZB86" s="159"/>
      <c r="ZC86" s="159"/>
      <c r="ZD86" s="159"/>
      <c r="ZE86" s="159"/>
      <c r="ZF86" s="159"/>
      <c r="ZG86" s="159"/>
      <c r="ZH86" s="159"/>
      <c r="ZI86" s="159"/>
      <c r="ZJ86" s="159"/>
      <c r="ZK86" s="159"/>
      <c r="ZL86" s="159"/>
      <c r="ZM86" s="159"/>
      <c r="ZN86" s="159"/>
      <c r="ZO86" s="159"/>
      <c r="ZP86" s="159"/>
      <c r="ZQ86" s="159"/>
      <c r="ZR86" s="159"/>
      <c r="ZS86" s="159"/>
      <c r="ZT86" s="159"/>
      <c r="ZU86" s="159"/>
      <c r="ZV86" s="159"/>
      <c r="ZW86" s="159"/>
      <c r="ZX86" s="159"/>
      <c r="ZY86" s="159"/>
      <c r="ZZ86" s="159"/>
      <c r="AAA86" s="159"/>
      <c r="AAB86" s="159"/>
      <c r="AAC86" s="159"/>
      <c r="AAD86" s="159"/>
      <c r="AAE86" s="159"/>
      <c r="AAF86" s="159"/>
      <c r="AAG86" s="159"/>
      <c r="AAH86" s="159"/>
      <c r="AAI86" s="159"/>
      <c r="AAJ86" s="159"/>
      <c r="AAK86" s="159"/>
      <c r="AAL86" s="159"/>
      <c r="AAM86" s="159"/>
      <c r="AAN86" s="159"/>
      <c r="AAO86" s="159"/>
      <c r="AAP86" s="159"/>
      <c r="AAQ86" s="159"/>
      <c r="AAR86" s="159"/>
      <c r="AAS86" s="159"/>
      <c r="AAT86" s="159"/>
      <c r="AAU86" s="159"/>
      <c r="AAV86" s="159"/>
      <c r="AAW86" s="159"/>
      <c r="AAX86" s="159"/>
      <c r="AAY86" s="159"/>
      <c r="AAZ86" s="159"/>
      <c r="ABA86" s="159"/>
      <c r="ABB86" s="159"/>
      <c r="ABC86" s="159"/>
      <c r="ABD86" s="159"/>
      <c r="ABE86" s="159"/>
      <c r="ABF86" s="159"/>
      <c r="ABG86" s="159"/>
      <c r="ABH86" s="159"/>
      <c r="ABI86" s="159"/>
      <c r="ABJ86" s="159"/>
      <c r="ABK86" s="159"/>
      <c r="ABL86" s="159"/>
      <c r="ABM86" s="159"/>
      <c r="ABN86" s="159"/>
      <c r="ABO86" s="159"/>
      <c r="ABP86" s="159"/>
      <c r="ABQ86" s="159"/>
      <c r="ABR86" s="159"/>
      <c r="ABS86" s="159"/>
      <c r="ABT86" s="159"/>
      <c r="ABU86" s="159"/>
      <c r="ABV86" s="159"/>
      <c r="ABW86" s="159"/>
      <c r="ABX86" s="159"/>
      <c r="ABY86" s="159"/>
      <c r="ABZ86" s="159"/>
      <c r="ACA86" s="159"/>
      <c r="ACB86" s="159"/>
      <c r="ACC86" s="159"/>
      <c r="ACD86" s="159"/>
      <c r="ACE86" s="159"/>
      <c r="ACF86" s="159"/>
      <c r="ACG86" s="159"/>
      <c r="ACH86" s="159"/>
      <c r="ACI86" s="159"/>
      <c r="ACJ86" s="159"/>
      <c r="ACK86" s="159"/>
      <c r="ACL86" s="159"/>
      <c r="ACM86" s="159"/>
      <c r="ACN86" s="159"/>
      <c r="ACO86" s="159"/>
      <c r="ACP86" s="159"/>
      <c r="ACQ86" s="159"/>
      <c r="ACR86" s="159"/>
      <c r="ACS86" s="159"/>
      <c r="ACT86" s="159"/>
      <c r="ACU86" s="159"/>
      <c r="ACV86" s="159"/>
      <c r="ACW86" s="159"/>
      <c r="ACX86" s="159"/>
      <c r="ACY86" s="159"/>
      <c r="ACZ86" s="159"/>
      <c r="ADA86" s="159"/>
      <c r="ADB86" s="159"/>
      <c r="ADC86" s="159"/>
      <c r="ADD86" s="159"/>
      <c r="ADE86" s="159"/>
      <c r="ADF86" s="159"/>
      <c r="ADG86" s="159"/>
      <c r="ADH86" s="159"/>
      <c r="ADI86" s="159"/>
      <c r="ADJ86" s="159"/>
      <c r="ADK86" s="159"/>
      <c r="ADL86" s="159"/>
      <c r="ADM86" s="159"/>
      <c r="ADN86" s="159"/>
      <c r="ADO86" s="159"/>
      <c r="ADP86" s="159"/>
      <c r="ADQ86" s="159"/>
      <c r="ADR86" s="159"/>
      <c r="ADS86" s="159"/>
      <c r="ADT86" s="159"/>
      <c r="ADU86" s="159"/>
      <c r="ADV86" s="159"/>
      <c r="ADW86" s="159"/>
      <c r="ADX86" s="159"/>
      <c r="ADY86" s="159"/>
      <c r="ADZ86" s="159"/>
      <c r="AEA86" s="159"/>
      <c r="AEB86" s="159"/>
      <c r="AEC86" s="159"/>
      <c r="AED86" s="159"/>
      <c r="AEE86" s="159"/>
      <c r="AEF86" s="159"/>
      <c r="AEG86" s="159"/>
      <c r="AEH86" s="159"/>
      <c r="AEI86" s="159"/>
      <c r="AEJ86" s="159"/>
      <c r="AEK86" s="159"/>
      <c r="AEL86" s="159"/>
      <c r="AEM86" s="159"/>
      <c r="AEN86" s="159"/>
      <c r="AEO86" s="159"/>
      <c r="AEP86" s="159"/>
      <c r="AEQ86" s="159"/>
      <c r="AER86" s="159"/>
      <c r="AES86" s="159"/>
      <c r="AET86" s="159"/>
      <c r="AEU86" s="159"/>
      <c r="AEV86" s="159"/>
      <c r="AEW86" s="159"/>
      <c r="AEX86" s="159"/>
      <c r="AEY86" s="159"/>
      <c r="AEZ86" s="159"/>
      <c r="AFA86" s="159"/>
      <c r="AFB86" s="159"/>
      <c r="AFC86" s="159"/>
      <c r="AFD86" s="159"/>
      <c r="AFE86" s="159"/>
      <c r="AFF86" s="159"/>
      <c r="AFG86" s="159"/>
      <c r="AFH86" s="159"/>
      <c r="AFI86" s="159"/>
      <c r="AFJ86" s="159"/>
      <c r="AFK86" s="159"/>
      <c r="AFL86" s="159"/>
      <c r="AFM86" s="159"/>
      <c r="AFN86" s="159"/>
      <c r="AFO86" s="159"/>
      <c r="AFP86" s="159"/>
      <c r="AFQ86" s="159"/>
      <c r="AFR86" s="159"/>
      <c r="AFS86" s="159"/>
      <c r="AFT86" s="159"/>
      <c r="AFU86" s="159"/>
      <c r="AFV86" s="159"/>
      <c r="AFW86" s="159"/>
      <c r="AFX86" s="159"/>
      <c r="AFY86" s="159"/>
      <c r="AFZ86" s="159"/>
      <c r="AGA86" s="159"/>
      <c r="AGB86" s="159"/>
      <c r="AGC86" s="159"/>
      <c r="AGD86" s="159"/>
      <c r="AGE86" s="159"/>
      <c r="AGF86" s="159"/>
      <c r="AGG86" s="159"/>
      <c r="AGH86" s="159"/>
      <c r="AGI86" s="159"/>
      <c r="AGJ86" s="159"/>
      <c r="AGK86" s="159"/>
      <c r="AGL86" s="159"/>
      <c r="AGM86" s="159"/>
      <c r="AGN86" s="159"/>
      <c r="AGO86" s="159"/>
      <c r="AGP86" s="159"/>
      <c r="AGQ86" s="159"/>
      <c r="AGR86" s="159"/>
      <c r="AGS86" s="159"/>
      <c r="AGT86" s="159"/>
      <c r="AGU86" s="159"/>
      <c r="AGV86" s="159"/>
      <c r="AGW86" s="159"/>
      <c r="AGX86" s="159"/>
      <c r="AGY86" s="159"/>
      <c r="AGZ86" s="159"/>
      <c r="AHA86" s="159"/>
      <c r="AHB86" s="159"/>
      <c r="AHC86" s="159"/>
      <c r="AHD86" s="159"/>
      <c r="AHE86" s="159"/>
      <c r="AHF86" s="159"/>
      <c r="AHG86" s="159"/>
      <c r="AHH86" s="159"/>
      <c r="AHI86" s="159"/>
      <c r="AHJ86" s="159"/>
      <c r="AHK86" s="159"/>
      <c r="AHL86" s="159"/>
      <c r="AHM86" s="159"/>
      <c r="AHN86" s="159"/>
      <c r="AHO86" s="159"/>
      <c r="AHP86" s="159"/>
      <c r="AHQ86" s="159"/>
      <c r="AHR86" s="159"/>
      <c r="AHS86" s="159"/>
      <c r="AHT86" s="159"/>
      <c r="AHU86" s="159"/>
      <c r="AHV86" s="159"/>
      <c r="AHW86" s="159"/>
      <c r="AHX86" s="159"/>
      <c r="AHY86" s="159"/>
      <c r="AHZ86" s="159"/>
      <c r="AIA86" s="159"/>
      <c r="AIB86" s="159"/>
      <c r="AIC86" s="159"/>
      <c r="AID86" s="159"/>
      <c r="AIE86" s="159"/>
      <c r="AIF86" s="159"/>
      <c r="AIG86" s="159"/>
      <c r="AIH86" s="159"/>
      <c r="AII86" s="159"/>
      <c r="AIJ86" s="159"/>
      <c r="AIK86" s="159"/>
      <c r="AIL86" s="159"/>
      <c r="AIM86" s="159"/>
      <c r="AIN86" s="159"/>
      <c r="AIO86" s="159"/>
      <c r="AIP86" s="159"/>
      <c r="AIQ86" s="159"/>
      <c r="AIR86" s="159"/>
      <c r="AIS86" s="159"/>
      <c r="AIT86" s="159"/>
      <c r="AIU86" s="159"/>
      <c r="AIV86" s="159"/>
      <c r="AIW86" s="159"/>
      <c r="AIX86" s="159"/>
      <c r="AIY86" s="159"/>
      <c r="AIZ86" s="159"/>
      <c r="AJA86" s="159"/>
      <c r="AJB86" s="159"/>
      <c r="AJC86" s="159"/>
      <c r="AJD86" s="159"/>
      <c r="AJE86" s="159"/>
      <c r="AJF86" s="159"/>
      <c r="AJG86" s="159"/>
      <c r="AJH86" s="159"/>
      <c r="AJI86" s="159"/>
      <c r="AJJ86" s="159"/>
      <c r="AJK86" s="159"/>
      <c r="AJL86" s="159"/>
      <c r="AJM86" s="159"/>
      <c r="AJN86" s="159"/>
      <c r="AJO86" s="159"/>
      <c r="AJP86" s="159"/>
      <c r="AJQ86" s="159"/>
      <c r="AJR86" s="159"/>
      <c r="AJS86" s="159"/>
      <c r="AJT86" s="159"/>
      <c r="AJU86" s="159"/>
      <c r="AJV86" s="159"/>
      <c r="AJW86" s="159"/>
      <c r="AJX86" s="159"/>
      <c r="AJY86" s="159"/>
      <c r="AJZ86" s="159"/>
      <c r="AKA86" s="159"/>
      <c r="AKB86" s="159"/>
      <c r="AKC86" s="159"/>
      <c r="AKD86" s="159"/>
      <c r="AKE86" s="159"/>
      <c r="AKF86" s="159"/>
      <c r="AKG86" s="159"/>
      <c r="AKH86" s="159"/>
      <c r="AKI86" s="159"/>
      <c r="AKJ86" s="159"/>
      <c r="AKK86" s="159"/>
      <c r="AKL86" s="159"/>
      <c r="AKM86" s="159"/>
      <c r="AKN86" s="159"/>
      <c r="AKO86" s="159"/>
      <c r="AKP86" s="159"/>
      <c r="AKQ86" s="159"/>
      <c r="AKR86" s="159"/>
      <c r="AKS86" s="159"/>
      <c r="AKT86" s="159"/>
      <c r="AKU86" s="159"/>
      <c r="AKV86" s="159"/>
      <c r="AKW86" s="159"/>
      <c r="AKX86" s="159"/>
      <c r="AKY86" s="159"/>
      <c r="AKZ86" s="159"/>
      <c r="ALA86" s="159"/>
      <c r="ALB86" s="159"/>
      <c r="ALC86" s="159"/>
      <c r="ALD86" s="159"/>
      <c r="ALE86" s="159"/>
      <c r="ALF86" s="159"/>
      <c r="ALG86" s="159"/>
      <c r="ALH86" s="159"/>
      <c r="ALI86" s="159"/>
      <c r="ALJ86" s="159"/>
      <c r="ALK86" s="159"/>
      <c r="ALL86" s="159"/>
      <c r="ALM86" s="159"/>
      <c r="ALN86" s="159"/>
      <c r="ALO86" s="159"/>
      <c r="ALP86" s="159"/>
      <c r="ALQ86" s="159"/>
      <c r="ALR86" s="159"/>
      <c r="ALS86" s="159"/>
      <c r="ALT86" s="159"/>
      <c r="ALU86" s="159"/>
      <c r="ALV86" s="159"/>
      <c r="ALW86" s="159"/>
      <c r="ALX86" s="159"/>
      <c r="ALY86" s="159"/>
      <c r="ALZ86" s="159"/>
      <c r="AMA86" s="159"/>
      <c r="AMB86" s="159"/>
      <c r="AMC86" s="159"/>
      <c r="AMD86" s="159"/>
      <c r="AME86" s="159"/>
      <c r="AMF86" s="159"/>
      <c r="AMG86" s="159"/>
      <c r="AMH86" s="159"/>
      <c r="AMI86" s="159"/>
      <c r="AMJ86" s="159"/>
      <c r="AMK86" s="159"/>
      <c r="AML86" s="159"/>
      <c r="AMM86" s="159"/>
      <c r="AMN86" s="159"/>
      <c r="AMO86" s="159"/>
    </row>
    <row r="87" spans="1:1029" s="161" customFormat="1" ht="25.5" x14ac:dyDescent="0.25">
      <c r="A87" s="138">
        <v>46142</v>
      </c>
      <c r="B87" s="99" t="s">
        <v>47</v>
      </c>
      <c r="C87" s="99" t="s">
        <v>36</v>
      </c>
      <c r="D87" s="160" t="s">
        <v>34</v>
      </c>
      <c r="E87" s="118" t="s">
        <v>8</v>
      </c>
      <c r="F87" s="99" t="s">
        <v>106</v>
      </c>
      <c r="G87" s="99" t="s">
        <v>13</v>
      </c>
      <c r="H87" s="141" t="b">
        <f t="shared" si="8"/>
        <v>0</v>
      </c>
      <c r="I87" s="118" t="s">
        <v>14</v>
      </c>
      <c r="J87" s="99" t="s">
        <v>38</v>
      </c>
      <c r="K87" s="99" t="s">
        <v>31</v>
      </c>
      <c r="L87" s="141" t="b">
        <f t="shared" si="9"/>
        <v>0</v>
      </c>
      <c r="M87" s="120" t="s">
        <v>8</v>
      </c>
      <c r="N87" s="121" t="s">
        <v>10</v>
      </c>
      <c r="O87" s="121" t="s">
        <v>16</v>
      </c>
      <c r="P87" s="141" t="b">
        <f t="shared" si="10"/>
        <v>0</v>
      </c>
      <c r="Q87" s="149" t="s">
        <v>8</v>
      </c>
      <c r="R87" s="99" t="s">
        <v>38</v>
      </c>
      <c r="S87" s="99" t="s">
        <v>13</v>
      </c>
      <c r="T87" s="141" t="b">
        <f t="shared" si="11"/>
        <v>0</v>
      </c>
      <c r="U87" s="159"/>
      <c r="V87" s="159"/>
      <c r="W87" s="159"/>
      <c r="X87" s="159"/>
      <c r="Y87" s="159"/>
      <c r="Z87" s="159"/>
      <c r="AA87" s="159"/>
      <c r="AB87" s="159"/>
      <c r="AC87" s="159"/>
      <c r="AD87" s="159"/>
      <c r="AE87" s="159"/>
      <c r="AF87" s="159"/>
      <c r="AG87" s="159"/>
      <c r="AH87" s="159"/>
      <c r="AI87" s="159"/>
      <c r="AJ87" s="159"/>
      <c r="AK87" s="159"/>
      <c r="AL87" s="159"/>
      <c r="AM87" s="159"/>
      <c r="AN87" s="159"/>
      <c r="AO87" s="159"/>
      <c r="AP87" s="159"/>
      <c r="AQ87" s="159"/>
      <c r="AR87" s="159"/>
      <c r="AS87" s="159"/>
      <c r="AT87" s="159"/>
      <c r="AU87" s="159"/>
      <c r="AV87" s="159"/>
      <c r="AW87" s="159"/>
      <c r="AX87" s="159"/>
      <c r="AY87" s="159"/>
      <c r="AZ87" s="159"/>
      <c r="BA87" s="159"/>
      <c r="BB87" s="159"/>
      <c r="BC87" s="159"/>
      <c r="BD87" s="159"/>
      <c r="BE87" s="159"/>
      <c r="BF87" s="159"/>
      <c r="BG87" s="159"/>
      <c r="BH87" s="159"/>
      <c r="BI87" s="159"/>
      <c r="BJ87" s="159"/>
      <c r="BK87" s="159"/>
      <c r="BL87" s="159"/>
      <c r="BM87" s="159"/>
      <c r="BN87" s="159"/>
      <c r="BO87" s="159"/>
      <c r="BP87" s="159"/>
      <c r="BQ87" s="159"/>
      <c r="BR87" s="159"/>
      <c r="BS87" s="159"/>
      <c r="BT87" s="159"/>
      <c r="BU87" s="159"/>
      <c r="BV87" s="159"/>
      <c r="BW87" s="159"/>
      <c r="BX87" s="159"/>
      <c r="BY87" s="159"/>
      <c r="BZ87" s="159"/>
      <c r="CA87" s="159"/>
      <c r="CB87" s="159"/>
      <c r="CC87" s="159"/>
      <c r="CD87" s="159"/>
      <c r="CE87" s="159"/>
      <c r="CF87" s="159"/>
      <c r="CG87" s="159"/>
      <c r="CH87" s="159"/>
      <c r="CI87" s="159"/>
      <c r="CJ87" s="159"/>
      <c r="CK87" s="159"/>
      <c r="CL87" s="159"/>
      <c r="CM87" s="159"/>
      <c r="CN87" s="159"/>
      <c r="CO87" s="159"/>
      <c r="CP87" s="159"/>
      <c r="CQ87" s="159"/>
      <c r="CR87" s="159"/>
      <c r="CS87" s="159"/>
      <c r="CT87" s="159"/>
      <c r="CU87" s="159"/>
      <c r="CV87" s="159"/>
      <c r="CW87" s="159"/>
      <c r="CX87" s="159"/>
      <c r="CY87" s="159"/>
      <c r="CZ87" s="159"/>
      <c r="DA87" s="159"/>
      <c r="DB87" s="159"/>
      <c r="DC87" s="159"/>
      <c r="DD87" s="159"/>
      <c r="DE87" s="159"/>
      <c r="DF87" s="159"/>
      <c r="DG87" s="159"/>
      <c r="DH87" s="159"/>
      <c r="DI87" s="159"/>
      <c r="DJ87" s="159"/>
      <c r="DK87" s="159"/>
      <c r="DL87" s="159"/>
      <c r="DM87" s="159"/>
      <c r="DN87" s="159"/>
      <c r="DO87" s="159"/>
      <c r="DP87" s="159"/>
      <c r="DQ87" s="159"/>
      <c r="DR87" s="159"/>
      <c r="DS87" s="159"/>
      <c r="DT87" s="159"/>
      <c r="DU87" s="159"/>
      <c r="DV87" s="159"/>
      <c r="DW87" s="159"/>
      <c r="DX87" s="159"/>
      <c r="DY87" s="159"/>
      <c r="DZ87" s="159"/>
      <c r="EA87" s="159"/>
      <c r="EB87" s="159"/>
      <c r="EC87" s="159"/>
      <c r="ED87" s="159"/>
      <c r="EE87" s="159"/>
      <c r="EF87" s="159"/>
      <c r="EG87" s="159"/>
      <c r="EH87" s="159"/>
      <c r="EI87" s="159"/>
      <c r="EJ87" s="159"/>
      <c r="EK87" s="159"/>
      <c r="EL87" s="159"/>
      <c r="EM87" s="159"/>
      <c r="EN87" s="159"/>
      <c r="EO87" s="159"/>
      <c r="EP87" s="159"/>
      <c r="EQ87" s="159"/>
      <c r="ER87" s="159"/>
      <c r="ES87" s="159"/>
      <c r="ET87" s="159"/>
      <c r="EU87" s="159"/>
      <c r="EV87" s="159"/>
      <c r="EW87" s="159"/>
      <c r="EX87" s="159"/>
      <c r="EY87" s="159"/>
      <c r="EZ87" s="159"/>
      <c r="FA87" s="159"/>
      <c r="FB87" s="159"/>
      <c r="FC87" s="159"/>
      <c r="FD87" s="159"/>
      <c r="FE87" s="159"/>
      <c r="FF87" s="159"/>
      <c r="FG87" s="159"/>
      <c r="FH87" s="159"/>
      <c r="FI87" s="159"/>
      <c r="FJ87" s="159"/>
      <c r="FK87" s="159"/>
      <c r="FL87" s="159"/>
      <c r="FM87" s="159"/>
      <c r="FN87" s="159"/>
      <c r="FO87" s="159"/>
      <c r="FP87" s="159"/>
      <c r="FQ87" s="159"/>
      <c r="FR87" s="159"/>
      <c r="FS87" s="159"/>
      <c r="FT87" s="159"/>
      <c r="FU87" s="159"/>
      <c r="FV87" s="159"/>
      <c r="FW87" s="159"/>
      <c r="FX87" s="159"/>
      <c r="FY87" s="159"/>
      <c r="FZ87" s="159"/>
      <c r="GA87" s="159"/>
      <c r="GB87" s="159"/>
      <c r="GC87" s="159"/>
      <c r="GD87" s="159"/>
      <c r="GE87" s="159"/>
      <c r="GF87" s="159"/>
      <c r="GG87" s="159"/>
      <c r="GH87" s="159"/>
      <c r="GI87" s="159"/>
      <c r="GJ87" s="159"/>
      <c r="GK87" s="159"/>
      <c r="GL87" s="159"/>
      <c r="GM87" s="159"/>
      <c r="GN87" s="159"/>
      <c r="GO87" s="159"/>
      <c r="GP87" s="159"/>
      <c r="GQ87" s="159"/>
      <c r="GR87" s="159"/>
      <c r="GS87" s="159"/>
      <c r="GT87" s="159"/>
      <c r="GU87" s="159"/>
      <c r="GV87" s="159"/>
      <c r="GW87" s="159"/>
      <c r="GX87" s="159"/>
      <c r="GY87" s="159"/>
      <c r="GZ87" s="159"/>
      <c r="HA87" s="159"/>
      <c r="HB87" s="159"/>
      <c r="HC87" s="159"/>
      <c r="HD87" s="159"/>
      <c r="HE87" s="159"/>
      <c r="HF87" s="159"/>
      <c r="HG87" s="159"/>
      <c r="HH87" s="159"/>
      <c r="HI87" s="159"/>
      <c r="HJ87" s="159"/>
      <c r="HK87" s="159"/>
      <c r="HL87" s="159"/>
      <c r="HM87" s="159"/>
      <c r="HN87" s="159"/>
      <c r="HO87" s="159"/>
      <c r="HP87" s="159"/>
      <c r="HQ87" s="159"/>
      <c r="HR87" s="159"/>
      <c r="HS87" s="159"/>
      <c r="HT87" s="159"/>
      <c r="HU87" s="159"/>
      <c r="HV87" s="159"/>
      <c r="HW87" s="159"/>
      <c r="HX87" s="159"/>
      <c r="HY87" s="159"/>
      <c r="HZ87" s="159"/>
      <c r="IA87" s="159"/>
      <c r="IB87" s="159"/>
      <c r="IC87" s="159"/>
      <c r="ID87" s="159"/>
      <c r="IE87" s="159"/>
      <c r="IF87" s="159"/>
      <c r="IG87" s="159"/>
      <c r="IH87" s="159"/>
      <c r="II87" s="159"/>
      <c r="IJ87" s="159"/>
      <c r="IK87" s="159"/>
      <c r="IL87" s="159"/>
      <c r="IM87" s="159"/>
      <c r="IN87" s="159"/>
      <c r="IO87" s="159"/>
      <c r="IP87" s="159"/>
      <c r="IQ87" s="159"/>
      <c r="IR87" s="159"/>
      <c r="IS87" s="159"/>
      <c r="IT87" s="159"/>
      <c r="IU87" s="159"/>
      <c r="IV87" s="159"/>
      <c r="IW87" s="159"/>
      <c r="IX87" s="159"/>
      <c r="IY87" s="159"/>
      <c r="IZ87" s="159"/>
      <c r="JA87" s="159"/>
      <c r="JB87" s="159"/>
      <c r="JC87" s="159"/>
      <c r="JD87" s="159"/>
      <c r="JE87" s="159"/>
      <c r="JF87" s="159"/>
      <c r="JG87" s="159"/>
      <c r="JH87" s="159"/>
      <c r="JI87" s="159"/>
      <c r="JJ87" s="159"/>
      <c r="JK87" s="159"/>
      <c r="JL87" s="159"/>
      <c r="JM87" s="159"/>
      <c r="JN87" s="159"/>
      <c r="JO87" s="159"/>
      <c r="JP87" s="159"/>
      <c r="JQ87" s="159"/>
      <c r="JR87" s="159"/>
      <c r="JS87" s="159"/>
      <c r="JT87" s="159"/>
      <c r="JU87" s="159"/>
      <c r="JV87" s="159"/>
      <c r="JW87" s="159"/>
      <c r="JX87" s="159"/>
      <c r="JY87" s="159"/>
      <c r="JZ87" s="159"/>
      <c r="KA87" s="159"/>
      <c r="KB87" s="159"/>
      <c r="KC87" s="159"/>
      <c r="KD87" s="159"/>
      <c r="KE87" s="159"/>
      <c r="KF87" s="159"/>
      <c r="KG87" s="159"/>
      <c r="KH87" s="159"/>
      <c r="KI87" s="159"/>
      <c r="KJ87" s="159"/>
      <c r="KK87" s="159"/>
      <c r="KL87" s="159"/>
      <c r="KM87" s="159"/>
      <c r="KN87" s="159"/>
      <c r="KO87" s="159"/>
      <c r="KP87" s="159"/>
      <c r="KQ87" s="159"/>
      <c r="KR87" s="159"/>
      <c r="KS87" s="159"/>
      <c r="KT87" s="159"/>
      <c r="KU87" s="159"/>
      <c r="KV87" s="159"/>
      <c r="KW87" s="159"/>
      <c r="KX87" s="159"/>
      <c r="KY87" s="159"/>
      <c r="KZ87" s="159"/>
      <c r="LA87" s="159"/>
      <c r="LB87" s="159"/>
      <c r="LC87" s="159"/>
      <c r="LD87" s="159"/>
      <c r="LE87" s="159"/>
      <c r="LF87" s="159"/>
      <c r="LG87" s="159"/>
      <c r="LH87" s="159"/>
      <c r="LI87" s="159"/>
      <c r="LJ87" s="159"/>
      <c r="LK87" s="159"/>
      <c r="LL87" s="159"/>
      <c r="LM87" s="159"/>
      <c r="LN87" s="159"/>
      <c r="LO87" s="159"/>
      <c r="LP87" s="159"/>
      <c r="LQ87" s="159"/>
      <c r="LR87" s="159"/>
      <c r="LS87" s="159"/>
      <c r="LT87" s="159"/>
      <c r="LU87" s="159"/>
      <c r="LV87" s="159"/>
      <c r="LW87" s="159"/>
      <c r="LX87" s="159"/>
      <c r="LY87" s="159"/>
      <c r="LZ87" s="159"/>
      <c r="MA87" s="159"/>
      <c r="MB87" s="159"/>
      <c r="MC87" s="159"/>
      <c r="MD87" s="159"/>
      <c r="ME87" s="159"/>
      <c r="MF87" s="159"/>
      <c r="MG87" s="159"/>
      <c r="MH87" s="159"/>
      <c r="MI87" s="159"/>
      <c r="MJ87" s="159"/>
      <c r="MK87" s="159"/>
      <c r="ML87" s="159"/>
      <c r="MM87" s="159"/>
      <c r="MN87" s="159"/>
      <c r="MO87" s="159"/>
      <c r="MP87" s="159"/>
      <c r="MQ87" s="159"/>
      <c r="MR87" s="159"/>
      <c r="MS87" s="159"/>
      <c r="MT87" s="159"/>
      <c r="MU87" s="159"/>
      <c r="MV87" s="159"/>
      <c r="MW87" s="159"/>
      <c r="MX87" s="159"/>
      <c r="MY87" s="159"/>
      <c r="MZ87" s="159"/>
      <c r="NA87" s="159"/>
      <c r="NB87" s="159"/>
      <c r="NC87" s="159"/>
      <c r="ND87" s="159"/>
      <c r="NE87" s="159"/>
      <c r="NF87" s="159"/>
      <c r="NG87" s="159"/>
      <c r="NH87" s="159"/>
      <c r="NI87" s="159"/>
      <c r="NJ87" s="159"/>
      <c r="NK87" s="159"/>
      <c r="NL87" s="159"/>
      <c r="NM87" s="159"/>
      <c r="NN87" s="159"/>
      <c r="NO87" s="159"/>
      <c r="NP87" s="159"/>
      <c r="NQ87" s="159"/>
      <c r="NR87" s="159"/>
      <c r="NS87" s="159"/>
      <c r="NT87" s="159"/>
      <c r="NU87" s="159"/>
      <c r="NV87" s="159"/>
      <c r="NW87" s="159"/>
      <c r="NX87" s="159"/>
      <c r="NY87" s="159"/>
      <c r="NZ87" s="159"/>
      <c r="OA87" s="159"/>
      <c r="OB87" s="159"/>
      <c r="OC87" s="159"/>
      <c r="OD87" s="159"/>
      <c r="OE87" s="159"/>
      <c r="OF87" s="159"/>
      <c r="OG87" s="159"/>
      <c r="OH87" s="159"/>
      <c r="OI87" s="159"/>
      <c r="OJ87" s="159"/>
      <c r="OK87" s="159"/>
      <c r="OL87" s="159"/>
      <c r="OM87" s="159"/>
      <c r="ON87" s="159"/>
      <c r="OO87" s="159"/>
      <c r="OP87" s="159"/>
      <c r="OQ87" s="159"/>
      <c r="OR87" s="159"/>
      <c r="OS87" s="159"/>
      <c r="OT87" s="159"/>
      <c r="OU87" s="159"/>
      <c r="OV87" s="159"/>
      <c r="OW87" s="159"/>
      <c r="OX87" s="159"/>
      <c r="OY87" s="159"/>
      <c r="OZ87" s="159"/>
      <c r="PA87" s="159"/>
      <c r="PB87" s="159"/>
      <c r="PC87" s="159"/>
      <c r="PD87" s="159"/>
      <c r="PE87" s="159"/>
      <c r="PF87" s="159"/>
      <c r="PG87" s="159"/>
      <c r="PH87" s="159"/>
      <c r="PI87" s="159"/>
      <c r="PJ87" s="159"/>
      <c r="PK87" s="159"/>
      <c r="PL87" s="159"/>
      <c r="PM87" s="159"/>
      <c r="PN87" s="159"/>
      <c r="PO87" s="159"/>
      <c r="PP87" s="159"/>
      <c r="PQ87" s="159"/>
      <c r="PR87" s="159"/>
      <c r="PS87" s="159"/>
      <c r="PT87" s="159"/>
      <c r="PU87" s="159"/>
      <c r="PV87" s="159"/>
      <c r="PW87" s="159"/>
      <c r="PX87" s="159"/>
      <c r="PY87" s="159"/>
      <c r="PZ87" s="159"/>
      <c r="QA87" s="159"/>
      <c r="QB87" s="159"/>
      <c r="QC87" s="159"/>
      <c r="QD87" s="159"/>
      <c r="QE87" s="159"/>
      <c r="QF87" s="159"/>
      <c r="QG87" s="159"/>
      <c r="QH87" s="159"/>
      <c r="QI87" s="159"/>
      <c r="QJ87" s="159"/>
      <c r="QK87" s="159"/>
      <c r="QL87" s="159"/>
      <c r="QM87" s="159"/>
      <c r="QN87" s="159"/>
      <c r="QO87" s="159"/>
      <c r="QP87" s="159"/>
      <c r="QQ87" s="159"/>
      <c r="QR87" s="159"/>
      <c r="QS87" s="159"/>
      <c r="QT87" s="159"/>
      <c r="QU87" s="159"/>
      <c r="QV87" s="159"/>
      <c r="QW87" s="159"/>
      <c r="QX87" s="159"/>
      <c r="QY87" s="159"/>
      <c r="QZ87" s="159"/>
      <c r="RA87" s="159"/>
      <c r="RB87" s="159"/>
      <c r="RC87" s="159"/>
      <c r="RD87" s="159"/>
      <c r="RE87" s="159"/>
      <c r="RF87" s="159"/>
      <c r="RG87" s="159"/>
      <c r="RH87" s="159"/>
      <c r="RI87" s="159"/>
      <c r="RJ87" s="159"/>
      <c r="RK87" s="159"/>
      <c r="RL87" s="159"/>
      <c r="RM87" s="159"/>
      <c r="RN87" s="159"/>
      <c r="RO87" s="159"/>
      <c r="RP87" s="159"/>
      <c r="RQ87" s="159"/>
      <c r="RR87" s="159"/>
      <c r="RS87" s="159"/>
      <c r="RT87" s="159"/>
      <c r="RU87" s="159"/>
      <c r="RV87" s="159"/>
      <c r="RW87" s="159"/>
      <c r="RX87" s="159"/>
      <c r="RY87" s="159"/>
      <c r="RZ87" s="159"/>
      <c r="SA87" s="159"/>
      <c r="SB87" s="159"/>
      <c r="SC87" s="159"/>
      <c r="SD87" s="159"/>
      <c r="SE87" s="159"/>
      <c r="SF87" s="159"/>
      <c r="SG87" s="159"/>
      <c r="SH87" s="159"/>
      <c r="SI87" s="159"/>
      <c r="SJ87" s="159"/>
      <c r="SK87" s="159"/>
      <c r="SL87" s="159"/>
      <c r="SM87" s="159"/>
      <c r="SN87" s="159"/>
      <c r="SO87" s="159"/>
      <c r="SP87" s="159"/>
      <c r="SQ87" s="159"/>
      <c r="SR87" s="159"/>
      <c r="SS87" s="159"/>
      <c r="ST87" s="159"/>
      <c r="SU87" s="159"/>
      <c r="SV87" s="159"/>
      <c r="SW87" s="159"/>
      <c r="SX87" s="159"/>
      <c r="SY87" s="159"/>
      <c r="SZ87" s="159"/>
      <c r="TA87" s="159"/>
      <c r="TB87" s="159"/>
      <c r="TC87" s="159"/>
      <c r="TD87" s="159"/>
      <c r="TE87" s="159"/>
      <c r="TF87" s="159"/>
      <c r="TG87" s="159"/>
      <c r="TH87" s="159"/>
      <c r="TI87" s="159"/>
      <c r="TJ87" s="159"/>
      <c r="TK87" s="159"/>
      <c r="TL87" s="159"/>
      <c r="TM87" s="159"/>
      <c r="TN87" s="159"/>
      <c r="TO87" s="159"/>
      <c r="TP87" s="159"/>
      <c r="TQ87" s="159"/>
      <c r="TR87" s="159"/>
      <c r="TS87" s="159"/>
      <c r="TT87" s="159"/>
      <c r="TU87" s="159"/>
      <c r="TV87" s="159"/>
      <c r="TW87" s="159"/>
      <c r="TX87" s="159"/>
      <c r="TY87" s="159"/>
      <c r="TZ87" s="159"/>
      <c r="UA87" s="159"/>
      <c r="UB87" s="159"/>
      <c r="UC87" s="159"/>
      <c r="UD87" s="159"/>
      <c r="UE87" s="159"/>
      <c r="UF87" s="159"/>
      <c r="UG87" s="159"/>
      <c r="UH87" s="159"/>
      <c r="UI87" s="159"/>
      <c r="UJ87" s="159"/>
      <c r="UK87" s="159"/>
      <c r="UL87" s="159"/>
      <c r="UM87" s="159"/>
      <c r="UN87" s="159"/>
      <c r="UO87" s="159"/>
      <c r="UP87" s="159"/>
      <c r="UQ87" s="159"/>
      <c r="UR87" s="159"/>
      <c r="US87" s="159"/>
      <c r="UT87" s="159"/>
      <c r="UU87" s="159"/>
      <c r="UV87" s="159"/>
      <c r="UW87" s="159"/>
      <c r="UX87" s="159"/>
      <c r="UY87" s="159"/>
      <c r="UZ87" s="159"/>
      <c r="VA87" s="159"/>
      <c r="VB87" s="159"/>
      <c r="VC87" s="159"/>
      <c r="VD87" s="159"/>
      <c r="VE87" s="159"/>
      <c r="VF87" s="159"/>
      <c r="VG87" s="159"/>
      <c r="VH87" s="159"/>
      <c r="VI87" s="159"/>
      <c r="VJ87" s="159"/>
      <c r="VK87" s="159"/>
      <c r="VL87" s="159"/>
      <c r="VM87" s="159"/>
      <c r="VN87" s="159"/>
      <c r="VO87" s="159"/>
      <c r="VP87" s="159"/>
      <c r="VQ87" s="159"/>
      <c r="VR87" s="159"/>
      <c r="VS87" s="159"/>
      <c r="VT87" s="159"/>
      <c r="VU87" s="159"/>
      <c r="VV87" s="159"/>
      <c r="VW87" s="159"/>
      <c r="VX87" s="159"/>
      <c r="VY87" s="159"/>
      <c r="VZ87" s="159"/>
      <c r="WA87" s="159"/>
      <c r="WB87" s="159"/>
      <c r="WC87" s="159"/>
      <c r="WD87" s="159"/>
      <c r="WE87" s="159"/>
      <c r="WF87" s="159"/>
      <c r="WG87" s="159"/>
      <c r="WH87" s="159"/>
      <c r="WI87" s="159"/>
      <c r="WJ87" s="159"/>
      <c r="WK87" s="159"/>
      <c r="WL87" s="159"/>
      <c r="WM87" s="159"/>
      <c r="WN87" s="159"/>
      <c r="WO87" s="159"/>
      <c r="WP87" s="159"/>
      <c r="WQ87" s="159"/>
      <c r="WR87" s="159"/>
      <c r="WS87" s="159"/>
      <c r="WT87" s="159"/>
      <c r="WU87" s="159"/>
      <c r="WV87" s="159"/>
      <c r="WW87" s="159"/>
      <c r="WX87" s="159"/>
      <c r="WY87" s="159"/>
      <c r="WZ87" s="159"/>
      <c r="XA87" s="159"/>
      <c r="XB87" s="159"/>
      <c r="XC87" s="159"/>
      <c r="XD87" s="159"/>
      <c r="XE87" s="159"/>
      <c r="XF87" s="159"/>
      <c r="XG87" s="159"/>
      <c r="XH87" s="159"/>
      <c r="XI87" s="159"/>
      <c r="XJ87" s="159"/>
      <c r="XK87" s="159"/>
      <c r="XL87" s="159"/>
      <c r="XM87" s="159"/>
      <c r="XN87" s="159"/>
      <c r="XO87" s="159"/>
      <c r="XP87" s="159"/>
      <c r="XQ87" s="159"/>
      <c r="XR87" s="159"/>
      <c r="XS87" s="159"/>
      <c r="XT87" s="159"/>
      <c r="XU87" s="159"/>
      <c r="XV87" s="159"/>
      <c r="XW87" s="159"/>
      <c r="XX87" s="159"/>
      <c r="XY87" s="159"/>
      <c r="XZ87" s="159"/>
      <c r="YA87" s="159"/>
      <c r="YB87" s="159"/>
      <c r="YC87" s="159"/>
      <c r="YD87" s="159"/>
      <c r="YE87" s="159"/>
      <c r="YF87" s="159"/>
      <c r="YG87" s="159"/>
      <c r="YH87" s="159"/>
      <c r="YI87" s="159"/>
      <c r="YJ87" s="159"/>
      <c r="YK87" s="159"/>
      <c r="YL87" s="159"/>
      <c r="YM87" s="159"/>
      <c r="YN87" s="159"/>
      <c r="YO87" s="159"/>
      <c r="YP87" s="159"/>
      <c r="YQ87" s="159"/>
      <c r="YR87" s="159"/>
      <c r="YS87" s="159"/>
      <c r="YT87" s="159"/>
      <c r="YU87" s="159"/>
      <c r="YV87" s="159"/>
      <c r="YW87" s="159"/>
      <c r="YX87" s="159"/>
      <c r="YY87" s="159"/>
      <c r="YZ87" s="159"/>
      <c r="ZA87" s="159"/>
      <c r="ZB87" s="159"/>
      <c r="ZC87" s="159"/>
      <c r="ZD87" s="159"/>
      <c r="ZE87" s="159"/>
      <c r="ZF87" s="159"/>
      <c r="ZG87" s="159"/>
      <c r="ZH87" s="159"/>
      <c r="ZI87" s="159"/>
      <c r="ZJ87" s="159"/>
      <c r="ZK87" s="159"/>
      <c r="ZL87" s="159"/>
      <c r="ZM87" s="159"/>
      <c r="ZN87" s="159"/>
      <c r="ZO87" s="159"/>
      <c r="ZP87" s="159"/>
      <c r="ZQ87" s="159"/>
      <c r="ZR87" s="159"/>
      <c r="ZS87" s="159"/>
      <c r="ZT87" s="159"/>
      <c r="ZU87" s="159"/>
      <c r="ZV87" s="159"/>
      <c r="ZW87" s="159"/>
      <c r="ZX87" s="159"/>
      <c r="ZY87" s="159"/>
      <c r="ZZ87" s="159"/>
      <c r="AAA87" s="159"/>
      <c r="AAB87" s="159"/>
      <c r="AAC87" s="159"/>
      <c r="AAD87" s="159"/>
      <c r="AAE87" s="159"/>
      <c r="AAF87" s="159"/>
      <c r="AAG87" s="159"/>
      <c r="AAH87" s="159"/>
      <c r="AAI87" s="159"/>
      <c r="AAJ87" s="159"/>
      <c r="AAK87" s="159"/>
      <c r="AAL87" s="159"/>
      <c r="AAM87" s="159"/>
      <c r="AAN87" s="159"/>
      <c r="AAO87" s="159"/>
      <c r="AAP87" s="159"/>
      <c r="AAQ87" s="159"/>
      <c r="AAR87" s="159"/>
      <c r="AAS87" s="159"/>
      <c r="AAT87" s="159"/>
      <c r="AAU87" s="159"/>
      <c r="AAV87" s="159"/>
      <c r="AAW87" s="159"/>
      <c r="AAX87" s="159"/>
      <c r="AAY87" s="159"/>
      <c r="AAZ87" s="159"/>
      <c r="ABA87" s="159"/>
      <c r="ABB87" s="159"/>
      <c r="ABC87" s="159"/>
      <c r="ABD87" s="159"/>
      <c r="ABE87" s="159"/>
      <c r="ABF87" s="159"/>
      <c r="ABG87" s="159"/>
      <c r="ABH87" s="159"/>
      <c r="ABI87" s="159"/>
      <c r="ABJ87" s="159"/>
      <c r="ABK87" s="159"/>
      <c r="ABL87" s="159"/>
      <c r="ABM87" s="159"/>
      <c r="ABN87" s="159"/>
      <c r="ABO87" s="159"/>
      <c r="ABP87" s="159"/>
      <c r="ABQ87" s="159"/>
      <c r="ABR87" s="159"/>
      <c r="ABS87" s="159"/>
      <c r="ABT87" s="159"/>
      <c r="ABU87" s="159"/>
      <c r="ABV87" s="159"/>
      <c r="ABW87" s="159"/>
      <c r="ABX87" s="159"/>
      <c r="ABY87" s="159"/>
      <c r="ABZ87" s="159"/>
      <c r="ACA87" s="159"/>
      <c r="ACB87" s="159"/>
      <c r="ACC87" s="159"/>
      <c r="ACD87" s="159"/>
      <c r="ACE87" s="159"/>
      <c r="ACF87" s="159"/>
      <c r="ACG87" s="159"/>
      <c r="ACH87" s="159"/>
      <c r="ACI87" s="159"/>
      <c r="ACJ87" s="159"/>
      <c r="ACK87" s="159"/>
      <c r="ACL87" s="159"/>
      <c r="ACM87" s="159"/>
      <c r="ACN87" s="159"/>
      <c r="ACO87" s="159"/>
      <c r="ACP87" s="159"/>
      <c r="ACQ87" s="159"/>
      <c r="ACR87" s="159"/>
      <c r="ACS87" s="159"/>
      <c r="ACT87" s="159"/>
      <c r="ACU87" s="159"/>
      <c r="ACV87" s="159"/>
      <c r="ACW87" s="159"/>
      <c r="ACX87" s="159"/>
      <c r="ACY87" s="159"/>
      <c r="ACZ87" s="159"/>
      <c r="ADA87" s="159"/>
      <c r="ADB87" s="159"/>
      <c r="ADC87" s="159"/>
      <c r="ADD87" s="159"/>
      <c r="ADE87" s="159"/>
      <c r="ADF87" s="159"/>
      <c r="ADG87" s="159"/>
      <c r="ADH87" s="159"/>
      <c r="ADI87" s="159"/>
      <c r="ADJ87" s="159"/>
      <c r="ADK87" s="159"/>
      <c r="ADL87" s="159"/>
      <c r="ADM87" s="159"/>
      <c r="ADN87" s="159"/>
      <c r="ADO87" s="159"/>
      <c r="ADP87" s="159"/>
      <c r="ADQ87" s="159"/>
      <c r="ADR87" s="159"/>
      <c r="ADS87" s="159"/>
      <c r="ADT87" s="159"/>
      <c r="ADU87" s="159"/>
      <c r="ADV87" s="159"/>
      <c r="ADW87" s="159"/>
      <c r="ADX87" s="159"/>
      <c r="ADY87" s="159"/>
      <c r="ADZ87" s="159"/>
      <c r="AEA87" s="159"/>
      <c r="AEB87" s="159"/>
      <c r="AEC87" s="159"/>
      <c r="AED87" s="159"/>
      <c r="AEE87" s="159"/>
      <c r="AEF87" s="159"/>
      <c r="AEG87" s="159"/>
      <c r="AEH87" s="159"/>
      <c r="AEI87" s="159"/>
      <c r="AEJ87" s="159"/>
      <c r="AEK87" s="159"/>
      <c r="AEL87" s="159"/>
      <c r="AEM87" s="159"/>
      <c r="AEN87" s="159"/>
      <c r="AEO87" s="159"/>
      <c r="AEP87" s="159"/>
      <c r="AEQ87" s="159"/>
      <c r="AER87" s="159"/>
      <c r="AES87" s="159"/>
      <c r="AET87" s="159"/>
      <c r="AEU87" s="159"/>
      <c r="AEV87" s="159"/>
      <c r="AEW87" s="159"/>
      <c r="AEX87" s="159"/>
      <c r="AEY87" s="159"/>
      <c r="AEZ87" s="159"/>
      <c r="AFA87" s="159"/>
      <c r="AFB87" s="159"/>
      <c r="AFC87" s="159"/>
      <c r="AFD87" s="159"/>
      <c r="AFE87" s="159"/>
      <c r="AFF87" s="159"/>
      <c r="AFG87" s="159"/>
      <c r="AFH87" s="159"/>
      <c r="AFI87" s="159"/>
      <c r="AFJ87" s="159"/>
      <c r="AFK87" s="159"/>
      <c r="AFL87" s="159"/>
      <c r="AFM87" s="159"/>
      <c r="AFN87" s="159"/>
      <c r="AFO87" s="159"/>
      <c r="AFP87" s="159"/>
      <c r="AFQ87" s="159"/>
      <c r="AFR87" s="159"/>
      <c r="AFS87" s="159"/>
      <c r="AFT87" s="159"/>
      <c r="AFU87" s="159"/>
      <c r="AFV87" s="159"/>
      <c r="AFW87" s="159"/>
      <c r="AFX87" s="159"/>
      <c r="AFY87" s="159"/>
      <c r="AFZ87" s="159"/>
      <c r="AGA87" s="159"/>
      <c r="AGB87" s="159"/>
      <c r="AGC87" s="159"/>
      <c r="AGD87" s="159"/>
      <c r="AGE87" s="159"/>
      <c r="AGF87" s="159"/>
      <c r="AGG87" s="159"/>
      <c r="AGH87" s="159"/>
      <c r="AGI87" s="159"/>
      <c r="AGJ87" s="159"/>
      <c r="AGK87" s="159"/>
      <c r="AGL87" s="159"/>
      <c r="AGM87" s="159"/>
      <c r="AGN87" s="159"/>
      <c r="AGO87" s="159"/>
      <c r="AGP87" s="159"/>
      <c r="AGQ87" s="159"/>
      <c r="AGR87" s="159"/>
      <c r="AGS87" s="159"/>
      <c r="AGT87" s="159"/>
      <c r="AGU87" s="159"/>
      <c r="AGV87" s="159"/>
      <c r="AGW87" s="159"/>
      <c r="AGX87" s="159"/>
      <c r="AGY87" s="159"/>
      <c r="AGZ87" s="159"/>
      <c r="AHA87" s="159"/>
      <c r="AHB87" s="159"/>
      <c r="AHC87" s="159"/>
      <c r="AHD87" s="159"/>
      <c r="AHE87" s="159"/>
      <c r="AHF87" s="159"/>
      <c r="AHG87" s="159"/>
      <c r="AHH87" s="159"/>
      <c r="AHI87" s="159"/>
      <c r="AHJ87" s="159"/>
      <c r="AHK87" s="159"/>
      <c r="AHL87" s="159"/>
      <c r="AHM87" s="159"/>
      <c r="AHN87" s="159"/>
      <c r="AHO87" s="159"/>
      <c r="AHP87" s="159"/>
      <c r="AHQ87" s="159"/>
      <c r="AHR87" s="159"/>
      <c r="AHS87" s="159"/>
      <c r="AHT87" s="159"/>
      <c r="AHU87" s="159"/>
      <c r="AHV87" s="159"/>
      <c r="AHW87" s="159"/>
      <c r="AHX87" s="159"/>
      <c r="AHY87" s="159"/>
      <c r="AHZ87" s="159"/>
      <c r="AIA87" s="159"/>
      <c r="AIB87" s="159"/>
      <c r="AIC87" s="159"/>
      <c r="AID87" s="159"/>
      <c r="AIE87" s="159"/>
      <c r="AIF87" s="159"/>
      <c r="AIG87" s="159"/>
      <c r="AIH87" s="159"/>
      <c r="AII87" s="159"/>
      <c r="AIJ87" s="159"/>
      <c r="AIK87" s="159"/>
      <c r="AIL87" s="159"/>
      <c r="AIM87" s="159"/>
      <c r="AIN87" s="159"/>
      <c r="AIO87" s="159"/>
      <c r="AIP87" s="159"/>
      <c r="AIQ87" s="159"/>
      <c r="AIR87" s="159"/>
      <c r="AIS87" s="159"/>
      <c r="AIT87" s="159"/>
      <c r="AIU87" s="159"/>
      <c r="AIV87" s="159"/>
      <c r="AIW87" s="159"/>
      <c r="AIX87" s="159"/>
      <c r="AIY87" s="159"/>
      <c r="AIZ87" s="159"/>
      <c r="AJA87" s="159"/>
      <c r="AJB87" s="159"/>
      <c r="AJC87" s="159"/>
      <c r="AJD87" s="159"/>
      <c r="AJE87" s="159"/>
      <c r="AJF87" s="159"/>
      <c r="AJG87" s="159"/>
      <c r="AJH87" s="159"/>
      <c r="AJI87" s="159"/>
      <c r="AJJ87" s="159"/>
      <c r="AJK87" s="159"/>
      <c r="AJL87" s="159"/>
      <c r="AJM87" s="159"/>
      <c r="AJN87" s="159"/>
      <c r="AJO87" s="159"/>
      <c r="AJP87" s="159"/>
      <c r="AJQ87" s="159"/>
      <c r="AJR87" s="159"/>
      <c r="AJS87" s="159"/>
      <c r="AJT87" s="159"/>
      <c r="AJU87" s="159"/>
      <c r="AJV87" s="159"/>
      <c r="AJW87" s="159"/>
      <c r="AJX87" s="159"/>
      <c r="AJY87" s="159"/>
      <c r="AJZ87" s="159"/>
      <c r="AKA87" s="159"/>
      <c r="AKB87" s="159"/>
      <c r="AKC87" s="159"/>
      <c r="AKD87" s="159"/>
      <c r="AKE87" s="159"/>
      <c r="AKF87" s="159"/>
      <c r="AKG87" s="159"/>
      <c r="AKH87" s="159"/>
      <c r="AKI87" s="159"/>
      <c r="AKJ87" s="159"/>
      <c r="AKK87" s="159"/>
      <c r="AKL87" s="159"/>
      <c r="AKM87" s="159"/>
      <c r="AKN87" s="159"/>
      <c r="AKO87" s="159"/>
      <c r="AKP87" s="159"/>
      <c r="AKQ87" s="159"/>
      <c r="AKR87" s="159"/>
      <c r="AKS87" s="159"/>
      <c r="AKT87" s="159"/>
      <c r="AKU87" s="159"/>
      <c r="AKV87" s="159"/>
      <c r="AKW87" s="159"/>
      <c r="AKX87" s="159"/>
      <c r="AKY87" s="159"/>
      <c r="AKZ87" s="159"/>
      <c r="ALA87" s="159"/>
      <c r="ALB87" s="159"/>
      <c r="ALC87" s="159"/>
      <c r="ALD87" s="159"/>
      <c r="ALE87" s="159"/>
      <c r="ALF87" s="159"/>
      <c r="ALG87" s="159"/>
      <c r="ALH87" s="159"/>
      <c r="ALI87" s="159"/>
      <c r="ALJ87" s="159"/>
      <c r="ALK87" s="159"/>
      <c r="ALL87" s="159"/>
      <c r="ALM87" s="159"/>
      <c r="ALN87" s="159"/>
      <c r="ALO87" s="159"/>
      <c r="ALP87" s="159"/>
      <c r="ALQ87" s="159"/>
      <c r="ALR87" s="159"/>
      <c r="ALS87" s="159"/>
      <c r="ALT87" s="159"/>
      <c r="ALU87" s="159"/>
      <c r="ALV87" s="159"/>
      <c r="ALW87" s="159"/>
      <c r="ALX87" s="159"/>
      <c r="ALY87" s="159"/>
      <c r="ALZ87" s="159"/>
      <c r="AMA87" s="159"/>
      <c r="AMB87" s="159"/>
      <c r="AMC87" s="159"/>
      <c r="AMD87" s="159"/>
      <c r="AME87" s="159"/>
      <c r="AMF87" s="159"/>
      <c r="AMG87" s="159"/>
      <c r="AMH87" s="159"/>
      <c r="AMI87" s="159"/>
      <c r="AMJ87" s="159"/>
      <c r="AMK87" s="159"/>
      <c r="AML87" s="159"/>
      <c r="AMM87" s="159"/>
      <c r="AMN87" s="159"/>
      <c r="AMO87" s="159"/>
    </row>
    <row r="88" spans="1:1029" ht="15.75" thickBot="1" x14ac:dyDescent="0.3">
      <c r="A88" s="39">
        <v>46143</v>
      </c>
      <c r="B88" s="55" t="s">
        <v>268</v>
      </c>
      <c r="C88" s="55" t="s">
        <v>268</v>
      </c>
      <c r="D88" s="111" t="s">
        <v>268</v>
      </c>
      <c r="E88" s="112" t="s">
        <v>28</v>
      </c>
      <c r="F88" s="55" t="s">
        <v>28</v>
      </c>
      <c r="G88" s="55" t="s">
        <v>28</v>
      </c>
      <c r="H88" s="142" t="b">
        <f t="shared" si="8"/>
        <v>0</v>
      </c>
      <c r="I88" s="109" t="s">
        <v>28</v>
      </c>
      <c r="J88" s="69" t="s">
        <v>28</v>
      </c>
      <c r="K88" s="69" t="s">
        <v>28</v>
      </c>
      <c r="L88" s="148" t="b">
        <f t="shared" si="9"/>
        <v>0</v>
      </c>
      <c r="M88" s="104" t="s">
        <v>28</v>
      </c>
      <c r="N88" s="103" t="s">
        <v>28</v>
      </c>
      <c r="O88" s="103" t="s">
        <v>28</v>
      </c>
      <c r="P88" s="142" t="b">
        <f t="shared" si="10"/>
        <v>0</v>
      </c>
      <c r="Q88" s="44" t="s">
        <v>28</v>
      </c>
      <c r="R88" s="55" t="s">
        <v>28</v>
      </c>
      <c r="S88" s="55" t="s">
        <v>28</v>
      </c>
      <c r="T88" s="142" t="b">
        <f t="shared" si="11"/>
        <v>0</v>
      </c>
    </row>
    <row r="89" spans="1:1029" ht="26.25" thickTop="1" x14ac:dyDescent="0.25">
      <c r="A89" s="8">
        <v>46146</v>
      </c>
      <c r="B89" s="9" t="s">
        <v>101</v>
      </c>
      <c r="C89" s="9" t="s">
        <v>82</v>
      </c>
      <c r="D89" s="101" t="s">
        <v>21</v>
      </c>
      <c r="E89" s="120" t="s">
        <v>19</v>
      </c>
      <c r="F89" s="119" t="s">
        <v>130</v>
      </c>
      <c r="G89" s="119" t="s">
        <v>21</v>
      </c>
      <c r="H89" s="146">
        <f t="shared" si="8"/>
        <v>0.5</v>
      </c>
      <c r="I89" s="122" t="s">
        <v>42</v>
      </c>
      <c r="J89" s="100" t="s">
        <v>117</v>
      </c>
      <c r="K89" s="100" t="s">
        <v>21</v>
      </c>
      <c r="L89" s="143">
        <f t="shared" si="9"/>
        <v>0.5</v>
      </c>
      <c r="M89" s="121" t="s">
        <v>19</v>
      </c>
      <c r="N89" s="121" t="s">
        <v>130</v>
      </c>
      <c r="O89" s="121" t="s">
        <v>21</v>
      </c>
      <c r="P89" s="146">
        <f t="shared" si="10"/>
        <v>0.5</v>
      </c>
      <c r="Q89" s="121" t="s">
        <v>19</v>
      </c>
      <c r="R89" s="119" t="s">
        <v>130</v>
      </c>
      <c r="S89" s="119" t="s">
        <v>21</v>
      </c>
      <c r="T89" s="146">
        <f t="shared" si="11"/>
        <v>0.5</v>
      </c>
      <c r="U89" s="159"/>
      <c r="V89" s="159"/>
    </row>
    <row r="90" spans="1:1029" s="161" customFormat="1" ht="25.5" x14ac:dyDescent="0.25">
      <c r="A90" s="138">
        <v>46147</v>
      </c>
      <c r="B90" s="99" t="s">
        <v>42</v>
      </c>
      <c r="C90" s="99" t="s">
        <v>38</v>
      </c>
      <c r="D90" s="160" t="s">
        <v>16</v>
      </c>
      <c r="E90" s="118" t="s">
        <v>53</v>
      </c>
      <c r="F90" s="99" t="s">
        <v>125</v>
      </c>
      <c r="G90" s="99" t="s">
        <v>31</v>
      </c>
      <c r="H90" s="141" t="b">
        <f t="shared" si="8"/>
        <v>0</v>
      </c>
      <c r="I90" s="121" t="s">
        <v>14</v>
      </c>
      <c r="J90" s="121" t="s">
        <v>38</v>
      </c>
      <c r="K90" s="121" t="s">
        <v>31</v>
      </c>
      <c r="L90" s="141">
        <f t="shared" si="9"/>
        <v>0.5</v>
      </c>
      <c r="M90" s="121" t="s">
        <v>29</v>
      </c>
      <c r="N90" s="121" t="s">
        <v>12</v>
      </c>
      <c r="O90" s="121" t="s">
        <v>168</v>
      </c>
      <c r="P90" s="141" t="b">
        <f t="shared" si="10"/>
        <v>0</v>
      </c>
      <c r="Q90" s="149" t="s">
        <v>8</v>
      </c>
      <c r="R90" s="99" t="s">
        <v>51</v>
      </c>
      <c r="S90" s="99" t="s">
        <v>168</v>
      </c>
      <c r="T90" s="141" t="b">
        <f t="shared" si="11"/>
        <v>0</v>
      </c>
      <c r="U90" s="159"/>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c r="AR90" s="159"/>
      <c r="AS90" s="159"/>
      <c r="AT90" s="159"/>
      <c r="AU90" s="159"/>
      <c r="AV90" s="159"/>
      <c r="AW90" s="159"/>
      <c r="AX90" s="159"/>
      <c r="AY90" s="159"/>
      <c r="AZ90" s="159"/>
      <c r="BA90" s="159"/>
      <c r="BB90" s="159"/>
      <c r="BC90" s="159"/>
      <c r="BD90" s="159"/>
      <c r="BE90" s="159"/>
      <c r="BF90" s="159"/>
      <c r="BG90" s="159"/>
      <c r="BH90" s="159"/>
      <c r="BI90" s="159"/>
      <c r="BJ90" s="159"/>
      <c r="BK90" s="159"/>
      <c r="BL90" s="159"/>
      <c r="BM90" s="159"/>
      <c r="BN90" s="159"/>
      <c r="BO90" s="159"/>
      <c r="BP90" s="159"/>
      <c r="BQ90" s="159"/>
      <c r="BR90" s="159"/>
      <c r="BS90" s="159"/>
      <c r="BT90" s="159"/>
      <c r="BU90" s="159"/>
      <c r="BV90" s="159"/>
      <c r="BW90" s="159"/>
      <c r="BX90" s="159"/>
      <c r="BY90" s="159"/>
      <c r="BZ90" s="159"/>
      <c r="CA90" s="159"/>
      <c r="CB90" s="159"/>
      <c r="CC90" s="159"/>
      <c r="CD90" s="159"/>
      <c r="CE90" s="159"/>
      <c r="CF90" s="159"/>
      <c r="CG90" s="159"/>
      <c r="CH90" s="159"/>
      <c r="CI90" s="159"/>
      <c r="CJ90" s="159"/>
      <c r="CK90" s="159"/>
      <c r="CL90" s="159"/>
      <c r="CM90" s="159"/>
      <c r="CN90" s="159"/>
      <c r="CO90" s="159"/>
      <c r="CP90" s="159"/>
      <c r="CQ90" s="159"/>
      <c r="CR90" s="159"/>
      <c r="CS90" s="159"/>
      <c r="CT90" s="159"/>
      <c r="CU90" s="159"/>
      <c r="CV90" s="159"/>
      <c r="CW90" s="159"/>
      <c r="CX90" s="159"/>
      <c r="CY90" s="159"/>
      <c r="CZ90" s="159"/>
      <c r="DA90" s="159"/>
      <c r="DB90" s="159"/>
      <c r="DC90" s="159"/>
      <c r="DD90" s="159"/>
      <c r="DE90" s="159"/>
      <c r="DF90" s="159"/>
      <c r="DG90" s="159"/>
      <c r="DH90" s="159"/>
      <c r="DI90" s="159"/>
      <c r="DJ90" s="159"/>
      <c r="DK90" s="159"/>
      <c r="DL90" s="159"/>
      <c r="DM90" s="159"/>
      <c r="DN90" s="159"/>
      <c r="DO90" s="159"/>
      <c r="DP90" s="159"/>
      <c r="DQ90" s="159"/>
      <c r="DR90" s="159"/>
      <c r="DS90" s="159"/>
      <c r="DT90" s="159"/>
      <c r="DU90" s="159"/>
      <c r="DV90" s="159"/>
      <c r="DW90" s="159"/>
      <c r="DX90" s="159"/>
      <c r="DY90" s="159"/>
      <c r="DZ90" s="159"/>
      <c r="EA90" s="159"/>
      <c r="EB90" s="159"/>
      <c r="EC90" s="159"/>
      <c r="ED90" s="159"/>
      <c r="EE90" s="159"/>
      <c r="EF90" s="159"/>
      <c r="EG90" s="159"/>
      <c r="EH90" s="159"/>
      <c r="EI90" s="159"/>
      <c r="EJ90" s="159"/>
      <c r="EK90" s="159"/>
      <c r="EL90" s="159"/>
      <c r="EM90" s="159"/>
      <c r="EN90" s="159"/>
      <c r="EO90" s="159"/>
      <c r="EP90" s="159"/>
      <c r="EQ90" s="159"/>
      <c r="ER90" s="159"/>
      <c r="ES90" s="159"/>
      <c r="ET90" s="159"/>
      <c r="EU90" s="159"/>
      <c r="EV90" s="159"/>
      <c r="EW90" s="159"/>
      <c r="EX90" s="159"/>
      <c r="EY90" s="159"/>
      <c r="EZ90" s="159"/>
      <c r="FA90" s="159"/>
      <c r="FB90" s="159"/>
      <c r="FC90" s="159"/>
      <c r="FD90" s="159"/>
      <c r="FE90" s="159"/>
      <c r="FF90" s="159"/>
      <c r="FG90" s="159"/>
      <c r="FH90" s="159"/>
      <c r="FI90" s="159"/>
      <c r="FJ90" s="159"/>
      <c r="FK90" s="159"/>
      <c r="FL90" s="159"/>
      <c r="FM90" s="159"/>
      <c r="FN90" s="159"/>
      <c r="FO90" s="159"/>
      <c r="FP90" s="159"/>
      <c r="FQ90" s="159"/>
      <c r="FR90" s="159"/>
      <c r="FS90" s="159"/>
      <c r="FT90" s="159"/>
      <c r="FU90" s="159"/>
      <c r="FV90" s="159"/>
      <c r="FW90" s="159"/>
      <c r="FX90" s="159"/>
      <c r="FY90" s="159"/>
      <c r="FZ90" s="159"/>
      <c r="GA90" s="159"/>
      <c r="GB90" s="159"/>
      <c r="GC90" s="159"/>
      <c r="GD90" s="159"/>
      <c r="GE90" s="159"/>
      <c r="GF90" s="159"/>
      <c r="GG90" s="159"/>
      <c r="GH90" s="159"/>
      <c r="GI90" s="159"/>
      <c r="GJ90" s="159"/>
      <c r="GK90" s="159"/>
      <c r="GL90" s="159"/>
      <c r="GM90" s="159"/>
      <c r="GN90" s="159"/>
      <c r="GO90" s="159"/>
      <c r="GP90" s="159"/>
      <c r="GQ90" s="159"/>
      <c r="GR90" s="159"/>
      <c r="GS90" s="159"/>
      <c r="GT90" s="159"/>
      <c r="GU90" s="159"/>
      <c r="GV90" s="159"/>
      <c r="GW90" s="159"/>
      <c r="GX90" s="159"/>
      <c r="GY90" s="159"/>
      <c r="GZ90" s="159"/>
      <c r="HA90" s="159"/>
      <c r="HB90" s="159"/>
      <c r="HC90" s="159"/>
      <c r="HD90" s="159"/>
      <c r="HE90" s="159"/>
      <c r="HF90" s="159"/>
      <c r="HG90" s="159"/>
      <c r="HH90" s="159"/>
      <c r="HI90" s="159"/>
      <c r="HJ90" s="159"/>
      <c r="HK90" s="159"/>
      <c r="HL90" s="159"/>
      <c r="HM90" s="159"/>
      <c r="HN90" s="159"/>
      <c r="HO90" s="159"/>
      <c r="HP90" s="159"/>
      <c r="HQ90" s="159"/>
      <c r="HR90" s="159"/>
      <c r="HS90" s="159"/>
      <c r="HT90" s="159"/>
      <c r="HU90" s="159"/>
      <c r="HV90" s="159"/>
      <c r="HW90" s="159"/>
      <c r="HX90" s="159"/>
      <c r="HY90" s="159"/>
      <c r="HZ90" s="159"/>
      <c r="IA90" s="159"/>
      <c r="IB90" s="159"/>
      <c r="IC90" s="159"/>
      <c r="ID90" s="159"/>
      <c r="IE90" s="159"/>
      <c r="IF90" s="159"/>
      <c r="IG90" s="159"/>
      <c r="IH90" s="159"/>
      <c r="II90" s="159"/>
      <c r="IJ90" s="159"/>
      <c r="IK90" s="159"/>
      <c r="IL90" s="159"/>
      <c r="IM90" s="159"/>
      <c r="IN90" s="159"/>
      <c r="IO90" s="159"/>
      <c r="IP90" s="159"/>
      <c r="IQ90" s="159"/>
      <c r="IR90" s="159"/>
      <c r="IS90" s="159"/>
      <c r="IT90" s="159"/>
      <c r="IU90" s="159"/>
      <c r="IV90" s="159"/>
      <c r="IW90" s="159"/>
      <c r="IX90" s="159"/>
      <c r="IY90" s="159"/>
      <c r="IZ90" s="159"/>
      <c r="JA90" s="159"/>
      <c r="JB90" s="159"/>
      <c r="JC90" s="159"/>
      <c r="JD90" s="159"/>
      <c r="JE90" s="159"/>
      <c r="JF90" s="159"/>
      <c r="JG90" s="159"/>
      <c r="JH90" s="159"/>
      <c r="JI90" s="159"/>
      <c r="JJ90" s="159"/>
      <c r="JK90" s="159"/>
      <c r="JL90" s="159"/>
      <c r="JM90" s="159"/>
      <c r="JN90" s="159"/>
      <c r="JO90" s="159"/>
      <c r="JP90" s="159"/>
      <c r="JQ90" s="159"/>
      <c r="JR90" s="159"/>
      <c r="JS90" s="159"/>
      <c r="JT90" s="159"/>
      <c r="JU90" s="159"/>
      <c r="JV90" s="159"/>
      <c r="JW90" s="159"/>
      <c r="JX90" s="159"/>
      <c r="JY90" s="159"/>
      <c r="JZ90" s="159"/>
      <c r="KA90" s="159"/>
      <c r="KB90" s="159"/>
      <c r="KC90" s="159"/>
      <c r="KD90" s="159"/>
      <c r="KE90" s="159"/>
      <c r="KF90" s="159"/>
      <c r="KG90" s="159"/>
      <c r="KH90" s="159"/>
      <c r="KI90" s="159"/>
      <c r="KJ90" s="159"/>
      <c r="KK90" s="159"/>
      <c r="KL90" s="159"/>
      <c r="KM90" s="159"/>
      <c r="KN90" s="159"/>
      <c r="KO90" s="159"/>
      <c r="KP90" s="159"/>
      <c r="KQ90" s="159"/>
      <c r="KR90" s="159"/>
      <c r="KS90" s="159"/>
      <c r="KT90" s="159"/>
      <c r="KU90" s="159"/>
      <c r="KV90" s="159"/>
      <c r="KW90" s="159"/>
      <c r="KX90" s="159"/>
      <c r="KY90" s="159"/>
      <c r="KZ90" s="159"/>
      <c r="LA90" s="159"/>
      <c r="LB90" s="159"/>
      <c r="LC90" s="159"/>
      <c r="LD90" s="159"/>
      <c r="LE90" s="159"/>
      <c r="LF90" s="159"/>
      <c r="LG90" s="159"/>
      <c r="LH90" s="159"/>
      <c r="LI90" s="159"/>
      <c r="LJ90" s="159"/>
      <c r="LK90" s="159"/>
      <c r="LL90" s="159"/>
      <c r="LM90" s="159"/>
      <c r="LN90" s="159"/>
      <c r="LO90" s="159"/>
      <c r="LP90" s="159"/>
      <c r="LQ90" s="159"/>
      <c r="LR90" s="159"/>
      <c r="LS90" s="159"/>
      <c r="LT90" s="159"/>
      <c r="LU90" s="159"/>
      <c r="LV90" s="159"/>
      <c r="LW90" s="159"/>
      <c r="LX90" s="159"/>
      <c r="LY90" s="159"/>
      <c r="LZ90" s="159"/>
      <c r="MA90" s="159"/>
      <c r="MB90" s="159"/>
      <c r="MC90" s="159"/>
      <c r="MD90" s="159"/>
      <c r="ME90" s="159"/>
      <c r="MF90" s="159"/>
      <c r="MG90" s="159"/>
      <c r="MH90" s="159"/>
      <c r="MI90" s="159"/>
      <c r="MJ90" s="159"/>
      <c r="MK90" s="159"/>
      <c r="ML90" s="159"/>
      <c r="MM90" s="159"/>
      <c r="MN90" s="159"/>
      <c r="MO90" s="159"/>
      <c r="MP90" s="159"/>
      <c r="MQ90" s="159"/>
      <c r="MR90" s="159"/>
      <c r="MS90" s="159"/>
      <c r="MT90" s="159"/>
      <c r="MU90" s="159"/>
      <c r="MV90" s="159"/>
      <c r="MW90" s="159"/>
      <c r="MX90" s="159"/>
      <c r="MY90" s="159"/>
      <c r="MZ90" s="159"/>
      <c r="NA90" s="159"/>
      <c r="NB90" s="159"/>
      <c r="NC90" s="159"/>
      <c r="ND90" s="159"/>
      <c r="NE90" s="159"/>
      <c r="NF90" s="159"/>
      <c r="NG90" s="159"/>
      <c r="NH90" s="159"/>
      <c r="NI90" s="159"/>
      <c r="NJ90" s="159"/>
      <c r="NK90" s="159"/>
      <c r="NL90" s="159"/>
      <c r="NM90" s="159"/>
      <c r="NN90" s="159"/>
      <c r="NO90" s="159"/>
      <c r="NP90" s="159"/>
      <c r="NQ90" s="159"/>
      <c r="NR90" s="159"/>
      <c r="NS90" s="159"/>
      <c r="NT90" s="159"/>
      <c r="NU90" s="159"/>
      <c r="NV90" s="159"/>
      <c r="NW90" s="159"/>
      <c r="NX90" s="159"/>
      <c r="NY90" s="159"/>
      <c r="NZ90" s="159"/>
      <c r="OA90" s="159"/>
      <c r="OB90" s="159"/>
      <c r="OC90" s="159"/>
      <c r="OD90" s="159"/>
      <c r="OE90" s="159"/>
      <c r="OF90" s="159"/>
      <c r="OG90" s="159"/>
      <c r="OH90" s="159"/>
      <c r="OI90" s="159"/>
      <c r="OJ90" s="159"/>
      <c r="OK90" s="159"/>
      <c r="OL90" s="159"/>
      <c r="OM90" s="159"/>
      <c r="ON90" s="159"/>
      <c r="OO90" s="159"/>
      <c r="OP90" s="159"/>
      <c r="OQ90" s="159"/>
      <c r="OR90" s="159"/>
      <c r="OS90" s="159"/>
      <c r="OT90" s="159"/>
      <c r="OU90" s="159"/>
      <c r="OV90" s="159"/>
      <c r="OW90" s="159"/>
      <c r="OX90" s="159"/>
      <c r="OY90" s="159"/>
      <c r="OZ90" s="159"/>
      <c r="PA90" s="159"/>
      <c r="PB90" s="159"/>
      <c r="PC90" s="159"/>
      <c r="PD90" s="159"/>
      <c r="PE90" s="159"/>
      <c r="PF90" s="159"/>
      <c r="PG90" s="159"/>
      <c r="PH90" s="159"/>
      <c r="PI90" s="159"/>
      <c r="PJ90" s="159"/>
      <c r="PK90" s="159"/>
      <c r="PL90" s="159"/>
      <c r="PM90" s="159"/>
      <c r="PN90" s="159"/>
      <c r="PO90" s="159"/>
      <c r="PP90" s="159"/>
      <c r="PQ90" s="159"/>
      <c r="PR90" s="159"/>
      <c r="PS90" s="159"/>
      <c r="PT90" s="159"/>
      <c r="PU90" s="159"/>
      <c r="PV90" s="159"/>
      <c r="PW90" s="159"/>
      <c r="PX90" s="159"/>
      <c r="PY90" s="159"/>
      <c r="PZ90" s="159"/>
      <c r="QA90" s="159"/>
      <c r="QB90" s="159"/>
      <c r="QC90" s="159"/>
      <c r="QD90" s="159"/>
      <c r="QE90" s="159"/>
      <c r="QF90" s="159"/>
      <c r="QG90" s="159"/>
      <c r="QH90" s="159"/>
      <c r="QI90" s="159"/>
      <c r="QJ90" s="159"/>
      <c r="QK90" s="159"/>
      <c r="QL90" s="159"/>
      <c r="QM90" s="159"/>
      <c r="QN90" s="159"/>
      <c r="QO90" s="159"/>
      <c r="QP90" s="159"/>
      <c r="QQ90" s="159"/>
      <c r="QR90" s="159"/>
      <c r="QS90" s="159"/>
      <c r="QT90" s="159"/>
      <c r="QU90" s="159"/>
      <c r="QV90" s="159"/>
      <c r="QW90" s="159"/>
      <c r="QX90" s="159"/>
      <c r="QY90" s="159"/>
      <c r="QZ90" s="159"/>
      <c r="RA90" s="159"/>
      <c r="RB90" s="159"/>
      <c r="RC90" s="159"/>
      <c r="RD90" s="159"/>
      <c r="RE90" s="159"/>
      <c r="RF90" s="159"/>
      <c r="RG90" s="159"/>
      <c r="RH90" s="159"/>
      <c r="RI90" s="159"/>
      <c r="RJ90" s="159"/>
      <c r="RK90" s="159"/>
      <c r="RL90" s="159"/>
      <c r="RM90" s="159"/>
      <c r="RN90" s="159"/>
      <c r="RO90" s="159"/>
      <c r="RP90" s="159"/>
      <c r="RQ90" s="159"/>
      <c r="RR90" s="159"/>
      <c r="RS90" s="159"/>
      <c r="RT90" s="159"/>
      <c r="RU90" s="159"/>
      <c r="RV90" s="159"/>
      <c r="RW90" s="159"/>
      <c r="RX90" s="159"/>
      <c r="RY90" s="159"/>
      <c r="RZ90" s="159"/>
      <c r="SA90" s="159"/>
      <c r="SB90" s="159"/>
      <c r="SC90" s="159"/>
      <c r="SD90" s="159"/>
      <c r="SE90" s="159"/>
      <c r="SF90" s="159"/>
      <c r="SG90" s="159"/>
      <c r="SH90" s="159"/>
      <c r="SI90" s="159"/>
      <c r="SJ90" s="159"/>
      <c r="SK90" s="159"/>
      <c r="SL90" s="159"/>
      <c r="SM90" s="159"/>
      <c r="SN90" s="159"/>
      <c r="SO90" s="159"/>
      <c r="SP90" s="159"/>
      <c r="SQ90" s="159"/>
      <c r="SR90" s="159"/>
      <c r="SS90" s="159"/>
      <c r="ST90" s="159"/>
      <c r="SU90" s="159"/>
      <c r="SV90" s="159"/>
      <c r="SW90" s="159"/>
      <c r="SX90" s="159"/>
      <c r="SY90" s="159"/>
      <c r="SZ90" s="159"/>
      <c r="TA90" s="159"/>
      <c r="TB90" s="159"/>
      <c r="TC90" s="159"/>
      <c r="TD90" s="159"/>
      <c r="TE90" s="159"/>
      <c r="TF90" s="159"/>
      <c r="TG90" s="159"/>
      <c r="TH90" s="159"/>
      <c r="TI90" s="159"/>
      <c r="TJ90" s="159"/>
      <c r="TK90" s="159"/>
      <c r="TL90" s="159"/>
      <c r="TM90" s="159"/>
      <c r="TN90" s="159"/>
      <c r="TO90" s="159"/>
      <c r="TP90" s="159"/>
      <c r="TQ90" s="159"/>
      <c r="TR90" s="159"/>
      <c r="TS90" s="159"/>
      <c r="TT90" s="159"/>
      <c r="TU90" s="159"/>
      <c r="TV90" s="159"/>
      <c r="TW90" s="159"/>
      <c r="TX90" s="159"/>
      <c r="TY90" s="159"/>
      <c r="TZ90" s="159"/>
      <c r="UA90" s="159"/>
      <c r="UB90" s="159"/>
      <c r="UC90" s="159"/>
      <c r="UD90" s="159"/>
      <c r="UE90" s="159"/>
      <c r="UF90" s="159"/>
      <c r="UG90" s="159"/>
      <c r="UH90" s="159"/>
      <c r="UI90" s="159"/>
      <c r="UJ90" s="159"/>
      <c r="UK90" s="159"/>
      <c r="UL90" s="159"/>
      <c r="UM90" s="159"/>
      <c r="UN90" s="159"/>
      <c r="UO90" s="159"/>
      <c r="UP90" s="159"/>
      <c r="UQ90" s="159"/>
      <c r="UR90" s="159"/>
      <c r="US90" s="159"/>
      <c r="UT90" s="159"/>
      <c r="UU90" s="159"/>
      <c r="UV90" s="159"/>
      <c r="UW90" s="159"/>
      <c r="UX90" s="159"/>
      <c r="UY90" s="159"/>
      <c r="UZ90" s="159"/>
      <c r="VA90" s="159"/>
      <c r="VB90" s="159"/>
      <c r="VC90" s="159"/>
      <c r="VD90" s="159"/>
      <c r="VE90" s="159"/>
      <c r="VF90" s="159"/>
      <c r="VG90" s="159"/>
      <c r="VH90" s="159"/>
      <c r="VI90" s="159"/>
      <c r="VJ90" s="159"/>
      <c r="VK90" s="159"/>
      <c r="VL90" s="159"/>
      <c r="VM90" s="159"/>
      <c r="VN90" s="159"/>
      <c r="VO90" s="159"/>
      <c r="VP90" s="159"/>
      <c r="VQ90" s="159"/>
      <c r="VR90" s="159"/>
      <c r="VS90" s="159"/>
      <c r="VT90" s="159"/>
      <c r="VU90" s="159"/>
      <c r="VV90" s="159"/>
      <c r="VW90" s="159"/>
      <c r="VX90" s="159"/>
      <c r="VY90" s="159"/>
      <c r="VZ90" s="159"/>
      <c r="WA90" s="159"/>
      <c r="WB90" s="159"/>
      <c r="WC90" s="159"/>
      <c r="WD90" s="159"/>
      <c r="WE90" s="159"/>
      <c r="WF90" s="159"/>
      <c r="WG90" s="159"/>
      <c r="WH90" s="159"/>
      <c r="WI90" s="159"/>
      <c r="WJ90" s="159"/>
      <c r="WK90" s="159"/>
      <c r="WL90" s="159"/>
      <c r="WM90" s="159"/>
      <c r="WN90" s="159"/>
      <c r="WO90" s="159"/>
      <c r="WP90" s="159"/>
      <c r="WQ90" s="159"/>
      <c r="WR90" s="159"/>
      <c r="WS90" s="159"/>
      <c r="WT90" s="159"/>
      <c r="WU90" s="159"/>
      <c r="WV90" s="159"/>
      <c r="WW90" s="159"/>
      <c r="WX90" s="159"/>
      <c r="WY90" s="159"/>
      <c r="WZ90" s="159"/>
      <c r="XA90" s="159"/>
      <c r="XB90" s="159"/>
      <c r="XC90" s="159"/>
      <c r="XD90" s="159"/>
      <c r="XE90" s="159"/>
      <c r="XF90" s="159"/>
      <c r="XG90" s="159"/>
      <c r="XH90" s="159"/>
      <c r="XI90" s="159"/>
      <c r="XJ90" s="159"/>
      <c r="XK90" s="159"/>
      <c r="XL90" s="159"/>
      <c r="XM90" s="159"/>
      <c r="XN90" s="159"/>
      <c r="XO90" s="159"/>
      <c r="XP90" s="159"/>
      <c r="XQ90" s="159"/>
      <c r="XR90" s="159"/>
      <c r="XS90" s="159"/>
      <c r="XT90" s="159"/>
      <c r="XU90" s="159"/>
      <c r="XV90" s="159"/>
      <c r="XW90" s="159"/>
      <c r="XX90" s="159"/>
      <c r="XY90" s="159"/>
      <c r="XZ90" s="159"/>
      <c r="YA90" s="159"/>
      <c r="YB90" s="159"/>
      <c r="YC90" s="159"/>
      <c r="YD90" s="159"/>
      <c r="YE90" s="159"/>
      <c r="YF90" s="159"/>
      <c r="YG90" s="159"/>
      <c r="YH90" s="159"/>
      <c r="YI90" s="159"/>
      <c r="YJ90" s="159"/>
      <c r="YK90" s="159"/>
      <c r="YL90" s="159"/>
      <c r="YM90" s="159"/>
      <c r="YN90" s="159"/>
      <c r="YO90" s="159"/>
      <c r="YP90" s="159"/>
      <c r="YQ90" s="159"/>
      <c r="YR90" s="159"/>
      <c r="YS90" s="159"/>
      <c r="YT90" s="159"/>
      <c r="YU90" s="159"/>
      <c r="YV90" s="159"/>
      <c r="YW90" s="159"/>
      <c r="YX90" s="159"/>
      <c r="YY90" s="159"/>
      <c r="YZ90" s="159"/>
      <c r="ZA90" s="159"/>
      <c r="ZB90" s="159"/>
      <c r="ZC90" s="159"/>
      <c r="ZD90" s="159"/>
      <c r="ZE90" s="159"/>
      <c r="ZF90" s="159"/>
      <c r="ZG90" s="159"/>
      <c r="ZH90" s="159"/>
      <c r="ZI90" s="159"/>
      <c r="ZJ90" s="159"/>
      <c r="ZK90" s="159"/>
      <c r="ZL90" s="159"/>
      <c r="ZM90" s="159"/>
      <c r="ZN90" s="159"/>
      <c r="ZO90" s="159"/>
      <c r="ZP90" s="159"/>
      <c r="ZQ90" s="159"/>
      <c r="ZR90" s="159"/>
      <c r="ZS90" s="159"/>
      <c r="ZT90" s="159"/>
      <c r="ZU90" s="159"/>
      <c r="ZV90" s="159"/>
      <c r="ZW90" s="159"/>
      <c r="ZX90" s="159"/>
      <c r="ZY90" s="159"/>
      <c r="ZZ90" s="159"/>
      <c r="AAA90" s="159"/>
      <c r="AAB90" s="159"/>
      <c r="AAC90" s="159"/>
      <c r="AAD90" s="159"/>
      <c r="AAE90" s="159"/>
      <c r="AAF90" s="159"/>
      <c r="AAG90" s="159"/>
      <c r="AAH90" s="159"/>
      <c r="AAI90" s="159"/>
      <c r="AAJ90" s="159"/>
      <c r="AAK90" s="159"/>
      <c r="AAL90" s="159"/>
      <c r="AAM90" s="159"/>
      <c r="AAN90" s="159"/>
      <c r="AAO90" s="159"/>
      <c r="AAP90" s="159"/>
      <c r="AAQ90" s="159"/>
      <c r="AAR90" s="159"/>
      <c r="AAS90" s="159"/>
      <c r="AAT90" s="159"/>
      <c r="AAU90" s="159"/>
      <c r="AAV90" s="159"/>
      <c r="AAW90" s="159"/>
      <c r="AAX90" s="159"/>
      <c r="AAY90" s="159"/>
      <c r="AAZ90" s="159"/>
      <c r="ABA90" s="159"/>
      <c r="ABB90" s="159"/>
      <c r="ABC90" s="159"/>
      <c r="ABD90" s="159"/>
      <c r="ABE90" s="159"/>
      <c r="ABF90" s="159"/>
      <c r="ABG90" s="159"/>
      <c r="ABH90" s="159"/>
      <c r="ABI90" s="159"/>
      <c r="ABJ90" s="159"/>
      <c r="ABK90" s="159"/>
      <c r="ABL90" s="159"/>
      <c r="ABM90" s="159"/>
      <c r="ABN90" s="159"/>
      <c r="ABO90" s="159"/>
      <c r="ABP90" s="159"/>
      <c r="ABQ90" s="159"/>
      <c r="ABR90" s="159"/>
      <c r="ABS90" s="159"/>
      <c r="ABT90" s="159"/>
      <c r="ABU90" s="159"/>
      <c r="ABV90" s="159"/>
      <c r="ABW90" s="159"/>
      <c r="ABX90" s="159"/>
      <c r="ABY90" s="159"/>
      <c r="ABZ90" s="159"/>
      <c r="ACA90" s="159"/>
      <c r="ACB90" s="159"/>
      <c r="ACC90" s="159"/>
      <c r="ACD90" s="159"/>
      <c r="ACE90" s="159"/>
      <c r="ACF90" s="159"/>
      <c r="ACG90" s="159"/>
      <c r="ACH90" s="159"/>
      <c r="ACI90" s="159"/>
      <c r="ACJ90" s="159"/>
      <c r="ACK90" s="159"/>
      <c r="ACL90" s="159"/>
      <c r="ACM90" s="159"/>
      <c r="ACN90" s="159"/>
      <c r="ACO90" s="159"/>
      <c r="ACP90" s="159"/>
      <c r="ACQ90" s="159"/>
      <c r="ACR90" s="159"/>
      <c r="ACS90" s="159"/>
      <c r="ACT90" s="159"/>
      <c r="ACU90" s="159"/>
      <c r="ACV90" s="159"/>
      <c r="ACW90" s="159"/>
      <c r="ACX90" s="159"/>
      <c r="ACY90" s="159"/>
      <c r="ACZ90" s="159"/>
      <c r="ADA90" s="159"/>
      <c r="ADB90" s="159"/>
      <c r="ADC90" s="159"/>
      <c r="ADD90" s="159"/>
      <c r="ADE90" s="159"/>
      <c r="ADF90" s="159"/>
      <c r="ADG90" s="159"/>
      <c r="ADH90" s="159"/>
      <c r="ADI90" s="159"/>
      <c r="ADJ90" s="159"/>
      <c r="ADK90" s="159"/>
      <c r="ADL90" s="159"/>
      <c r="ADM90" s="159"/>
      <c r="ADN90" s="159"/>
      <c r="ADO90" s="159"/>
      <c r="ADP90" s="159"/>
      <c r="ADQ90" s="159"/>
      <c r="ADR90" s="159"/>
      <c r="ADS90" s="159"/>
      <c r="ADT90" s="159"/>
      <c r="ADU90" s="159"/>
      <c r="ADV90" s="159"/>
      <c r="ADW90" s="159"/>
      <c r="ADX90" s="159"/>
      <c r="ADY90" s="159"/>
      <c r="ADZ90" s="159"/>
      <c r="AEA90" s="159"/>
      <c r="AEB90" s="159"/>
      <c r="AEC90" s="159"/>
      <c r="AED90" s="159"/>
      <c r="AEE90" s="159"/>
      <c r="AEF90" s="159"/>
      <c r="AEG90" s="159"/>
      <c r="AEH90" s="159"/>
      <c r="AEI90" s="159"/>
      <c r="AEJ90" s="159"/>
      <c r="AEK90" s="159"/>
      <c r="AEL90" s="159"/>
      <c r="AEM90" s="159"/>
      <c r="AEN90" s="159"/>
      <c r="AEO90" s="159"/>
      <c r="AEP90" s="159"/>
      <c r="AEQ90" s="159"/>
      <c r="AER90" s="159"/>
      <c r="AES90" s="159"/>
      <c r="AET90" s="159"/>
      <c r="AEU90" s="159"/>
      <c r="AEV90" s="159"/>
      <c r="AEW90" s="159"/>
      <c r="AEX90" s="159"/>
      <c r="AEY90" s="159"/>
      <c r="AEZ90" s="159"/>
      <c r="AFA90" s="159"/>
      <c r="AFB90" s="159"/>
      <c r="AFC90" s="159"/>
      <c r="AFD90" s="159"/>
      <c r="AFE90" s="159"/>
      <c r="AFF90" s="159"/>
      <c r="AFG90" s="159"/>
      <c r="AFH90" s="159"/>
      <c r="AFI90" s="159"/>
      <c r="AFJ90" s="159"/>
      <c r="AFK90" s="159"/>
      <c r="AFL90" s="159"/>
      <c r="AFM90" s="159"/>
      <c r="AFN90" s="159"/>
      <c r="AFO90" s="159"/>
      <c r="AFP90" s="159"/>
      <c r="AFQ90" s="159"/>
      <c r="AFR90" s="159"/>
      <c r="AFS90" s="159"/>
      <c r="AFT90" s="159"/>
      <c r="AFU90" s="159"/>
      <c r="AFV90" s="159"/>
      <c r="AFW90" s="159"/>
      <c r="AFX90" s="159"/>
      <c r="AFY90" s="159"/>
      <c r="AFZ90" s="159"/>
      <c r="AGA90" s="159"/>
      <c r="AGB90" s="159"/>
      <c r="AGC90" s="159"/>
      <c r="AGD90" s="159"/>
      <c r="AGE90" s="159"/>
      <c r="AGF90" s="159"/>
      <c r="AGG90" s="159"/>
      <c r="AGH90" s="159"/>
      <c r="AGI90" s="159"/>
      <c r="AGJ90" s="159"/>
      <c r="AGK90" s="159"/>
      <c r="AGL90" s="159"/>
      <c r="AGM90" s="159"/>
      <c r="AGN90" s="159"/>
      <c r="AGO90" s="159"/>
      <c r="AGP90" s="159"/>
      <c r="AGQ90" s="159"/>
      <c r="AGR90" s="159"/>
      <c r="AGS90" s="159"/>
      <c r="AGT90" s="159"/>
      <c r="AGU90" s="159"/>
      <c r="AGV90" s="159"/>
      <c r="AGW90" s="159"/>
      <c r="AGX90" s="159"/>
      <c r="AGY90" s="159"/>
      <c r="AGZ90" s="159"/>
      <c r="AHA90" s="159"/>
      <c r="AHB90" s="159"/>
      <c r="AHC90" s="159"/>
      <c r="AHD90" s="159"/>
      <c r="AHE90" s="159"/>
      <c r="AHF90" s="159"/>
      <c r="AHG90" s="159"/>
      <c r="AHH90" s="159"/>
      <c r="AHI90" s="159"/>
      <c r="AHJ90" s="159"/>
      <c r="AHK90" s="159"/>
      <c r="AHL90" s="159"/>
      <c r="AHM90" s="159"/>
      <c r="AHN90" s="159"/>
      <c r="AHO90" s="159"/>
      <c r="AHP90" s="159"/>
      <c r="AHQ90" s="159"/>
      <c r="AHR90" s="159"/>
      <c r="AHS90" s="159"/>
      <c r="AHT90" s="159"/>
      <c r="AHU90" s="159"/>
      <c r="AHV90" s="159"/>
      <c r="AHW90" s="159"/>
      <c r="AHX90" s="159"/>
      <c r="AHY90" s="159"/>
      <c r="AHZ90" s="159"/>
      <c r="AIA90" s="159"/>
      <c r="AIB90" s="159"/>
      <c r="AIC90" s="159"/>
      <c r="AID90" s="159"/>
      <c r="AIE90" s="159"/>
      <c r="AIF90" s="159"/>
      <c r="AIG90" s="159"/>
      <c r="AIH90" s="159"/>
      <c r="AII90" s="159"/>
      <c r="AIJ90" s="159"/>
      <c r="AIK90" s="159"/>
      <c r="AIL90" s="159"/>
      <c r="AIM90" s="159"/>
      <c r="AIN90" s="159"/>
      <c r="AIO90" s="159"/>
      <c r="AIP90" s="159"/>
      <c r="AIQ90" s="159"/>
      <c r="AIR90" s="159"/>
      <c r="AIS90" s="159"/>
      <c r="AIT90" s="159"/>
      <c r="AIU90" s="159"/>
      <c r="AIV90" s="159"/>
      <c r="AIW90" s="159"/>
      <c r="AIX90" s="159"/>
      <c r="AIY90" s="159"/>
      <c r="AIZ90" s="159"/>
      <c r="AJA90" s="159"/>
      <c r="AJB90" s="159"/>
      <c r="AJC90" s="159"/>
      <c r="AJD90" s="159"/>
      <c r="AJE90" s="159"/>
      <c r="AJF90" s="159"/>
      <c r="AJG90" s="159"/>
      <c r="AJH90" s="159"/>
      <c r="AJI90" s="159"/>
      <c r="AJJ90" s="159"/>
      <c r="AJK90" s="159"/>
      <c r="AJL90" s="159"/>
      <c r="AJM90" s="159"/>
      <c r="AJN90" s="159"/>
      <c r="AJO90" s="159"/>
      <c r="AJP90" s="159"/>
      <c r="AJQ90" s="159"/>
      <c r="AJR90" s="159"/>
      <c r="AJS90" s="159"/>
      <c r="AJT90" s="159"/>
      <c r="AJU90" s="159"/>
      <c r="AJV90" s="159"/>
      <c r="AJW90" s="159"/>
      <c r="AJX90" s="159"/>
      <c r="AJY90" s="159"/>
      <c r="AJZ90" s="159"/>
      <c r="AKA90" s="159"/>
      <c r="AKB90" s="159"/>
      <c r="AKC90" s="159"/>
      <c r="AKD90" s="159"/>
      <c r="AKE90" s="159"/>
      <c r="AKF90" s="159"/>
      <c r="AKG90" s="159"/>
      <c r="AKH90" s="159"/>
      <c r="AKI90" s="159"/>
      <c r="AKJ90" s="159"/>
      <c r="AKK90" s="159"/>
      <c r="AKL90" s="159"/>
      <c r="AKM90" s="159"/>
      <c r="AKN90" s="159"/>
      <c r="AKO90" s="159"/>
      <c r="AKP90" s="159"/>
      <c r="AKQ90" s="159"/>
      <c r="AKR90" s="159"/>
      <c r="AKS90" s="159"/>
      <c r="AKT90" s="159"/>
      <c r="AKU90" s="159"/>
      <c r="AKV90" s="159"/>
      <c r="AKW90" s="159"/>
      <c r="AKX90" s="159"/>
      <c r="AKY90" s="159"/>
      <c r="AKZ90" s="159"/>
      <c r="ALA90" s="159"/>
      <c r="ALB90" s="159"/>
      <c r="ALC90" s="159"/>
      <c r="ALD90" s="159"/>
      <c r="ALE90" s="159"/>
      <c r="ALF90" s="159"/>
      <c r="ALG90" s="159"/>
      <c r="ALH90" s="159"/>
      <c r="ALI90" s="159"/>
      <c r="ALJ90" s="159"/>
      <c r="ALK90" s="159"/>
      <c r="ALL90" s="159"/>
      <c r="ALM90" s="159"/>
      <c r="ALN90" s="159"/>
      <c r="ALO90" s="159"/>
      <c r="ALP90" s="159"/>
      <c r="ALQ90" s="159"/>
      <c r="ALR90" s="159"/>
      <c r="ALS90" s="159"/>
      <c r="ALT90" s="159"/>
      <c r="ALU90" s="159"/>
      <c r="ALV90" s="159"/>
      <c r="ALW90" s="159"/>
      <c r="ALX90" s="159"/>
      <c r="ALY90" s="159"/>
      <c r="ALZ90" s="159"/>
      <c r="AMA90" s="159"/>
      <c r="AMB90" s="159"/>
      <c r="AMC90" s="159"/>
      <c r="AMD90" s="159"/>
      <c r="AME90" s="159"/>
      <c r="AMF90" s="159"/>
      <c r="AMG90" s="159"/>
      <c r="AMH90" s="159"/>
      <c r="AMI90" s="159"/>
      <c r="AMJ90" s="159"/>
      <c r="AMK90" s="159"/>
      <c r="AML90" s="159"/>
      <c r="AMM90" s="159"/>
      <c r="AMN90" s="159"/>
      <c r="AMO90" s="159"/>
    </row>
    <row r="91" spans="1:1029" s="161" customFormat="1" ht="25.5" x14ac:dyDescent="0.25">
      <c r="A91" s="138">
        <v>46148</v>
      </c>
      <c r="B91" s="99" t="s">
        <v>66</v>
      </c>
      <c r="C91" s="99" t="s">
        <v>70</v>
      </c>
      <c r="D91" s="160" t="s">
        <v>13</v>
      </c>
      <c r="E91" s="118" t="s">
        <v>138</v>
      </c>
      <c r="F91" s="99" t="s">
        <v>51</v>
      </c>
      <c r="G91" s="99" t="s">
        <v>90</v>
      </c>
      <c r="H91" s="141" t="b">
        <f t="shared" si="8"/>
        <v>0</v>
      </c>
      <c r="I91" s="121" t="s">
        <v>66</v>
      </c>
      <c r="J91" s="121" t="s">
        <v>246</v>
      </c>
      <c r="K91" s="121" t="s">
        <v>27</v>
      </c>
      <c r="L91" s="141">
        <f t="shared" si="9"/>
        <v>1</v>
      </c>
      <c r="M91" s="121" t="s">
        <v>53</v>
      </c>
      <c r="N91" s="121" t="s">
        <v>51</v>
      </c>
      <c r="O91" s="121" t="s">
        <v>13</v>
      </c>
      <c r="P91" s="141">
        <f t="shared" si="10"/>
        <v>0.5</v>
      </c>
      <c r="Q91" s="149" t="s">
        <v>193</v>
      </c>
      <c r="R91" s="99" t="s">
        <v>45</v>
      </c>
      <c r="S91" s="99" t="s">
        <v>13</v>
      </c>
      <c r="T91" s="141">
        <f t="shared" si="11"/>
        <v>0.5</v>
      </c>
      <c r="U91" s="159"/>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59"/>
      <c r="AT91" s="159"/>
      <c r="AU91" s="159"/>
      <c r="AV91" s="159"/>
      <c r="AW91" s="159"/>
      <c r="AX91" s="159"/>
      <c r="AY91" s="159"/>
      <c r="AZ91" s="159"/>
      <c r="BA91" s="159"/>
      <c r="BB91" s="159"/>
      <c r="BC91" s="159"/>
      <c r="BD91" s="159"/>
      <c r="BE91" s="159"/>
      <c r="BF91" s="159"/>
      <c r="BG91" s="159"/>
      <c r="BH91" s="159"/>
      <c r="BI91" s="159"/>
      <c r="BJ91" s="159"/>
      <c r="BK91" s="159"/>
      <c r="BL91" s="159"/>
      <c r="BM91" s="159"/>
      <c r="BN91" s="159"/>
      <c r="BO91" s="159"/>
      <c r="BP91" s="159"/>
      <c r="BQ91" s="159"/>
      <c r="BR91" s="159"/>
      <c r="BS91" s="159"/>
      <c r="BT91" s="159"/>
      <c r="BU91" s="159"/>
      <c r="BV91" s="159"/>
      <c r="BW91" s="159"/>
      <c r="BX91" s="159"/>
      <c r="BY91" s="159"/>
      <c r="BZ91" s="159"/>
      <c r="CA91" s="159"/>
      <c r="CB91" s="159"/>
      <c r="CC91" s="159"/>
      <c r="CD91" s="159"/>
      <c r="CE91" s="159"/>
      <c r="CF91" s="159"/>
      <c r="CG91" s="159"/>
      <c r="CH91" s="159"/>
      <c r="CI91" s="159"/>
      <c r="CJ91" s="159"/>
      <c r="CK91" s="159"/>
      <c r="CL91" s="159"/>
      <c r="CM91" s="159"/>
      <c r="CN91" s="159"/>
      <c r="CO91" s="159"/>
      <c r="CP91" s="159"/>
      <c r="CQ91" s="159"/>
      <c r="CR91" s="159"/>
      <c r="CS91" s="159"/>
      <c r="CT91" s="159"/>
      <c r="CU91" s="159"/>
      <c r="CV91" s="159"/>
      <c r="CW91" s="159"/>
      <c r="CX91" s="159"/>
      <c r="CY91" s="159"/>
      <c r="CZ91" s="159"/>
      <c r="DA91" s="159"/>
      <c r="DB91" s="159"/>
      <c r="DC91" s="159"/>
      <c r="DD91" s="159"/>
      <c r="DE91" s="159"/>
      <c r="DF91" s="159"/>
      <c r="DG91" s="159"/>
      <c r="DH91" s="159"/>
      <c r="DI91" s="159"/>
      <c r="DJ91" s="159"/>
      <c r="DK91" s="159"/>
      <c r="DL91" s="159"/>
      <c r="DM91" s="159"/>
      <c r="DN91" s="159"/>
      <c r="DO91" s="159"/>
      <c r="DP91" s="159"/>
      <c r="DQ91" s="159"/>
      <c r="DR91" s="159"/>
      <c r="DS91" s="159"/>
      <c r="DT91" s="159"/>
      <c r="DU91" s="159"/>
      <c r="DV91" s="159"/>
      <c r="DW91" s="159"/>
      <c r="DX91" s="159"/>
      <c r="DY91" s="159"/>
      <c r="DZ91" s="159"/>
      <c r="EA91" s="159"/>
      <c r="EB91" s="159"/>
      <c r="EC91" s="159"/>
      <c r="ED91" s="159"/>
      <c r="EE91" s="159"/>
      <c r="EF91" s="159"/>
      <c r="EG91" s="159"/>
      <c r="EH91" s="159"/>
      <c r="EI91" s="159"/>
      <c r="EJ91" s="159"/>
      <c r="EK91" s="159"/>
      <c r="EL91" s="159"/>
      <c r="EM91" s="159"/>
      <c r="EN91" s="159"/>
      <c r="EO91" s="159"/>
      <c r="EP91" s="159"/>
      <c r="EQ91" s="159"/>
      <c r="ER91" s="159"/>
      <c r="ES91" s="159"/>
      <c r="ET91" s="159"/>
      <c r="EU91" s="159"/>
      <c r="EV91" s="159"/>
      <c r="EW91" s="159"/>
      <c r="EX91" s="159"/>
      <c r="EY91" s="159"/>
      <c r="EZ91" s="159"/>
      <c r="FA91" s="159"/>
      <c r="FB91" s="159"/>
      <c r="FC91" s="159"/>
      <c r="FD91" s="159"/>
      <c r="FE91" s="159"/>
      <c r="FF91" s="159"/>
      <c r="FG91" s="159"/>
      <c r="FH91" s="159"/>
      <c r="FI91" s="159"/>
      <c r="FJ91" s="159"/>
      <c r="FK91" s="159"/>
      <c r="FL91" s="159"/>
      <c r="FM91" s="159"/>
      <c r="FN91" s="159"/>
      <c r="FO91" s="159"/>
      <c r="FP91" s="159"/>
      <c r="FQ91" s="159"/>
      <c r="FR91" s="159"/>
      <c r="FS91" s="159"/>
      <c r="FT91" s="159"/>
      <c r="FU91" s="159"/>
      <c r="FV91" s="159"/>
      <c r="FW91" s="159"/>
      <c r="FX91" s="159"/>
      <c r="FY91" s="159"/>
      <c r="FZ91" s="159"/>
      <c r="GA91" s="159"/>
      <c r="GB91" s="159"/>
      <c r="GC91" s="159"/>
      <c r="GD91" s="159"/>
      <c r="GE91" s="159"/>
      <c r="GF91" s="159"/>
      <c r="GG91" s="159"/>
      <c r="GH91" s="159"/>
      <c r="GI91" s="159"/>
      <c r="GJ91" s="159"/>
      <c r="GK91" s="159"/>
      <c r="GL91" s="159"/>
      <c r="GM91" s="159"/>
      <c r="GN91" s="159"/>
      <c r="GO91" s="159"/>
      <c r="GP91" s="159"/>
      <c r="GQ91" s="159"/>
      <c r="GR91" s="159"/>
      <c r="GS91" s="159"/>
      <c r="GT91" s="159"/>
      <c r="GU91" s="159"/>
      <c r="GV91" s="159"/>
      <c r="GW91" s="159"/>
      <c r="GX91" s="159"/>
      <c r="GY91" s="159"/>
      <c r="GZ91" s="159"/>
      <c r="HA91" s="159"/>
      <c r="HB91" s="159"/>
      <c r="HC91" s="159"/>
      <c r="HD91" s="159"/>
      <c r="HE91" s="159"/>
      <c r="HF91" s="159"/>
      <c r="HG91" s="159"/>
      <c r="HH91" s="159"/>
      <c r="HI91" s="159"/>
      <c r="HJ91" s="159"/>
      <c r="HK91" s="159"/>
      <c r="HL91" s="159"/>
      <c r="HM91" s="159"/>
      <c r="HN91" s="159"/>
      <c r="HO91" s="159"/>
      <c r="HP91" s="159"/>
      <c r="HQ91" s="159"/>
      <c r="HR91" s="159"/>
      <c r="HS91" s="159"/>
      <c r="HT91" s="159"/>
      <c r="HU91" s="159"/>
      <c r="HV91" s="159"/>
      <c r="HW91" s="159"/>
      <c r="HX91" s="159"/>
      <c r="HY91" s="159"/>
      <c r="HZ91" s="159"/>
      <c r="IA91" s="159"/>
      <c r="IB91" s="159"/>
      <c r="IC91" s="159"/>
      <c r="ID91" s="159"/>
      <c r="IE91" s="159"/>
      <c r="IF91" s="159"/>
      <c r="IG91" s="159"/>
      <c r="IH91" s="159"/>
      <c r="II91" s="159"/>
      <c r="IJ91" s="159"/>
      <c r="IK91" s="159"/>
      <c r="IL91" s="159"/>
      <c r="IM91" s="159"/>
      <c r="IN91" s="159"/>
      <c r="IO91" s="159"/>
      <c r="IP91" s="159"/>
      <c r="IQ91" s="159"/>
      <c r="IR91" s="159"/>
      <c r="IS91" s="159"/>
      <c r="IT91" s="159"/>
      <c r="IU91" s="159"/>
      <c r="IV91" s="159"/>
      <c r="IW91" s="159"/>
      <c r="IX91" s="159"/>
      <c r="IY91" s="159"/>
      <c r="IZ91" s="159"/>
      <c r="JA91" s="159"/>
      <c r="JB91" s="159"/>
      <c r="JC91" s="159"/>
      <c r="JD91" s="159"/>
      <c r="JE91" s="159"/>
      <c r="JF91" s="159"/>
      <c r="JG91" s="159"/>
      <c r="JH91" s="159"/>
      <c r="JI91" s="159"/>
      <c r="JJ91" s="159"/>
      <c r="JK91" s="159"/>
      <c r="JL91" s="159"/>
      <c r="JM91" s="159"/>
      <c r="JN91" s="159"/>
      <c r="JO91" s="159"/>
      <c r="JP91" s="159"/>
      <c r="JQ91" s="159"/>
      <c r="JR91" s="159"/>
      <c r="JS91" s="159"/>
      <c r="JT91" s="159"/>
      <c r="JU91" s="159"/>
      <c r="JV91" s="159"/>
      <c r="JW91" s="159"/>
      <c r="JX91" s="159"/>
      <c r="JY91" s="159"/>
      <c r="JZ91" s="159"/>
      <c r="KA91" s="159"/>
      <c r="KB91" s="159"/>
      <c r="KC91" s="159"/>
      <c r="KD91" s="159"/>
      <c r="KE91" s="159"/>
      <c r="KF91" s="159"/>
      <c r="KG91" s="159"/>
      <c r="KH91" s="159"/>
      <c r="KI91" s="159"/>
      <c r="KJ91" s="159"/>
      <c r="KK91" s="159"/>
      <c r="KL91" s="159"/>
      <c r="KM91" s="159"/>
      <c r="KN91" s="159"/>
      <c r="KO91" s="159"/>
      <c r="KP91" s="159"/>
      <c r="KQ91" s="159"/>
      <c r="KR91" s="159"/>
      <c r="KS91" s="159"/>
      <c r="KT91" s="159"/>
      <c r="KU91" s="159"/>
      <c r="KV91" s="159"/>
      <c r="KW91" s="159"/>
      <c r="KX91" s="159"/>
      <c r="KY91" s="159"/>
      <c r="KZ91" s="159"/>
      <c r="LA91" s="159"/>
      <c r="LB91" s="159"/>
      <c r="LC91" s="159"/>
      <c r="LD91" s="159"/>
      <c r="LE91" s="159"/>
      <c r="LF91" s="159"/>
      <c r="LG91" s="159"/>
      <c r="LH91" s="159"/>
      <c r="LI91" s="159"/>
      <c r="LJ91" s="159"/>
      <c r="LK91" s="159"/>
      <c r="LL91" s="159"/>
      <c r="LM91" s="159"/>
      <c r="LN91" s="159"/>
      <c r="LO91" s="159"/>
      <c r="LP91" s="159"/>
      <c r="LQ91" s="159"/>
      <c r="LR91" s="159"/>
      <c r="LS91" s="159"/>
      <c r="LT91" s="159"/>
      <c r="LU91" s="159"/>
      <c r="LV91" s="159"/>
      <c r="LW91" s="159"/>
      <c r="LX91" s="159"/>
      <c r="LY91" s="159"/>
      <c r="LZ91" s="159"/>
      <c r="MA91" s="159"/>
      <c r="MB91" s="159"/>
      <c r="MC91" s="159"/>
      <c r="MD91" s="159"/>
      <c r="ME91" s="159"/>
      <c r="MF91" s="159"/>
      <c r="MG91" s="159"/>
      <c r="MH91" s="159"/>
      <c r="MI91" s="159"/>
      <c r="MJ91" s="159"/>
      <c r="MK91" s="159"/>
      <c r="ML91" s="159"/>
      <c r="MM91" s="159"/>
      <c r="MN91" s="159"/>
      <c r="MO91" s="159"/>
      <c r="MP91" s="159"/>
      <c r="MQ91" s="159"/>
      <c r="MR91" s="159"/>
      <c r="MS91" s="159"/>
      <c r="MT91" s="159"/>
      <c r="MU91" s="159"/>
      <c r="MV91" s="159"/>
      <c r="MW91" s="159"/>
      <c r="MX91" s="159"/>
      <c r="MY91" s="159"/>
      <c r="MZ91" s="159"/>
      <c r="NA91" s="159"/>
      <c r="NB91" s="159"/>
      <c r="NC91" s="159"/>
      <c r="ND91" s="159"/>
      <c r="NE91" s="159"/>
      <c r="NF91" s="159"/>
      <c r="NG91" s="159"/>
      <c r="NH91" s="159"/>
      <c r="NI91" s="159"/>
      <c r="NJ91" s="159"/>
      <c r="NK91" s="159"/>
      <c r="NL91" s="159"/>
      <c r="NM91" s="159"/>
      <c r="NN91" s="159"/>
      <c r="NO91" s="159"/>
      <c r="NP91" s="159"/>
      <c r="NQ91" s="159"/>
      <c r="NR91" s="159"/>
      <c r="NS91" s="159"/>
      <c r="NT91" s="159"/>
      <c r="NU91" s="159"/>
      <c r="NV91" s="159"/>
      <c r="NW91" s="159"/>
      <c r="NX91" s="159"/>
      <c r="NY91" s="159"/>
      <c r="NZ91" s="159"/>
      <c r="OA91" s="159"/>
      <c r="OB91" s="159"/>
      <c r="OC91" s="159"/>
      <c r="OD91" s="159"/>
      <c r="OE91" s="159"/>
      <c r="OF91" s="159"/>
      <c r="OG91" s="159"/>
      <c r="OH91" s="159"/>
      <c r="OI91" s="159"/>
      <c r="OJ91" s="159"/>
      <c r="OK91" s="159"/>
      <c r="OL91" s="159"/>
      <c r="OM91" s="159"/>
      <c r="ON91" s="159"/>
      <c r="OO91" s="159"/>
      <c r="OP91" s="159"/>
      <c r="OQ91" s="159"/>
      <c r="OR91" s="159"/>
      <c r="OS91" s="159"/>
      <c r="OT91" s="159"/>
      <c r="OU91" s="159"/>
      <c r="OV91" s="159"/>
      <c r="OW91" s="159"/>
      <c r="OX91" s="159"/>
      <c r="OY91" s="159"/>
      <c r="OZ91" s="159"/>
      <c r="PA91" s="159"/>
      <c r="PB91" s="159"/>
      <c r="PC91" s="159"/>
      <c r="PD91" s="159"/>
      <c r="PE91" s="159"/>
      <c r="PF91" s="159"/>
      <c r="PG91" s="159"/>
      <c r="PH91" s="159"/>
      <c r="PI91" s="159"/>
      <c r="PJ91" s="159"/>
      <c r="PK91" s="159"/>
      <c r="PL91" s="159"/>
      <c r="PM91" s="159"/>
      <c r="PN91" s="159"/>
      <c r="PO91" s="159"/>
      <c r="PP91" s="159"/>
      <c r="PQ91" s="159"/>
      <c r="PR91" s="159"/>
      <c r="PS91" s="159"/>
      <c r="PT91" s="159"/>
      <c r="PU91" s="159"/>
      <c r="PV91" s="159"/>
      <c r="PW91" s="159"/>
      <c r="PX91" s="159"/>
      <c r="PY91" s="159"/>
      <c r="PZ91" s="159"/>
      <c r="QA91" s="159"/>
      <c r="QB91" s="159"/>
      <c r="QC91" s="159"/>
      <c r="QD91" s="159"/>
      <c r="QE91" s="159"/>
      <c r="QF91" s="159"/>
      <c r="QG91" s="159"/>
      <c r="QH91" s="159"/>
      <c r="QI91" s="159"/>
      <c r="QJ91" s="159"/>
      <c r="QK91" s="159"/>
      <c r="QL91" s="159"/>
      <c r="QM91" s="159"/>
      <c r="QN91" s="159"/>
      <c r="QO91" s="159"/>
      <c r="QP91" s="159"/>
      <c r="QQ91" s="159"/>
      <c r="QR91" s="159"/>
      <c r="QS91" s="159"/>
      <c r="QT91" s="159"/>
      <c r="QU91" s="159"/>
      <c r="QV91" s="159"/>
      <c r="QW91" s="159"/>
      <c r="QX91" s="159"/>
      <c r="QY91" s="159"/>
      <c r="QZ91" s="159"/>
      <c r="RA91" s="159"/>
      <c r="RB91" s="159"/>
      <c r="RC91" s="159"/>
      <c r="RD91" s="159"/>
      <c r="RE91" s="159"/>
      <c r="RF91" s="159"/>
      <c r="RG91" s="159"/>
      <c r="RH91" s="159"/>
      <c r="RI91" s="159"/>
      <c r="RJ91" s="159"/>
      <c r="RK91" s="159"/>
      <c r="RL91" s="159"/>
      <c r="RM91" s="159"/>
      <c r="RN91" s="159"/>
      <c r="RO91" s="159"/>
      <c r="RP91" s="159"/>
      <c r="RQ91" s="159"/>
      <c r="RR91" s="159"/>
      <c r="RS91" s="159"/>
      <c r="RT91" s="159"/>
      <c r="RU91" s="159"/>
      <c r="RV91" s="159"/>
      <c r="RW91" s="159"/>
      <c r="RX91" s="159"/>
      <c r="RY91" s="159"/>
      <c r="RZ91" s="159"/>
      <c r="SA91" s="159"/>
      <c r="SB91" s="159"/>
      <c r="SC91" s="159"/>
      <c r="SD91" s="159"/>
      <c r="SE91" s="159"/>
      <c r="SF91" s="159"/>
      <c r="SG91" s="159"/>
      <c r="SH91" s="159"/>
      <c r="SI91" s="159"/>
      <c r="SJ91" s="159"/>
      <c r="SK91" s="159"/>
      <c r="SL91" s="159"/>
      <c r="SM91" s="159"/>
      <c r="SN91" s="159"/>
      <c r="SO91" s="159"/>
      <c r="SP91" s="159"/>
      <c r="SQ91" s="159"/>
      <c r="SR91" s="159"/>
      <c r="SS91" s="159"/>
      <c r="ST91" s="159"/>
      <c r="SU91" s="159"/>
      <c r="SV91" s="159"/>
      <c r="SW91" s="159"/>
      <c r="SX91" s="159"/>
      <c r="SY91" s="159"/>
      <c r="SZ91" s="159"/>
      <c r="TA91" s="159"/>
      <c r="TB91" s="159"/>
      <c r="TC91" s="159"/>
      <c r="TD91" s="159"/>
      <c r="TE91" s="159"/>
      <c r="TF91" s="159"/>
      <c r="TG91" s="159"/>
      <c r="TH91" s="159"/>
      <c r="TI91" s="159"/>
      <c r="TJ91" s="159"/>
      <c r="TK91" s="159"/>
      <c r="TL91" s="159"/>
      <c r="TM91" s="159"/>
      <c r="TN91" s="159"/>
      <c r="TO91" s="159"/>
      <c r="TP91" s="159"/>
      <c r="TQ91" s="159"/>
      <c r="TR91" s="159"/>
      <c r="TS91" s="159"/>
      <c r="TT91" s="159"/>
      <c r="TU91" s="159"/>
      <c r="TV91" s="159"/>
      <c r="TW91" s="159"/>
      <c r="TX91" s="159"/>
      <c r="TY91" s="159"/>
      <c r="TZ91" s="159"/>
      <c r="UA91" s="159"/>
      <c r="UB91" s="159"/>
      <c r="UC91" s="159"/>
      <c r="UD91" s="159"/>
      <c r="UE91" s="159"/>
      <c r="UF91" s="159"/>
      <c r="UG91" s="159"/>
      <c r="UH91" s="159"/>
      <c r="UI91" s="159"/>
      <c r="UJ91" s="159"/>
      <c r="UK91" s="159"/>
      <c r="UL91" s="159"/>
      <c r="UM91" s="159"/>
      <c r="UN91" s="159"/>
      <c r="UO91" s="159"/>
      <c r="UP91" s="159"/>
      <c r="UQ91" s="159"/>
      <c r="UR91" s="159"/>
      <c r="US91" s="159"/>
      <c r="UT91" s="159"/>
      <c r="UU91" s="159"/>
      <c r="UV91" s="159"/>
      <c r="UW91" s="159"/>
      <c r="UX91" s="159"/>
      <c r="UY91" s="159"/>
      <c r="UZ91" s="159"/>
      <c r="VA91" s="159"/>
      <c r="VB91" s="159"/>
      <c r="VC91" s="159"/>
      <c r="VD91" s="159"/>
      <c r="VE91" s="159"/>
      <c r="VF91" s="159"/>
      <c r="VG91" s="159"/>
      <c r="VH91" s="159"/>
      <c r="VI91" s="159"/>
      <c r="VJ91" s="159"/>
      <c r="VK91" s="159"/>
      <c r="VL91" s="159"/>
      <c r="VM91" s="159"/>
      <c r="VN91" s="159"/>
      <c r="VO91" s="159"/>
      <c r="VP91" s="159"/>
      <c r="VQ91" s="159"/>
      <c r="VR91" s="159"/>
      <c r="VS91" s="159"/>
      <c r="VT91" s="159"/>
      <c r="VU91" s="159"/>
      <c r="VV91" s="159"/>
      <c r="VW91" s="159"/>
      <c r="VX91" s="159"/>
      <c r="VY91" s="159"/>
      <c r="VZ91" s="159"/>
      <c r="WA91" s="159"/>
      <c r="WB91" s="159"/>
      <c r="WC91" s="159"/>
      <c r="WD91" s="159"/>
      <c r="WE91" s="159"/>
      <c r="WF91" s="159"/>
      <c r="WG91" s="159"/>
      <c r="WH91" s="159"/>
      <c r="WI91" s="159"/>
      <c r="WJ91" s="159"/>
      <c r="WK91" s="159"/>
      <c r="WL91" s="159"/>
      <c r="WM91" s="159"/>
      <c r="WN91" s="159"/>
      <c r="WO91" s="159"/>
      <c r="WP91" s="159"/>
      <c r="WQ91" s="159"/>
      <c r="WR91" s="159"/>
      <c r="WS91" s="159"/>
      <c r="WT91" s="159"/>
      <c r="WU91" s="159"/>
      <c r="WV91" s="159"/>
      <c r="WW91" s="159"/>
      <c r="WX91" s="159"/>
      <c r="WY91" s="159"/>
      <c r="WZ91" s="159"/>
      <c r="XA91" s="159"/>
      <c r="XB91" s="159"/>
      <c r="XC91" s="159"/>
      <c r="XD91" s="159"/>
      <c r="XE91" s="159"/>
      <c r="XF91" s="159"/>
      <c r="XG91" s="159"/>
      <c r="XH91" s="159"/>
      <c r="XI91" s="159"/>
      <c r="XJ91" s="159"/>
      <c r="XK91" s="159"/>
      <c r="XL91" s="159"/>
      <c r="XM91" s="159"/>
      <c r="XN91" s="159"/>
      <c r="XO91" s="159"/>
      <c r="XP91" s="159"/>
      <c r="XQ91" s="159"/>
      <c r="XR91" s="159"/>
      <c r="XS91" s="159"/>
      <c r="XT91" s="159"/>
      <c r="XU91" s="159"/>
      <c r="XV91" s="159"/>
      <c r="XW91" s="159"/>
      <c r="XX91" s="159"/>
      <c r="XY91" s="159"/>
      <c r="XZ91" s="159"/>
      <c r="YA91" s="159"/>
      <c r="YB91" s="159"/>
      <c r="YC91" s="159"/>
      <c r="YD91" s="159"/>
      <c r="YE91" s="159"/>
      <c r="YF91" s="159"/>
      <c r="YG91" s="159"/>
      <c r="YH91" s="159"/>
      <c r="YI91" s="159"/>
      <c r="YJ91" s="159"/>
      <c r="YK91" s="159"/>
      <c r="YL91" s="159"/>
      <c r="YM91" s="159"/>
      <c r="YN91" s="159"/>
      <c r="YO91" s="159"/>
      <c r="YP91" s="159"/>
      <c r="YQ91" s="159"/>
      <c r="YR91" s="159"/>
      <c r="YS91" s="159"/>
      <c r="YT91" s="159"/>
      <c r="YU91" s="159"/>
      <c r="YV91" s="159"/>
      <c r="YW91" s="159"/>
      <c r="YX91" s="159"/>
      <c r="YY91" s="159"/>
      <c r="YZ91" s="159"/>
      <c r="ZA91" s="159"/>
      <c r="ZB91" s="159"/>
      <c r="ZC91" s="159"/>
      <c r="ZD91" s="159"/>
      <c r="ZE91" s="159"/>
      <c r="ZF91" s="159"/>
      <c r="ZG91" s="159"/>
      <c r="ZH91" s="159"/>
      <c r="ZI91" s="159"/>
      <c r="ZJ91" s="159"/>
      <c r="ZK91" s="159"/>
      <c r="ZL91" s="159"/>
      <c r="ZM91" s="159"/>
      <c r="ZN91" s="159"/>
      <c r="ZO91" s="159"/>
      <c r="ZP91" s="159"/>
      <c r="ZQ91" s="159"/>
      <c r="ZR91" s="159"/>
      <c r="ZS91" s="159"/>
      <c r="ZT91" s="159"/>
      <c r="ZU91" s="159"/>
      <c r="ZV91" s="159"/>
      <c r="ZW91" s="159"/>
      <c r="ZX91" s="159"/>
      <c r="ZY91" s="159"/>
      <c r="ZZ91" s="159"/>
      <c r="AAA91" s="159"/>
      <c r="AAB91" s="159"/>
      <c r="AAC91" s="159"/>
      <c r="AAD91" s="159"/>
      <c r="AAE91" s="159"/>
      <c r="AAF91" s="159"/>
      <c r="AAG91" s="159"/>
      <c r="AAH91" s="159"/>
      <c r="AAI91" s="159"/>
      <c r="AAJ91" s="159"/>
      <c r="AAK91" s="159"/>
      <c r="AAL91" s="159"/>
      <c r="AAM91" s="159"/>
      <c r="AAN91" s="159"/>
      <c r="AAO91" s="159"/>
      <c r="AAP91" s="159"/>
      <c r="AAQ91" s="159"/>
      <c r="AAR91" s="159"/>
      <c r="AAS91" s="159"/>
      <c r="AAT91" s="159"/>
      <c r="AAU91" s="159"/>
      <c r="AAV91" s="159"/>
      <c r="AAW91" s="159"/>
      <c r="AAX91" s="159"/>
      <c r="AAY91" s="159"/>
      <c r="AAZ91" s="159"/>
      <c r="ABA91" s="159"/>
      <c r="ABB91" s="159"/>
      <c r="ABC91" s="159"/>
      <c r="ABD91" s="159"/>
      <c r="ABE91" s="159"/>
      <c r="ABF91" s="159"/>
      <c r="ABG91" s="159"/>
      <c r="ABH91" s="159"/>
      <c r="ABI91" s="159"/>
      <c r="ABJ91" s="159"/>
      <c r="ABK91" s="159"/>
      <c r="ABL91" s="159"/>
      <c r="ABM91" s="159"/>
      <c r="ABN91" s="159"/>
      <c r="ABO91" s="159"/>
      <c r="ABP91" s="159"/>
      <c r="ABQ91" s="159"/>
      <c r="ABR91" s="159"/>
      <c r="ABS91" s="159"/>
      <c r="ABT91" s="159"/>
      <c r="ABU91" s="159"/>
      <c r="ABV91" s="159"/>
      <c r="ABW91" s="159"/>
      <c r="ABX91" s="159"/>
      <c r="ABY91" s="159"/>
      <c r="ABZ91" s="159"/>
      <c r="ACA91" s="159"/>
      <c r="ACB91" s="159"/>
      <c r="ACC91" s="159"/>
      <c r="ACD91" s="159"/>
      <c r="ACE91" s="159"/>
      <c r="ACF91" s="159"/>
      <c r="ACG91" s="159"/>
      <c r="ACH91" s="159"/>
      <c r="ACI91" s="159"/>
      <c r="ACJ91" s="159"/>
      <c r="ACK91" s="159"/>
      <c r="ACL91" s="159"/>
      <c r="ACM91" s="159"/>
      <c r="ACN91" s="159"/>
      <c r="ACO91" s="159"/>
      <c r="ACP91" s="159"/>
      <c r="ACQ91" s="159"/>
      <c r="ACR91" s="159"/>
      <c r="ACS91" s="159"/>
      <c r="ACT91" s="159"/>
      <c r="ACU91" s="159"/>
      <c r="ACV91" s="159"/>
      <c r="ACW91" s="159"/>
      <c r="ACX91" s="159"/>
      <c r="ACY91" s="159"/>
      <c r="ACZ91" s="159"/>
      <c r="ADA91" s="159"/>
      <c r="ADB91" s="159"/>
      <c r="ADC91" s="159"/>
      <c r="ADD91" s="159"/>
      <c r="ADE91" s="159"/>
      <c r="ADF91" s="159"/>
      <c r="ADG91" s="159"/>
      <c r="ADH91" s="159"/>
      <c r="ADI91" s="159"/>
      <c r="ADJ91" s="159"/>
      <c r="ADK91" s="159"/>
      <c r="ADL91" s="159"/>
      <c r="ADM91" s="159"/>
      <c r="ADN91" s="159"/>
      <c r="ADO91" s="159"/>
      <c r="ADP91" s="159"/>
      <c r="ADQ91" s="159"/>
      <c r="ADR91" s="159"/>
      <c r="ADS91" s="159"/>
      <c r="ADT91" s="159"/>
      <c r="ADU91" s="159"/>
      <c r="ADV91" s="159"/>
      <c r="ADW91" s="159"/>
      <c r="ADX91" s="159"/>
      <c r="ADY91" s="159"/>
      <c r="ADZ91" s="159"/>
      <c r="AEA91" s="159"/>
      <c r="AEB91" s="159"/>
      <c r="AEC91" s="159"/>
      <c r="AED91" s="159"/>
      <c r="AEE91" s="159"/>
      <c r="AEF91" s="159"/>
      <c r="AEG91" s="159"/>
      <c r="AEH91" s="159"/>
      <c r="AEI91" s="159"/>
      <c r="AEJ91" s="159"/>
      <c r="AEK91" s="159"/>
      <c r="AEL91" s="159"/>
      <c r="AEM91" s="159"/>
      <c r="AEN91" s="159"/>
      <c r="AEO91" s="159"/>
      <c r="AEP91" s="159"/>
      <c r="AEQ91" s="159"/>
      <c r="AER91" s="159"/>
      <c r="AES91" s="159"/>
      <c r="AET91" s="159"/>
      <c r="AEU91" s="159"/>
      <c r="AEV91" s="159"/>
      <c r="AEW91" s="159"/>
      <c r="AEX91" s="159"/>
      <c r="AEY91" s="159"/>
      <c r="AEZ91" s="159"/>
      <c r="AFA91" s="159"/>
      <c r="AFB91" s="159"/>
      <c r="AFC91" s="159"/>
      <c r="AFD91" s="159"/>
      <c r="AFE91" s="159"/>
      <c r="AFF91" s="159"/>
      <c r="AFG91" s="159"/>
      <c r="AFH91" s="159"/>
      <c r="AFI91" s="159"/>
      <c r="AFJ91" s="159"/>
      <c r="AFK91" s="159"/>
      <c r="AFL91" s="159"/>
      <c r="AFM91" s="159"/>
      <c r="AFN91" s="159"/>
      <c r="AFO91" s="159"/>
      <c r="AFP91" s="159"/>
      <c r="AFQ91" s="159"/>
      <c r="AFR91" s="159"/>
      <c r="AFS91" s="159"/>
      <c r="AFT91" s="159"/>
      <c r="AFU91" s="159"/>
      <c r="AFV91" s="159"/>
      <c r="AFW91" s="159"/>
      <c r="AFX91" s="159"/>
      <c r="AFY91" s="159"/>
      <c r="AFZ91" s="159"/>
      <c r="AGA91" s="159"/>
      <c r="AGB91" s="159"/>
      <c r="AGC91" s="159"/>
      <c r="AGD91" s="159"/>
      <c r="AGE91" s="159"/>
      <c r="AGF91" s="159"/>
      <c r="AGG91" s="159"/>
      <c r="AGH91" s="159"/>
      <c r="AGI91" s="159"/>
      <c r="AGJ91" s="159"/>
      <c r="AGK91" s="159"/>
      <c r="AGL91" s="159"/>
      <c r="AGM91" s="159"/>
      <c r="AGN91" s="159"/>
      <c r="AGO91" s="159"/>
      <c r="AGP91" s="159"/>
      <c r="AGQ91" s="159"/>
      <c r="AGR91" s="159"/>
      <c r="AGS91" s="159"/>
      <c r="AGT91" s="159"/>
      <c r="AGU91" s="159"/>
      <c r="AGV91" s="159"/>
      <c r="AGW91" s="159"/>
      <c r="AGX91" s="159"/>
      <c r="AGY91" s="159"/>
      <c r="AGZ91" s="159"/>
      <c r="AHA91" s="159"/>
      <c r="AHB91" s="159"/>
      <c r="AHC91" s="159"/>
      <c r="AHD91" s="159"/>
      <c r="AHE91" s="159"/>
      <c r="AHF91" s="159"/>
      <c r="AHG91" s="159"/>
      <c r="AHH91" s="159"/>
      <c r="AHI91" s="159"/>
      <c r="AHJ91" s="159"/>
      <c r="AHK91" s="159"/>
      <c r="AHL91" s="159"/>
      <c r="AHM91" s="159"/>
      <c r="AHN91" s="159"/>
      <c r="AHO91" s="159"/>
      <c r="AHP91" s="159"/>
      <c r="AHQ91" s="159"/>
      <c r="AHR91" s="159"/>
      <c r="AHS91" s="159"/>
      <c r="AHT91" s="159"/>
      <c r="AHU91" s="159"/>
      <c r="AHV91" s="159"/>
      <c r="AHW91" s="159"/>
      <c r="AHX91" s="159"/>
      <c r="AHY91" s="159"/>
      <c r="AHZ91" s="159"/>
      <c r="AIA91" s="159"/>
      <c r="AIB91" s="159"/>
      <c r="AIC91" s="159"/>
      <c r="AID91" s="159"/>
      <c r="AIE91" s="159"/>
      <c r="AIF91" s="159"/>
      <c r="AIG91" s="159"/>
      <c r="AIH91" s="159"/>
      <c r="AII91" s="159"/>
      <c r="AIJ91" s="159"/>
      <c r="AIK91" s="159"/>
      <c r="AIL91" s="159"/>
      <c r="AIM91" s="159"/>
      <c r="AIN91" s="159"/>
      <c r="AIO91" s="159"/>
      <c r="AIP91" s="159"/>
      <c r="AIQ91" s="159"/>
      <c r="AIR91" s="159"/>
      <c r="AIS91" s="159"/>
      <c r="AIT91" s="159"/>
      <c r="AIU91" s="159"/>
      <c r="AIV91" s="159"/>
      <c r="AIW91" s="159"/>
      <c r="AIX91" s="159"/>
      <c r="AIY91" s="159"/>
      <c r="AIZ91" s="159"/>
      <c r="AJA91" s="159"/>
      <c r="AJB91" s="159"/>
      <c r="AJC91" s="159"/>
      <c r="AJD91" s="159"/>
      <c r="AJE91" s="159"/>
      <c r="AJF91" s="159"/>
      <c r="AJG91" s="159"/>
      <c r="AJH91" s="159"/>
      <c r="AJI91" s="159"/>
      <c r="AJJ91" s="159"/>
      <c r="AJK91" s="159"/>
      <c r="AJL91" s="159"/>
      <c r="AJM91" s="159"/>
      <c r="AJN91" s="159"/>
      <c r="AJO91" s="159"/>
      <c r="AJP91" s="159"/>
      <c r="AJQ91" s="159"/>
      <c r="AJR91" s="159"/>
      <c r="AJS91" s="159"/>
      <c r="AJT91" s="159"/>
      <c r="AJU91" s="159"/>
      <c r="AJV91" s="159"/>
      <c r="AJW91" s="159"/>
      <c r="AJX91" s="159"/>
      <c r="AJY91" s="159"/>
      <c r="AJZ91" s="159"/>
      <c r="AKA91" s="159"/>
      <c r="AKB91" s="159"/>
      <c r="AKC91" s="159"/>
      <c r="AKD91" s="159"/>
      <c r="AKE91" s="159"/>
      <c r="AKF91" s="159"/>
      <c r="AKG91" s="159"/>
      <c r="AKH91" s="159"/>
      <c r="AKI91" s="159"/>
      <c r="AKJ91" s="159"/>
      <c r="AKK91" s="159"/>
      <c r="AKL91" s="159"/>
      <c r="AKM91" s="159"/>
      <c r="AKN91" s="159"/>
      <c r="AKO91" s="159"/>
      <c r="AKP91" s="159"/>
      <c r="AKQ91" s="159"/>
      <c r="AKR91" s="159"/>
      <c r="AKS91" s="159"/>
      <c r="AKT91" s="159"/>
      <c r="AKU91" s="159"/>
      <c r="AKV91" s="159"/>
      <c r="AKW91" s="159"/>
      <c r="AKX91" s="159"/>
      <c r="AKY91" s="159"/>
      <c r="AKZ91" s="159"/>
      <c r="ALA91" s="159"/>
      <c r="ALB91" s="159"/>
      <c r="ALC91" s="159"/>
      <c r="ALD91" s="159"/>
      <c r="ALE91" s="159"/>
      <c r="ALF91" s="159"/>
      <c r="ALG91" s="159"/>
      <c r="ALH91" s="159"/>
      <c r="ALI91" s="159"/>
      <c r="ALJ91" s="159"/>
      <c r="ALK91" s="159"/>
      <c r="ALL91" s="159"/>
      <c r="ALM91" s="159"/>
      <c r="ALN91" s="159"/>
      <c r="ALO91" s="159"/>
      <c r="ALP91" s="159"/>
      <c r="ALQ91" s="159"/>
      <c r="ALR91" s="159"/>
      <c r="ALS91" s="159"/>
      <c r="ALT91" s="159"/>
      <c r="ALU91" s="159"/>
      <c r="ALV91" s="159"/>
      <c r="ALW91" s="159"/>
      <c r="ALX91" s="159"/>
      <c r="ALY91" s="159"/>
      <c r="ALZ91" s="159"/>
      <c r="AMA91" s="159"/>
      <c r="AMB91" s="159"/>
      <c r="AMC91" s="159"/>
      <c r="AMD91" s="159"/>
      <c r="AME91" s="159"/>
      <c r="AMF91" s="159"/>
      <c r="AMG91" s="159"/>
      <c r="AMH91" s="159"/>
      <c r="AMI91" s="159"/>
      <c r="AMJ91" s="159"/>
      <c r="AMK91" s="159"/>
      <c r="AML91" s="159"/>
      <c r="AMM91" s="159"/>
      <c r="AMN91" s="159"/>
      <c r="AMO91" s="159"/>
    </row>
    <row r="92" spans="1:1029" s="161" customFormat="1" x14ac:dyDescent="0.25">
      <c r="A92" s="138">
        <v>46149</v>
      </c>
      <c r="B92" s="99" t="s">
        <v>8</v>
      </c>
      <c r="C92" s="99" t="s">
        <v>118</v>
      </c>
      <c r="D92" s="160" t="s">
        <v>168</v>
      </c>
      <c r="E92" s="118" t="s">
        <v>8</v>
      </c>
      <c r="F92" s="99" t="s">
        <v>269</v>
      </c>
      <c r="G92" s="99" t="s">
        <v>52</v>
      </c>
      <c r="H92" s="141">
        <f t="shared" si="8"/>
        <v>1</v>
      </c>
      <c r="I92" s="121" t="s">
        <v>8</v>
      </c>
      <c r="J92" s="121" t="s">
        <v>10</v>
      </c>
      <c r="K92" s="121" t="s">
        <v>11</v>
      </c>
      <c r="L92" s="141">
        <f t="shared" si="9"/>
        <v>1</v>
      </c>
      <c r="M92" s="121" t="s">
        <v>19</v>
      </c>
      <c r="N92" s="121" t="s">
        <v>12</v>
      </c>
      <c r="O92" s="121" t="s">
        <v>90</v>
      </c>
      <c r="P92" s="141" t="b">
        <f t="shared" si="10"/>
        <v>0</v>
      </c>
      <c r="Q92" s="149" t="s">
        <v>19</v>
      </c>
      <c r="R92" s="99" t="s">
        <v>163</v>
      </c>
      <c r="S92" s="99" t="s">
        <v>27</v>
      </c>
      <c r="T92" s="141" t="b">
        <f t="shared" si="11"/>
        <v>0</v>
      </c>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59"/>
      <c r="AT92" s="159"/>
      <c r="AU92" s="159"/>
      <c r="AV92" s="159"/>
      <c r="AW92" s="159"/>
      <c r="AX92" s="159"/>
      <c r="AY92" s="159"/>
      <c r="AZ92" s="159"/>
      <c r="BA92" s="159"/>
      <c r="BB92" s="159"/>
      <c r="BC92" s="159"/>
      <c r="BD92" s="159"/>
      <c r="BE92" s="159"/>
      <c r="BF92" s="159"/>
      <c r="BG92" s="159"/>
      <c r="BH92" s="159"/>
      <c r="BI92" s="159"/>
      <c r="BJ92" s="159"/>
      <c r="BK92" s="159"/>
      <c r="BL92" s="159"/>
      <c r="BM92" s="159"/>
      <c r="BN92" s="159"/>
      <c r="BO92" s="159"/>
      <c r="BP92" s="159"/>
      <c r="BQ92" s="159"/>
      <c r="BR92" s="159"/>
      <c r="BS92" s="159"/>
      <c r="BT92" s="159"/>
      <c r="BU92" s="159"/>
      <c r="BV92" s="159"/>
      <c r="BW92" s="159"/>
      <c r="BX92" s="159"/>
      <c r="BY92" s="159"/>
      <c r="BZ92" s="159"/>
      <c r="CA92" s="159"/>
      <c r="CB92" s="159"/>
      <c r="CC92" s="159"/>
      <c r="CD92" s="159"/>
      <c r="CE92" s="159"/>
      <c r="CF92" s="159"/>
      <c r="CG92" s="159"/>
      <c r="CH92" s="159"/>
      <c r="CI92" s="159"/>
      <c r="CJ92" s="159"/>
      <c r="CK92" s="159"/>
      <c r="CL92" s="159"/>
      <c r="CM92" s="159"/>
      <c r="CN92" s="159"/>
      <c r="CO92" s="159"/>
      <c r="CP92" s="159"/>
      <c r="CQ92" s="159"/>
      <c r="CR92" s="159"/>
      <c r="CS92" s="159"/>
      <c r="CT92" s="159"/>
      <c r="CU92" s="159"/>
      <c r="CV92" s="159"/>
      <c r="CW92" s="159"/>
      <c r="CX92" s="159"/>
      <c r="CY92" s="159"/>
      <c r="CZ92" s="159"/>
      <c r="DA92" s="159"/>
      <c r="DB92" s="159"/>
      <c r="DC92" s="159"/>
      <c r="DD92" s="159"/>
      <c r="DE92" s="159"/>
      <c r="DF92" s="159"/>
      <c r="DG92" s="159"/>
      <c r="DH92" s="159"/>
      <c r="DI92" s="159"/>
      <c r="DJ92" s="159"/>
      <c r="DK92" s="159"/>
      <c r="DL92" s="159"/>
      <c r="DM92" s="159"/>
      <c r="DN92" s="159"/>
      <c r="DO92" s="159"/>
      <c r="DP92" s="159"/>
      <c r="DQ92" s="159"/>
      <c r="DR92" s="159"/>
      <c r="DS92" s="159"/>
      <c r="DT92" s="159"/>
      <c r="DU92" s="159"/>
      <c r="DV92" s="159"/>
      <c r="DW92" s="159"/>
      <c r="DX92" s="159"/>
      <c r="DY92" s="159"/>
      <c r="DZ92" s="159"/>
      <c r="EA92" s="159"/>
      <c r="EB92" s="159"/>
      <c r="EC92" s="159"/>
      <c r="ED92" s="159"/>
      <c r="EE92" s="159"/>
      <c r="EF92" s="159"/>
      <c r="EG92" s="159"/>
      <c r="EH92" s="159"/>
      <c r="EI92" s="159"/>
      <c r="EJ92" s="159"/>
      <c r="EK92" s="159"/>
      <c r="EL92" s="159"/>
      <c r="EM92" s="159"/>
      <c r="EN92" s="159"/>
      <c r="EO92" s="159"/>
      <c r="EP92" s="159"/>
      <c r="EQ92" s="159"/>
      <c r="ER92" s="159"/>
      <c r="ES92" s="159"/>
      <c r="ET92" s="159"/>
      <c r="EU92" s="159"/>
      <c r="EV92" s="159"/>
      <c r="EW92" s="159"/>
      <c r="EX92" s="159"/>
      <c r="EY92" s="159"/>
      <c r="EZ92" s="159"/>
      <c r="FA92" s="159"/>
      <c r="FB92" s="159"/>
      <c r="FC92" s="159"/>
      <c r="FD92" s="159"/>
      <c r="FE92" s="159"/>
      <c r="FF92" s="159"/>
      <c r="FG92" s="159"/>
      <c r="FH92" s="159"/>
      <c r="FI92" s="159"/>
      <c r="FJ92" s="159"/>
      <c r="FK92" s="159"/>
      <c r="FL92" s="159"/>
      <c r="FM92" s="159"/>
      <c r="FN92" s="159"/>
      <c r="FO92" s="159"/>
      <c r="FP92" s="159"/>
      <c r="FQ92" s="159"/>
      <c r="FR92" s="159"/>
      <c r="FS92" s="159"/>
      <c r="FT92" s="159"/>
      <c r="FU92" s="159"/>
      <c r="FV92" s="159"/>
      <c r="FW92" s="159"/>
      <c r="FX92" s="159"/>
      <c r="FY92" s="159"/>
      <c r="FZ92" s="159"/>
      <c r="GA92" s="159"/>
      <c r="GB92" s="159"/>
      <c r="GC92" s="159"/>
      <c r="GD92" s="159"/>
      <c r="GE92" s="159"/>
      <c r="GF92" s="159"/>
      <c r="GG92" s="159"/>
      <c r="GH92" s="159"/>
      <c r="GI92" s="159"/>
      <c r="GJ92" s="159"/>
      <c r="GK92" s="159"/>
      <c r="GL92" s="159"/>
      <c r="GM92" s="159"/>
      <c r="GN92" s="159"/>
      <c r="GO92" s="159"/>
      <c r="GP92" s="159"/>
      <c r="GQ92" s="159"/>
      <c r="GR92" s="159"/>
      <c r="GS92" s="159"/>
      <c r="GT92" s="159"/>
      <c r="GU92" s="159"/>
      <c r="GV92" s="159"/>
      <c r="GW92" s="159"/>
      <c r="GX92" s="159"/>
      <c r="GY92" s="159"/>
      <c r="GZ92" s="159"/>
      <c r="HA92" s="159"/>
      <c r="HB92" s="159"/>
      <c r="HC92" s="159"/>
      <c r="HD92" s="159"/>
      <c r="HE92" s="159"/>
      <c r="HF92" s="159"/>
      <c r="HG92" s="159"/>
      <c r="HH92" s="159"/>
      <c r="HI92" s="159"/>
      <c r="HJ92" s="159"/>
      <c r="HK92" s="159"/>
      <c r="HL92" s="159"/>
      <c r="HM92" s="159"/>
      <c r="HN92" s="159"/>
      <c r="HO92" s="159"/>
      <c r="HP92" s="159"/>
      <c r="HQ92" s="159"/>
      <c r="HR92" s="159"/>
      <c r="HS92" s="159"/>
      <c r="HT92" s="159"/>
      <c r="HU92" s="159"/>
      <c r="HV92" s="159"/>
      <c r="HW92" s="159"/>
      <c r="HX92" s="159"/>
      <c r="HY92" s="159"/>
      <c r="HZ92" s="159"/>
      <c r="IA92" s="159"/>
      <c r="IB92" s="159"/>
      <c r="IC92" s="159"/>
      <c r="ID92" s="159"/>
      <c r="IE92" s="159"/>
      <c r="IF92" s="159"/>
      <c r="IG92" s="159"/>
      <c r="IH92" s="159"/>
      <c r="II92" s="159"/>
      <c r="IJ92" s="159"/>
      <c r="IK92" s="159"/>
      <c r="IL92" s="159"/>
      <c r="IM92" s="159"/>
      <c r="IN92" s="159"/>
      <c r="IO92" s="159"/>
      <c r="IP92" s="159"/>
      <c r="IQ92" s="159"/>
      <c r="IR92" s="159"/>
      <c r="IS92" s="159"/>
      <c r="IT92" s="159"/>
      <c r="IU92" s="159"/>
      <c r="IV92" s="159"/>
      <c r="IW92" s="159"/>
      <c r="IX92" s="159"/>
      <c r="IY92" s="159"/>
      <c r="IZ92" s="159"/>
      <c r="JA92" s="159"/>
      <c r="JB92" s="159"/>
      <c r="JC92" s="159"/>
      <c r="JD92" s="159"/>
      <c r="JE92" s="159"/>
      <c r="JF92" s="159"/>
      <c r="JG92" s="159"/>
      <c r="JH92" s="159"/>
      <c r="JI92" s="159"/>
      <c r="JJ92" s="159"/>
      <c r="JK92" s="159"/>
      <c r="JL92" s="159"/>
      <c r="JM92" s="159"/>
      <c r="JN92" s="159"/>
      <c r="JO92" s="159"/>
      <c r="JP92" s="159"/>
      <c r="JQ92" s="159"/>
      <c r="JR92" s="159"/>
      <c r="JS92" s="159"/>
      <c r="JT92" s="159"/>
      <c r="JU92" s="159"/>
      <c r="JV92" s="159"/>
      <c r="JW92" s="159"/>
      <c r="JX92" s="159"/>
      <c r="JY92" s="159"/>
      <c r="JZ92" s="159"/>
      <c r="KA92" s="159"/>
      <c r="KB92" s="159"/>
      <c r="KC92" s="159"/>
      <c r="KD92" s="159"/>
      <c r="KE92" s="159"/>
      <c r="KF92" s="159"/>
      <c r="KG92" s="159"/>
      <c r="KH92" s="159"/>
      <c r="KI92" s="159"/>
      <c r="KJ92" s="159"/>
      <c r="KK92" s="159"/>
      <c r="KL92" s="159"/>
      <c r="KM92" s="159"/>
      <c r="KN92" s="159"/>
      <c r="KO92" s="159"/>
      <c r="KP92" s="159"/>
      <c r="KQ92" s="159"/>
      <c r="KR92" s="159"/>
      <c r="KS92" s="159"/>
      <c r="KT92" s="159"/>
      <c r="KU92" s="159"/>
      <c r="KV92" s="159"/>
      <c r="KW92" s="159"/>
      <c r="KX92" s="159"/>
      <c r="KY92" s="159"/>
      <c r="KZ92" s="159"/>
      <c r="LA92" s="159"/>
      <c r="LB92" s="159"/>
      <c r="LC92" s="159"/>
      <c r="LD92" s="159"/>
      <c r="LE92" s="159"/>
      <c r="LF92" s="159"/>
      <c r="LG92" s="159"/>
      <c r="LH92" s="159"/>
      <c r="LI92" s="159"/>
      <c r="LJ92" s="159"/>
      <c r="LK92" s="159"/>
      <c r="LL92" s="159"/>
      <c r="LM92" s="159"/>
      <c r="LN92" s="159"/>
      <c r="LO92" s="159"/>
      <c r="LP92" s="159"/>
      <c r="LQ92" s="159"/>
      <c r="LR92" s="159"/>
      <c r="LS92" s="159"/>
      <c r="LT92" s="159"/>
      <c r="LU92" s="159"/>
      <c r="LV92" s="159"/>
      <c r="LW92" s="159"/>
      <c r="LX92" s="159"/>
      <c r="LY92" s="159"/>
      <c r="LZ92" s="159"/>
      <c r="MA92" s="159"/>
      <c r="MB92" s="159"/>
      <c r="MC92" s="159"/>
      <c r="MD92" s="159"/>
      <c r="ME92" s="159"/>
      <c r="MF92" s="159"/>
      <c r="MG92" s="159"/>
      <c r="MH92" s="159"/>
      <c r="MI92" s="159"/>
      <c r="MJ92" s="159"/>
      <c r="MK92" s="159"/>
      <c r="ML92" s="159"/>
      <c r="MM92" s="159"/>
      <c r="MN92" s="159"/>
      <c r="MO92" s="159"/>
      <c r="MP92" s="159"/>
      <c r="MQ92" s="159"/>
      <c r="MR92" s="159"/>
      <c r="MS92" s="159"/>
      <c r="MT92" s="159"/>
      <c r="MU92" s="159"/>
      <c r="MV92" s="159"/>
      <c r="MW92" s="159"/>
      <c r="MX92" s="159"/>
      <c r="MY92" s="159"/>
      <c r="MZ92" s="159"/>
      <c r="NA92" s="159"/>
      <c r="NB92" s="159"/>
      <c r="NC92" s="159"/>
      <c r="ND92" s="159"/>
      <c r="NE92" s="159"/>
      <c r="NF92" s="159"/>
      <c r="NG92" s="159"/>
      <c r="NH92" s="159"/>
      <c r="NI92" s="159"/>
      <c r="NJ92" s="159"/>
      <c r="NK92" s="159"/>
      <c r="NL92" s="159"/>
      <c r="NM92" s="159"/>
      <c r="NN92" s="159"/>
      <c r="NO92" s="159"/>
      <c r="NP92" s="159"/>
      <c r="NQ92" s="159"/>
      <c r="NR92" s="159"/>
      <c r="NS92" s="159"/>
      <c r="NT92" s="159"/>
      <c r="NU92" s="159"/>
      <c r="NV92" s="159"/>
      <c r="NW92" s="159"/>
      <c r="NX92" s="159"/>
      <c r="NY92" s="159"/>
      <c r="NZ92" s="159"/>
      <c r="OA92" s="159"/>
      <c r="OB92" s="159"/>
      <c r="OC92" s="159"/>
      <c r="OD92" s="159"/>
      <c r="OE92" s="159"/>
      <c r="OF92" s="159"/>
      <c r="OG92" s="159"/>
      <c r="OH92" s="159"/>
      <c r="OI92" s="159"/>
      <c r="OJ92" s="159"/>
      <c r="OK92" s="159"/>
      <c r="OL92" s="159"/>
      <c r="OM92" s="159"/>
      <c r="ON92" s="159"/>
      <c r="OO92" s="159"/>
      <c r="OP92" s="159"/>
      <c r="OQ92" s="159"/>
      <c r="OR92" s="159"/>
      <c r="OS92" s="159"/>
      <c r="OT92" s="159"/>
      <c r="OU92" s="159"/>
      <c r="OV92" s="159"/>
      <c r="OW92" s="159"/>
      <c r="OX92" s="159"/>
      <c r="OY92" s="159"/>
      <c r="OZ92" s="159"/>
      <c r="PA92" s="159"/>
      <c r="PB92" s="159"/>
      <c r="PC92" s="159"/>
      <c r="PD92" s="159"/>
      <c r="PE92" s="159"/>
      <c r="PF92" s="159"/>
      <c r="PG92" s="159"/>
      <c r="PH92" s="159"/>
      <c r="PI92" s="159"/>
      <c r="PJ92" s="159"/>
      <c r="PK92" s="159"/>
      <c r="PL92" s="159"/>
      <c r="PM92" s="159"/>
      <c r="PN92" s="159"/>
      <c r="PO92" s="159"/>
      <c r="PP92" s="159"/>
      <c r="PQ92" s="159"/>
      <c r="PR92" s="159"/>
      <c r="PS92" s="159"/>
      <c r="PT92" s="159"/>
      <c r="PU92" s="159"/>
      <c r="PV92" s="159"/>
      <c r="PW92" s="159"/>
      <c r="PX92" s="159"/>
      <c r="PY92" s="159"/>
      <c r="PZ92" s="159"/>
      <c r="QA92" s="159"/>
      <c r="QB92" s="159"/>
      <c r="QC92" s="159"/>
      <c r="QD92" s="159"/>
      <c r="QE92" s="159"/>
      <c r="QF92" s="159"/>
      <c r="QG92" s="159"/>
      <c r="QH92" s="159"/>
      <c r="QI92" s="159"/>
      <c r="QJ92" s="159"/>
      <c r="QK92" s="159"/>
      <c r="QL92" s="159"/>
      <c r="QM92" s="159"/>
      <c r="QN92" s="159"/>
      <c r="QO92" s="159"/>
      <c r="QP92" s="159"/>
      <c r="QQ92" s="159"/>
      <c r="QR92" s="159"/>
      <c r="QS92" s="159"/>
      <c r="QT92" s="159"/>
      <c r="QU92" s="159"/>
      <c r="QV92" s="159"/>
      <c r="QW92" s="159"/>
      <c r="QX92" s="159"/>
      <c r="QY92" s="159"/>
      <c r="QZ92" s="159"/>
      <c r="RA92" s="159"/>
      <c r="RB92" s="159"/>
      <c r="RC92" s="159"/>
      <c r="RD92" s="159"/>
      <c r="RE92" s="159"/>
      <c r="RF92" s="159"/>
      <c r="RG92" s="159"/>
      <c r="RH92" s="159"/>
      <c r="RI92" s="159"/>
      <c r="RJ92" s="159"/>
      <c r="RK92" s="159"/>
      <c r="RL92" s="159"/>
      <c r="RM92" s="159"/>
      <c r="RN92" s="159"/>
      <c r="RO92" s="159"/>
      <c r="RP92" s="159"/>
      <c r="RQ92" s="159"/>
      <c r="RR92" s="159"/>
      <c r="RS92" s="159"/>
      <c r="RT92" s="159"/>
      <c r="RU92" s="159"/>
      <c r="RV92" s="159"/>
      <c r="RW92" s="159"/>
      <c r="RX92" s="159"/>
      <c r="RY92" s="159"/>
      <c r="RZ92" s="159"/>
      <c r="SA92" s="159"/>
      <c r="SB92" s="159"/>
      <c r="SC92" s="159"/>
      <c r="SD92" s="159"/>
      <c r="SE92" s="159"/>
      <c r="SF92" s="159"/>
      <c r="SG92" s="159"/>
      <c r="SH92" s="159"/>
      <c r="SI92" s="159"/>
      <c r="SJ92" s="159"/>
      <c r="SK92" s="159"/>
      <c r="SL92" s="159"/>
      <c r="SM92" s="159"/>
      <c r="SN92" s="159"/>
      <c r="SO92" s="159"/>
      <c r="SP92" s="159"/>
      <c r="SQ92" s="159"/>
      <c r="SR92" s="159"/>
      <c r="SS92" s="159"/>
      <c r="ST92" s="159"/>
      <c r="SU92" s="159"/>
      <c r="SV92" s="159"/>
      <c r="SW92" s="159"/>
      <c r="SX92" s="159"/>
      <c r="SY92" s="159"/>
      <c r="SZ92" s="159"/>
      <c r="TA92" s="159"/>
      <c r="TB92" s="159"/>
      <c r="TC92" s="159"/>
      <c r="TD92" s="159"/>
      <c r="TE92" s="159"/>
      <c r="TF92" s="159"/>
      <c r="TG92" s="159"/>
      <c r="TH92" s="159"/>
      <c r="TI92" s="159"/>
      <c r="TJ92" s="159"/>
      <c r="TK92" s="159"/>
      <c r="TL92" s="159"/>
      <c r="TM92" s="159"/>
      <c r="TN92" s="159"/>
      <c r="TO92" s="159"/>
      <c r="TP92" s="159"/>
      <c r="TQ92" s="159"/>
      <c r="TR92" s="159"/>
      <c r="TS92" s="159"/>
      <c r="TT92" s="159"/>
      <c r="TU92" s="159"/>
      <c r="TV92" s="159"/>
      <c r="TW92" s="159"/>
      <c r="TX92" s="159"/>
      <c r="TY92" s="159"/>
      <c r="TZ92" s="159"/>
      <c r="UA92" s="159"/>
      <c r="UB92" s="159"/>
      <c r="UC92" s="159"/>
      <c r="UD92" s="159"/>
      <c r="UE92" s="159"/>
      <c r="UF92" s="159"/>
      <c r="UG92" s="159"/>
      <c r="UH92" s="159"/>
      <c r="UI92" s="159"/>
      <c r="UJ92" s="159"/>
      <c r="UK92" s="159"/>
      <c r="UL92" s="159"/>
      <c r="UM92" s="159"/>
      <c r="UN92" s="159"/>
      <c r="UO92" s="159"/>
      <c r="UP92" s="159"/>
      <c r="UQ92" s="159"/>
      <c r="UR92" s="159"/>
      <c r="US92" s="159"/>
      <c r="UT92" s="159"/>
      <c r="UU92" s="159"/>
      <c r="UV92" s="159"/>
      <c r="UW92" s="159"/>
      <c r="UX92" s="159"/>
      <c r="UY92" s="159"/>
      <c r="UZ92" s="159"/>
      <c r="VA92" s="159"/>
      <c r="VB92" s="159"/>
      <c r="VC92" s="159"/>
      <c r="VD92" s="159"/>
      <c r="VE92" s="159"/>
      <c r="VF92" s="159"/>
      <c r="VG92" s="159"/>
      <c r="VH92" s="159"/>
      <c r="VI92" s="159"/>
      <c r="VJ92" s="159"/>
      <c r="VK92" s="159"/>
      <c r="VL92" s="159"/>
      <c r="VM92" s="159"/>
      <c r="VN92" s="159"/>
      <c r="VO92" s="159"/>
      <c r="VP92" s="159"/>
      <c r="VQ92" s="159"/>
      <c r="VR92" s="159"/>
      <c r="VS92" s="159"/>
      <c r="VT92" s="159"/>
      <c r="VU92" s="159"/>
      <c r="VV92" s="159"/>
      <c r="VW92" s="159"/>
      <c r="VX92" s="159"/>
      <c r="VY92" s="159"/>
      <c r="VZ92" s="159"/>
      <c r="WA92" s="159"/>
      <c r="WB92" s="159"/>
      <c r="WC92" s="159"/>
      <c r="WD92" s="159"/>
      <c r="WE92" s="159"/>
      <c r="WF92" s="159"/>
      <c r="WG92" s="159"/>
      <c r="WH92" s="159"/>
      <c r="WI92" s="159"/>
      <c r="WJ92" s="159"/>
      <c r="WK92" s="159"/>
      <c r="WL92" s="159"/>
      <c r="WM92" s="159"/>
      <c r="WN92" s="159"/>
      <c r="WO92" s="159"/>
      <c r="WP92" s="159"/>
      <c r="WQ92" s="159"/>
      <c r="WR92" s="159"/>
      <c r="WS92" s="159"/>
      <c r="WT92" s="159"/>
      <c r="WU92" s="159"/>
      <c r="WV92" s="159"/>
      <c r="WW92" s="159"/>
      <c r="WX92" s="159"/>
      <c r="WY92" s="159"/>
      <c r="WZ92" s="159"/>
      <c r="XA92" s="159"/>
      <c r="XB92" s="159"/>
      <c r="XC92" s="159"/>
      <c r="XD92" s="159"/>
      <c r="XE92" s="159"/>
      <c r="XF92" s="159"/>
      <c r="XG92" s="159"/>
      <c r="XH92" s="159"/>
      <c r="XI92" s="159"/>
      <c r="XJ92" s="159"/>
      <c r="XK92" s="159"/>
      <c r="XL92" s="159"/>
      <c r="XM92" s="159"/>
      <c r="XN92" s="159"/>
      <c r="XO92" s="159"/>
      <c r="XP92" s="159"/>
      <c r="XQ92" s="159"/>
      <c r="XR92" s="159"/>
      <c r="XS92" s="159"/>
      <c r="XT92" s="159"/>
      <c r="XU92" s="159"/>
      <c r="XV92" s="159"/>
      <c r="XW92" s="159"/>
      <c r="XX92" s="159"/>
      <c r="XY92" s="159"/>
      <c r="XZ92" s="159"/>
      <c r="YA92" s="159"/>
      <c r="YB92" s="159"/>
      <c r="YC92" s="159"/>
      <c r="YD92" s="159"/>
      <c r="YE92" s="159"/>
      <c r="YF92" s="159"/>
      <c r="YG92" s="159"/>
      <c r="YH92" s="159"/>
      <c r="YI92" s="159"/>
      <c r="YJ92" s="159"/>
      <c r="YK92" s="159"/>
      <c r="YL92" s="159"/>
      <c r="YM92" s="159"/>
      <c r="YN92" s="159"/>
      <c r="YO92" s="159"/>
      <c r="YP92" s="159"/>
      <c r="YQ92" s="159"/>
      <c r="YR92" s="159"/>
      <c r="YS92" s="159"/>
      <c r="YT92" s="159"/>
      <c r="YU92" s="159"/>
      <c r="YV92" s="159"/>
      <c r="YW92" s="159"/>
      <c r="YX92" s="159"/>
      <c r="YY92" s="159"/>
      <c r="YZ92" s="159"/>
      <c r="ZA92" s="159"/>
      <c r="ZB92" s="159"/>
      <c r="ZC92" s="159"/>
      <c r="ZD92" s="159"/>
      <c r="ZE92" s="159"/>
      <c r="ZF92" s="159"/>
      <c r="ZG92" s="159"/>
      <c r="ZH92" s="159"/>
      <c r="ZI92" s="159"/>
      <c r="ZJ92" s="159"/>
      <c r="ZK92" s="159"/>
      <c r="ZL92" s="159"/>
      <c r="ZM92" s="159"/>
      <c r="ZN92" s="159"/>
      <c r="ZO92" s="159"/>
      <c r="ZP92" s="159"/>
      <c r="ZQ92" s="159"/>
      <c r="ZR92" s="159"/>
      <c r="ZS92" s="159"/>
      <c r="ZT92" s="159"/>
      <c r="ZU92" s="159"/>
      <c r="ZV92" s="159"/>
      <c r="ZW92" s="159"/>
      <c r="ZX92" s="159"/>
      <c r="ZY92" s="159"/>
      <c r="ZZ92" s="159"/>
      <c r="AAA92" s="159"/>
      <c r="AAB92" s="159"/>
      <c r="AAC92" s="159"/>
      <c r="AAD92" s="159"/>
      <c r="AAE92" s="159"/>
      <c r="AAF92" s="159"/>
      <c r="AAG92" s="159"/>
      <c r="AAH92" s="159"/>
      <c r="AAI92" s="159"/>
      <c r="AAJ92" s="159"/>
      <c r="AAK92" s="159"/>
      <c r="AAL92" s="159"/>
      <c r="AAM92" s="159"/>
      <c r="AAN92" s="159"/>
      <c r="AAO92" s="159"/>
      <c r="AAP92" s="159"/>
      <c r="AAQ92" s="159"/>
      <c r="AAR92" s="159"/>
      <c r="AAS92" s="159"/>
      <c r="AAT92" s="159"/>
      <c r="AAU92" s="159"/>
      <c r="AAV92" s="159"/>
      <c r="AAW92" s="159"/>
      <c r="AAX92" s="159"/>
      <c r="AAY92" s="159"/>
      <c r="AAZ92" s="159"/>
      <c r="ABA92" s="159"/>
      <c r="ABB92" s="159"/>
      <c r="ABC92" s="159"/>
      <c r="ABD92" s="159"/>
      <c r="ABE92" s="159"/>
      <c r="ABF92" s="159"/>
      <c r="ABG92" s="159"/>
      <c r="ABH92" s="159"/>
      <c r="ABI92" s="159"/>
      <c r="ABJ92" s="159"/>
      <c r="ABK92" s="159"/>
      <c r="ABL92" s="159"/>
      <c r="ABM92" s="159"/>
      <c r="ABN92" s="159"/>
      <c r="ABO92" s="159"/>
      <c r="ABP92" s="159"/>
      <c r="ABQ92" s="159"/>
      <c r="ABR92" s="159"/>
      <c r="ABS92" s="159"/>
      <c r="ABT92" s="159"/>
      <c r="ABU92" s="159"/>
      <c r="ABV92" s="159"/>
      <c r="ABW92" s="159"/>
      <c r="ABX92" s="159"/>
      <c r="ABY92" s="159"/>
      <c r="ABZ92" s="159"/>
      <c r="ACA92" s="159"/>
      <c r="ACB92" s="159"/>
      <c r="ACC92" s="159"/>
      <c r="ACD92" s="159"/>
      <c r="ACE92" s="159"/>
      <c r="ACF92" s="159"/>
      <c r="ACG92" s="159"/>
      <c r="ACH92" s="159"/>
      <c r="ACI92" s="159"/>
      <c r="ACJ92" s="159"/>
      <c r="ACK92" s="159"/>
      <c r="ACL92" s="159"/>
      <c r="ACM92" s="159"/>
      <c r="ACN92" s="159"/>
      <c r="ACO92" s="159"/>
      <c r="ACP92" s="159"/>
      <c r="ACQ92" s="159"/>
      <c r="ACR92" s="159"/>
      <c r="ACS92" s="159"/>
      <c r="ACT92" s="159"/>
      <c r="ACU92" s="159"/>
      <c r="ACV92" s="159"/>
      <c r="ACW92" s="159"/>
      <c r="ACX92" s="159"/>
      <c r="ACY92" s="159"/>
      <c r="ACZ92" s="159"/>
      <c r="ADA92" s="159"/>
      <c r="ADB92" s="159"/>
      <c r="ADC92" s="159"/>
      <c r="ADD92" s="159"/>
      <c r="ADE92" s="159"/>
      <c r="ADF92" s="159"/>
      <c r="ADG92" s="159"/>
      <c r="ADH92" s="159"/>
      <c r="ADI92" s="159"/>
      <c r="ADJ92" s="159"/>
      <c r="ADK92" s="159"/>
      <c r="ADL92" s="159"/>
      <c r="ADM92" s="159"/>
      <c r="ADN92" s="159"/>
      <c r="ADO92" s="159"/>
      <c r="ADP92" s="159"/>
      <c r="ADQ92" s="159"/>
      <c r="ADR92" s="159"/>
      <c r="ADS92" s="159"/>
      <c r="ADT92" s="159"/>
      <c r="ADU92" s="159"/>
      <c r="ADV92" s="159"/>
      <c r="ADW92" s="159"/>
      <c r="ADX92" s="159"/>
      <c r="ADY92" s="159"/>
      <c r="ADZ92" s="159"/>
      <c r="AEA92" s="159"/>
      <c r="AEB92" s="159"/>
      <c r="AEC92" s="159"/>
      <c r="AED92" s="159"/>
      <c r="AEE92" s="159"/>
      <c r="AEF92" s="159"/>
      <c r="AEG92" s="159"/>
      <c r="AEH92" s="159"/>
      <c r="AEI92" s="159"/>
      <c r="AEJ92" s="159"/>
      <c r="AEK92" s="159"/>
      <c r="AEL92" s="159"/>
      <c r="AEM92" s="159"/>
      <c r="AEN92" s="159"/>
      <c r="AEO92" s="159"/>
      <c r="AEP92" s="159"/>
      <c r="AEQ92" s="159"/>
      <c r="AER92" s="159"/>
      <c r="AES92" s="159"/>
      <c r="AET92" s="159"/>
      <c r="AEU92" s="159"/>
      <c r="AEV92" s="159"/>
      <c r="AEW92" s="159"/>
      <c r="AEX92" s="159"/>
      <c r="AEY92" s="159"/>
      <c r="AEZ92" s="159"/>
      <c r="AFA92" s="159"/>
      <c r="AFB92" s="159"/>
      <c r="AFC92" s="159"/>
      <c r="AFD92" s="159"/>
      <c r="AFE92" s="159"/>
      <c r="AFF92" s="159"/>
      <c r="AFG92" s="159"/>
      <c r="AFH92" s="159"/>
      <c r="AFI92" s="159"/>
      <c r="AFJ92" s="159"/>
      <c r="AFK92" s="159"/>
      <c r="AFL92" s="159"/>
      <c r="AFM92" s="159"/>
      <c r="AFN92" s="159"/>
      <c r="AFO92" s="159"/>
      <c r="AFP92" s="159"/>
      <c r="AFQ92" s="159"/>
      <c r="AFR92" s="159"/>
      <c r="AFS92" s="159"/>
      <c r="AFT92" s="159"/>
      <c r="AFU92" s="159"/>
      <c r="AFV92" s="159"/>
      <c r="AFW92" s="159"/>
      <c r="AFX92" s="159"/>
      <c r="AFY92" s="159"/>
      <c r="AFZ92" s="159"/>
      <c r="AGA92" s="159"/>
      <c r="AGB92" s="159"/>
      <c r="AGC92" s="159"/>
      <c r="AGD92" s="159"/>
      <c r="AGE92" s="159"/>
      <c r="AGF92" s="159"/>
      <c r="AGG92" s="159"/>
      <c r="AGH92" s="159"/>
      <c r="AGI92" s="159"/>
      <c r="AGJ92" s="159"/>
      <c r="AGK92" s="159"/>
      <c r="AGL92" s="159"/>
      <c r="AGM92" s="159"/>
      <c r="AGN92" s="159"/>
      <c r="AGO92" s="159"/>
      <c r="AGP92" s="159"/>
      <c r="AGQ92" s="159"/>
      <c r="AGR92" s="159"/>
      <c r="AGS92" s="159"/>
      <c r="AGT92" s="159"/>
      <c r="AGU92" s="159"/>
      <c r="AGV92" s="159"/>
      <c r="AGW92" s="159"/>
      <c r="AGX92" s="159"/>
      <c r="AGY92" s="159"/>
      <c r="AGZ92" s="159"/>
      <c r="AHA92" s="159"/>
      <c r="AHB92" s="159"/>
      <c r="AHC92" s="159"/>
      <c r="AHD92" s="159"/>
      <c r="AHE92" s="159"/>
      <c r="AHF92" s="159"/>
      <c r="AHG92" s="159"/>
      <c r="AHH92" s="159"/>
      <c r="AHI92" s="159"/>
      <c r="AHJ92" s="159"/>
      <c r="AHK92" s="159"/>
      <c r="AHL92" s="159"/>
      <c r="AHM92" s="159"/>
      <c r="AHN92" s="159"/>
      <c r="AHO92" s="159"/>
      <c r="AHP92" s="159"/>
      <c r="AHQ92" s="159"/>
      <c r="AHR92" s="159"/>
      <c r="AHS92" s="159"/>
      <c r="AHT92" s="159"/>
      <c r="AHU92" s="159"/>
      <c r="AHV92" s="159"/>
      <c r="AHW92" s="159"/>
      <c r="AHX92" s="159"/>
      <c r="AHY92" s="159"/>
      <c r="AHZ92" s="159"/>
      <c r="AIA92" s="159"/>
      <c r="AIB92" s="159"/>
      <c r="AIC92" s="159"/>
      <c r="AID92" s="159"/>
      <c r="AIE92" s="159"/>
      <c r="AIF92" s="159"/>
      <c r="AIG92" s="159"/>
      <c r="AIH92" s="159"/>
      <c r="AII92" s="159"/>
      <c r="AIJ92" s="159"/>
      <c r="AIK92" s="159"/>
      <c r="AIL92" s="159"/>
      <c r="AIM92" s="159"/>
      <c r="AIN92" s="159"/>
      <c r="AIO92" s="159"/>
      <c r="AIP92" s="159"/>
      <c r="AIQ92" s="159"/>
      <c r="AIR92" s="159"/>
      <c r="AIS92" s="159"/>
      <c r="AIT92" s="159"/>
      <c r="AIU92" s="159"/>
      <c r="AIV92" s="159"/>
      <c r="AIW92" s="159"/>
      <c r="AIX92" s="159"/>
      <c r="AIY92" s="159"/>
      <c r="AIZ92" s="159"/>
      <c r="AJA92" s="159"/>
      <c r="AJB92" s="159"/>
      <c r="AJC92" s="159"/>
      <c r="AJD92" s="159"/>
      <c r="AJE92" s="159"/>
      <c r="AJF92" s="159"/>
      <c r="AJG92" s="159"/>
      <c r="AJH92" s="159"/>
      <c r="AJI92" s="159"/>
      <c r="AJJ92" s="159"/>
      <c r="AJK92" s="159"/>
      <c r="AJL92" s="159"/>
      <c r="AJM92" s="159"/>
      <c r="AJN92" s="159"/>
      <c r="AJO92" s="159"/>
      <c r="AJP92" s="159"/>
      <c r="AJQ92" s="159"/>
      <c r="AJR92" s="159"/>
      <c r="AJS92" s="159"/>
      <c r="AJT92" s="159"/>
      <c r="AJU92" s="159"/>
      <c r="AJV92" s="159"/>
      <c r="AJW92" s="159"/>
      <c r="AJX92" s="159"/>
      <c r="AJY92" s="159"/>
      <c r="AJZ92" s="159"/>
      <c r="AKA92" s="159"/>
      <c r="AKB92" s="159"/>
      <c r="AKC92" s="159"/>
      <c r="AKD92" s="159"/>
      <c r="AKE92" s="159"/>
      <c r="AKF92" s="159"/>
      <c r="AKG92" s="159"/>
      <c r="AKH92" s="159"/>
      <c r="AKI92" s="159"/>
      <c r="AKJ92" s="159"/>
      <c r="AKK92" s="159"/>
      <c r="AKL92" s="159"/>
      <c r="AKM92" s="159"/>
      <c r="AKN92" s="159"/>
      <c r="AKO92" s="159"/>
      <c r="AKP92" s="159"/>
      <c r="AKQ92" s="159"/>
      <c r="AKR92" s="159"/>
      <c r="AKS92" s="159"/>
      <c r="AKT92" s="159"/>
      <c r="AKU92" s="159"/>
      <c r="AKV92" s="159"/>
      <c r="AKW92" s="159"/>
      <c r="AKX92" s="159"/>
      <c r="AKY92" s="159"/>
      <c r="AKZ92" s="159"/>
      <c r="ALA92" s="159"/>
      <c r="ALB92" s="159"/>
      <c r="ALC92" s="159"/>
      <c r="ALD92" s="159"/>
      <c r="ALE92" s="159"/>
      <c r="ALF92" s="159"/>
      <c r="ALG92" s="159"/>
      <c r="ALH92" s="159"/>
      <c r="ALI92" s="159"/>
      <c r="ALJ92" s="159"/>
      <c r="ALK92" s="159"/>
      <c r="ALL92" s="159"/>
      <c r="ALM92" s="159"/>
      <c r="ALN92" s="159"/>
      <c r="ALO92" s="159"/>
      <c r="ALP92" s="159"/>
      <c r="ALQ92" s="159"/>
      <c r="ALR92" s="159"/>
      <c r="ALS92" s="159"/>
      <c r="ALT92" s="159"/>
      <c r="ALU92" s="159"/>
      <c r="ALV92" s="159"/>
      <c r="ALW92" s="159"/>
      <c r="ALX92" s="159"/>
      <c r="ALY92" s="159"/>
      <c r="ALZ92" s="159"/>
      <c r="AMA92" s="159"/>
      <c r="AMB92" s="159"/>
      <c r="AMC92" s="159"/>
      <c r="AMD92" s="159"/>
      <c r="AME92" s="159"/>
      <c r="AMF92" s="159"/>
      <c r="AMG92" s="159"/>
      <c r="AMH92" s="159"/>
      <c r="AMI92" s="159"/>
      <c r="AMJ92" s="159"/>
      <c r="AMK92" s="159"/>
      <c r="AML92" s="159"/>
      <c r="AMM92" s="159"/>
      <c r="AMN92" s="159"/>
      <c r="AMO92" s="159"/>
    </row>
    <row r="93" spans="1:1029" s="161" customFormat="1" ht="26.25" thickBot="1" x14ac:dyDescent="0.3">
      <c r="A93" s="163">
        <v>46150</v>
      </c>
      <c r="B93" s="155" t="s">
        <v>105</v>
      </c>
      <c r="C93" s="155" t="s">
        <v>143</v>
      </c>
      <c r="D93" s="164" t="s">
        <v>69</v>
      </c>
      <c r="E93" s="154" t="s">
        <v>53</v>
      </c>
      <c r="F93" s="155" t="s">
        <v>10</v>
      </c>
      <c r="G93" s="155" t="s">
        <v>11</v>
      </c>
      <c r="H93" s="147" t="b">
        <f t="shared" si="8"/>
        <v>0</v>
      </c>
      <c r="I93" s="135" t="s">
        <v>141</v>
      </c>
      <c r="J93" s="135" t="s">
        <v>125</v>
      </c>
      <c r="K93" s="135" t="s">
        <v>31</v>
      </c>
      <c r="L93" s="147" t="b">
        <f t="shared" si="9"/>
        <v>0</v>
      </c>
      <c r="M93" s="135" t="s">
        <v>193</v>
      </c>
      <c r="N93" s="135" t="s">
        <v>10</v>
      </c>
      <c r="O93" s="135" t="s">
        <v>11</v>
      </c>
      <c r="P93" s="147" t="b">
        <f t="shared" si="10"/>
        <v>0</v>
      </c>
      <c r="Q93" s="156" t="s">
        <v>73</v>
      </c>
      <c r="R93" s="155" t="s">
        <v>51</v>
      </c>
      <c r="S93" s="155" t="s">
        <v>90</v>
      </c>
      <c r="T93" s="147" t="b">
        <f t="shared" si="11"/>
        <v>0</v>
      </c>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59"/>
      <c r="AT93" s="159"/>
      <c r="AU93" s="159"/>
      <c r="AV93" s="159"/>
      <c r="AW93" s="159"/>
      <c r="AX93" s="159"/>
      <c r="AY93" s="159"/>
      <c r="AZ93" s="159"/>
      <c r="BA93" s="159"/>
      <c r="BB93" s="159"/>
      <c r="BC93" s="159"/>
      <c r="BD93" s="159"/>
      <c r="BE93" s="159"/>
      <c r="BF93" s="159"/>
      <c r="BG93" s="159"/>
      <c r="BH93" s="159"/>
      <c r="BI93" s="159"/>
      <c r="BJ93" s="159"/>
      <c r="BK93" s="159"/>
      <c r="BL93" s="159"/>
      <c r="BM93" s="159"/>
      <c r="BN93" s="159"/>
      <c r="BO93" s="159"/>
      <c r="BP93" s="159"/>
      <c r="BQ93" s="159"/>
      <c r="BR93" s="159"/>
      <c r="BS93" s="159"/>
      <c r="BT93" s="159"/>
      <c r="BU93" s="159"/>
      <c r="BV93" s="159"/>
      <c r="BW93" s="159"/>
      <c r="BX93" s="159"/>
      <c r="BY93" s="159"/>
      <c r="BZ93" s="159"/>
      <c r="CA93" s="159"/>
      <c r="CB93" s="159"/>
      <c r="CC93" s="159"/>
      <c r="CD93" s="159"/>
      <c r="CE93" s="159"/>
      <c r="CF93" s="159"/>
      <c r="CG93" s="159"/>
      <c r="CH93" s="159"/>
      <c r="CI93" s="159"/>
      <c r="CJ93" s="159"/>
      <c r="CK93" s="159"/>
      <c r="CL93" s="159"/>
      <c r="CM93" s="159"/>
      <c r="CN93" s="159"/>
      <c r="CO93" s="159"/>
      <c r="CP93" s="159"/>
      <c r="CQ93" s="159"/>
      <c r="CR93" s="159"/>
      <c r="CS93" s="159"/>
      <c r="CT93" s="159"/>
      <c r="CU93" s="159"/>
      <c r="CV93" s="159"/>
      <c r="CW93" s="159"/>
      <c r="CX93" s="159"/>
      <c r="CY93" s="159"/>
      <c r="CZ93" s="159"/>
      <c r="DA93" s="159"/>
      <c r="DB93" s="159"/>
      <c r="DC93" s="159"/>
      <c r="DD93" s="159"/>
      <c r="DE93" s="159"/>
      <c r="DF93" s="159"/>
      <c r="DG93" s="159"/>
      <c r="DH93" s="159"/>
      <c r="DI93" s="159"/>
      <c r="DJ93" s="159"/>
      <c r="DK93" s="159"/>
      <c r="DL93" s="159"/>
      <c r="DM93" s="159"/>
      <c r="DN93" s="159"/>
      <c r="DO93" s="159"/>
      <c r="DP93" s="159"/>
      <c r="DQ93" s="159"/>
      <c r="DR93" s="159"/>
      <c r="DS93" s="159"/>
      <c r="DT93" s="159"/>
      <c r="DU93" s="159"/>
      <c r="DV93" s="159"/>
      <c r="DW93" s="159"/>
      <c r="DX93" s="159"/>
      <c r="DY93" s="159"/>
      <c r="DZ93" s="159"/>
      <c r="EA93" s="159"/>
      <c r="EB93" s="159"/>
      <c r="EC93" s="159"/>
      <c r="ED93" s="159"/>
      <c r="EE93" s="159"/>
      <c r="EF93" s="159"/>
      <c r="EG93" s="159"/>
      <c r="EH93" s="159"/>
      <c r="EI93" s="159"/>
      <c r="EJ93" s="159"/>
      <c r="EK93" s="159"/>
      <c r="EL93" s="159"/>
      <c r="EM93" s="159"/>
      <c r="EN93" s="159"/>
      <c r="EO93" s="159"/>
      <c r="EP93" s="159"/>
      <c r="EQ93" s="159"/>
      <c r="ER93" s="159"/>
      <c r="ES93" s="159"/>
      <c r="ET93" s="159"/>
      <c r="EU93" s="159"/>
      <c r="EV93" s="159"/>
      <c r="EW93" s="159"/>
      <c r="EX93" s="159"/>
      <c r="EY93" s="159"/>
      <c r="EZ93" s="159"/>
      <c r="FA93" s="159"/>
      <c r="FB93" s="159"/>
      <c r="FC93" s="159"/>
      <c r="FD93" s="159"/>
      <c r="FE93" s="159"/>
      <c r="FF93" s="159"/>
      <c r="FG93" s="159"/>
      <c r="FH93" s="159"/>
      <c r="FI93" s="159"/>
      <c r="FJ93" s="159"/>
      <c r="FK93" s="159"/>
      <c r="FL93" s="159"/>
      <c r="FM93" s="159"/>
      <c r="FN93" s="159"/>
      <c r="FO93" s="159"/>
      <c r="FP93" s="159"/>
      <c r="FQ93" s="159"/>
      <c r="FR93" s="159"/>
      <c r="FS93" s="159"/>
      <c r="FT93" s="159"/>
      <c r="FU93" s="159"/>
      <c r="FV93" s="159"/>
      <c r="FW93" s="159"/>
      <c r="FX93" s="159"/>
      <c r="FY93" s="159"/>
      <c r="FZ93" s="159"/>
      <c r="GA93" s="159"/>
      <c r="GB93" s="159"/>
      <c r="GC93" s="159"/>
      <c r="GD93" s="159"/>
      <c r="GE93" s="159"/>
      <c r="GF93" s="159"/>
      <c r="GG93" s="159"/>
      <c r="GH93" s="159"/>
      <c r="GI93" s="159"/>
      <c r="GJ93" s="159"/>
      <c r="GK93" s="159"/>
      <c r="GL93" s="159"/>
      <c r="GM93" s="159"/>
      <c r="GN93" s="159"/>
      <c r="GO93" s="159"/>
      <c r="GP93" s="159"/>
      <c r="GQ93" s="159"/>
      <c r="GR93" s="159"/>
      <c r="GS93" s="159"/>
      <c r="GT93" s="159"/>
      <c r="GU93" s="159"/>
      <c r="GV93" s="159"/>
      <c r="GW93" s="159"/>
      <c r="GX93" s="159"/>
      <c r="GY93" s="159"/>
      <c r="GZ93" s="159"/>
      <c r="HA93" s="159"/>
      <c r="HB93" s="159"/>
      <c r="HC93" s="159"/>
      <c r="HD93" s="159"/>
      <c r="HE93" s="159"/>
      <c r="HF93" s="159"/>
      <c r="HG93" s="159"/>
      <c r="HH93" s="159"/>
      <c r="HI93" s="159"/>
      <c r="HJ93" s="159"/>
      <c r="HK93" s="159"/>
      <c r="HL93" s="159"/>
      <c r="HM93" s="159"/>
      <c r="HN93" s="159"/>
      <c r="HO93" s="159"/>
      <c r="HP93" s="159"/>
      <c r="HQ93" s="159"/>
      <c r="HR93" s="159"/>
      <c r="HS93" s="159"/>
      <c r="HT93" s="159"/>
      <c r="HU93" s="159"/>
      <c r="HV93" s="159"/>
      <c r="HW93" s="159"/>
      <c r="HX93" s="159"/>
      <c r="HY93" s="159"/>
      <c r="HZ93" s="159"/>
      <c r="IA93" s="159"/>
      <c r="IB93" s="159"/>
      <c r="IC93" s="159"/>
      <c r="ID93" s="159"/>
      <c r="IE93" s="159"/>
      <c r="IF93" s="159"/>
      <c r="IG93" s="159"/>
      <c r="IH93" s="159"/>
      <c r="II93" s="159"/>
      <c r="IJ93" s="159"/>
      <c r="IK93" s="159"/>
      <c r="IL93" s="159"/>
      <c r="IM93" s="159"/>
      <c r="IN93" s="159"/>
      <c r="IO93" s="159"/>
      <c r="IP93" s="159"/>
      <c r="IQ93" s="159"/>
      <c r="IR93" s="159"/>
      <c r="IS93" s="159"/>
      <c r="IT93" s="159"/>
      <c r="IU93" s="159"/>
      <c r="IV93" s="159"/>
      <c r="IW93" s="159"/>
      <c r="IX93" s="159"/>
      <c r="IY93" s="159"/>
      <c r="IZ93" s="159"/>
      <c r="JA93" s="159"/>
      <c r="JB93" s="159"/>
      <c r="JC93" s="159"/>
      <c r="JD93" s="159"/>
      <c r="JE93" s="159"/>
      <c r="JF93" s="159"/>
      <c r="JG93" s="159"/>
      <c r="JH93" s="159"/>
      <c r="JI93" s="159"/>
      <c r="JJ93" s="159"/>
      <c r="JK93" s="159"/>
      <c r="JL93" s="159"/>
      <c r="JM93" s="159"/>
      <c r="JN93" s="159"/>
      <c r="JO93" s="159"/>
      <c r="JP93" s="159"/>
      <c r="JQ93" s="159"/>
      <c r="JR93" s="159"/>
      <c r="JS93" s="159"/>
      <c r="JT93" s="159"/>
      <c r="JU93" s="159"/>
      <c r="JV93" s="159"/>
      <c r="JW93" s="159"/>
      <c r="JX93" s="159"/>
      <c r="JY93" s="159"/>
      <c r="JZ93" s="159"/>
      <c r="KA93" s="159"/>
      <c r="KB93" s="159"/>
      <c r="KC93" s="159"/>
      <c r="KD93" s="159"/>
      <c r="KE93" s="159"/>
      <c r="KF93" s="159"/>
      <c r="KG93" s="159"/>
      <c r="KH93" s="159"/>
      <c r="KI93" s="159"/>
      <c r="KJ93" s="159"/>
      <c r="KK93" s="159"/>
      <c r="KL93" s="159"/>
      <c r="KM93" s="159"/>
      <c r="KN93" s="159"/>
      <c r="KO93" s="159"/>
      <c r="KP93" s="159"/>
      <c r="KQ93" s="159"/>
      <c r="KR93" s="159"/>
      <c r="KS93" s="159"/>
      <c r="KT93" s="159"/>
      <c r="KU93" s="159"/>
      <c r="KV93" s="159"/>
      <c r="KW93" s="159"/>
      <c r="KX93" s="159"/>
      <c r="KY93" s="159"/>
      <c r="KZ93" s="159"/>
      <c r="LA93" s="159"/>
      <c r="LB93" s="159"/>
      <c r="LC93" s="159"/>
      <c r="LD93" s="159"/>
      <c r="LE93" s="159"/>
      <c r="LF93" s="159"/>
      <c r="LG93" s="159"/>
      <c r="LH93" s="159"/>
      <c r="LI93" s="159"/>
      <c r="LJ93" s="159"/>
      <c r="LK93" s="159"/>
      <c r="LL93" s="159"/>
      <c r="LM93" s="159"/>
      <c r="LN93" s="159"/>
      <c r="LO93" s="159"/>
      <c r="LP93" s="159"/>
      <c r="LQ93" s="159"/>
      <c r="LR93" s="159"/>
      <c r="LS93" s="159"/>
      <c r="LT93" s="159"/>
      <c r="LU93" s="159"/>
      <c r="LV93" s="159"/>
      <c r="LW93" s="159"/>
      <c r="LX93" s="159"/>
      <c r="LY93" s="159"/>
      <c r="LZ93" s="159"/>
      <c r="MA93" s="159"/>
      <c r="MB93" s="159"/>
      <c r="MC93" s="159"/>
      <c r="MD93" s="159"/>
      <c r="ME93" s="159"/>
      <c r="MF93" s="159"/>
      <c r="MG93" s="159"/>
      <c r="MH93" s="159"/>
      <c r="MI93" s="159"/>
      <c r="MJ93" s="159"/>
      <c r="MK93" s="159"/>
      <c r="ML93" s="159"/>
      <c r="MM93" s="159"/>
      <c r="MN93" s="159"/>
      <c r="MO93" s="159"/>
      <c r="MP93" s="159"/>
      <c r="MQ93" s="159"/>
      <c r="MR93" s="159"/>
      <c r="MS93" s="159"/>
      <c r="MT93" s="159"/>
      <c r="MU93" s="159"/>
      <c r="MV93" s="159"/>
      <c r="MW93" s="159"/>
      <c r="MX93" s="159"/>
      <c r="MY93" s="159"/>
      <c r="MZ93" s="159"/>
      <c r="NA93" s="159"/>
      <c r="NB93" s="159"/>
      <c r="NC93" s="159"/>
      <c r="ND93" s="159"/>
      <c r="NE93" s="159"/>
      <c r="NF93" s="159"/>
      <c r="NG93" s="159"/>
      <c r="NH93" s="159"/>
      <c r="NI93" s="159"/>
      <c r="NJ93" s="159"/>
      <c r="NK93" s="159"/>
      <c r="NL93" s="159"/>
      <c r="NM93" s="159"/>
      <c r="NN93" s="159"/>
      <c r="NO93" s="159"/>
      <c r="NP93" s="159"/>
      <c r="NQ93" s="159"/>
      <c r="NR93" s="159"/>
      <c r="NS93" s="159"/>
      <c r="NT93" s="159"/>
      <c r="NU93" s="159"/>
      <c r="NV93" s="159"/>
      <c r="NW93" s="159"/>
      <c r="NX93" s="159"/>
      <c r="NY93" s="159"/>
      <c r="NZ93" s="159"/>
      <c r="OA93" s="159"/>
      <c r="OB93" s="159"/>
      <c r="OC93" s="159"/>
      <c r="OD93" s="159"/>
      <c r="OE93" s="159"/>
      <c r="OF93" s="159"/>
      <c r="OG93" s="159"/>
      <c r="OH93" s="159"/>
      <c r="OI93" s="159"/>
      <c r="OJ93" s="159"/>
      <c r="OK93" s="159"/>
      <c r="OL93" s="159"/>
      <c r="OM93" s="159"/>
      <c r="ON93" s="159"/>
      <c r="OO93" s="159"/>
      <c r="OP93" s="159"/>
      <c r="OQ93" s="159"/>
      <c r="OR93" s="159"/>
      <c r="OS93" s="159"/>
      <c r="OT93" s="159"/>
      <c r="OU93" s="159"/>
      <c r="OV93" s="159"/>
      <c r="OW93" s="159"/>
      <c r="OX93" s="159"/>
      <c r="OY93" s="159"/>
      <c r="OZ93" s="159"/>
      <c r="PA93" s="159"/>
      <c r="PB93" s="159"/>
      <c r="PC93" s="159"/>
      <c r="PD93" s="159"/>
      <c r="PE93" s="159"/>
      <c r="PF93" s="159"/>
      <c r="PG93" s="159"/>
      <c r="PH93" s="159"/>
      <c r="PI93" s="159"/>
      <c r="PJ93" s="159"/>
      <c r="PK93" s="159"/>
      <c r="PL93" s="159"/>
      <c r="PM93" s="159"/>
      <c r="PN93" s="159"/>
      <c r="PO93" s="159"/>
      <c r="PP93" s="159"/>
      <c r="PQ93" s="159"/>
      <c r="PR93" s="159"/>
      <c r="PS93" s="159"/>
      <c r="PT93" s="159"/>
      <c r="PU93" s="159"/>
      <c r="PV93" s="159"/>
      <c r="PW93" s="159"/>
      <c r="PX93" s="159"/>
      <c r="PY93" s="159"/>
      <c r="PZ93" s="159"/>
      <c r="QA93" s="159"/>
      <c r="QB93" s="159"/>
      <c r="QC93" s="159"/>
      <c r="QD93" s="159"/>
      <c r="QE93" s="159"/>
      <c r="QF93" s="159"/>
      <c r="QG93" s="159"/>
      <c r="QH93" s="159"/>
      <c r="QI93" s="159"/>
      <c r="QJ93" s="159"/>
      <c r="QK93" s="159"/>
      <c r="QL93" s="159"/>
      <c r="QM93" s="159"/>
      <c r="QN93" s="159"/>
      <c r="QO93" s="159"/>
      <c r="QP93" s="159"/>
      <c r="QQ93" s="159"/>
      <c r="QR93" s="159"/>
      <c r="QS93" s="159"/>
      <c r="QT93" s="159"/>
      <c r="QU93" s="159"/>
      <c r="QV93" s="159"/>
      <c r="QW93" s="159"/>
      <c r="QX93" s="159"/>
      <c r="QY93" s="159"/>
      <c r="QZ93" s="159"/>
      <c r="RA93" s="159"/>
      <c r="RB93" s="159"/>
      <c r="RC93" s="159"/>
      <c r="RD93" s="159"/>
      <c r="RE93" s="159"/>
      <c r="RF93" s="159"/>
      <c r="RG93" s="159"/>
      <c r="RH93" s="159"/>
      <c r="RI93" s="159"/>
      <c r="RJ93" s="159"/>
      <c r="RK93" s="159"/>
      <c r="RL93" s="159"/>
      <c r="RM93" s="159"/>
      <c r="RN93" s="159"/>
      <c r="RO93" s="159"/>
      <c r="RP93" s="159"/>
      <c r="RQ93" s="159"/>
      <c r="RR93" s="159"/>
      <c r="RS93" s="159"/>
      <c r="RT93" s="159"/>
      <c r="RU93" s="159"/>
      <c r="RV93" s="159"/>
      <c r="RW93" s="159"/>
      <c r="RX93" s="159"/>
      <c r="RY93" s="159"/>
      <c r="RZ93" s="159"/>
      <c r="SA93" s="159"/>
      <c r="SB93" s="159"/>
      <c r="SC93" s="159"/>
      <c r="SD93" s="159"/>
      <c r="SE93" s="159"/>
      <c r="SF93" s="159"/>
      <c r="SG93" s="159"/>
      <c r="SH93" s="159"/>
      <c r="SI93" s="159"/>
      <c r="SJ93" s="159"/>
      <c r="SK93" s="159"/>
      <c r="SL93" s="159"/>
      <c r="SM93" s="159"/>
      <c r="SN93" s="159"/>
      <c r="SO93" s="159"/>
      <c r="SP93" s="159"/>
      <c r="SQ93" s="159"/>
      <c r="SR93" s="159"/>
      <c r="SS93" s="159"/>
      <c r="ST93" s="159"/>
      <c r="SU93" s="159"/>
      <c r="SV93" s="159"/>
      <c r="SW93" s="159"/>
      <c r="SX93" s="159"/>
      <c r="SY93" s="159"/>
      <c r="SZ93" s="159"/>
      <c r="TA93" s="159"/>
      <c r="TB93" s="159"/>
      <c r="TC93" s="159"/>
      <c r="TD93" s="159"/>
      <c r="TE93" s="159"/>
      <c r="TF93" s="159"/>
      <c r="TG93" s="159"/>
      <c r="TH93" s="159"/>
      <c r="TI93" s="159"/>
      <c r="TJ93" s="159"/>
      <c r="TK93" s="159"/>
      <c r="TL93" s="159"/>
      <c r="TM93" s="159"/>
      <c r="TN93" s="159"/>
      <c r="TO93" s="159"/>
      <c r="TP93" s="159"/>
      <c r="TQ93" s="159"/>
      <c r="TR93" s="159"/>
      <c r="TS93" s="159"/>
      <c r="TT93" s="159"/>
      <c r="TU93" s="159"/>
      <c r="TV93" s="159"/>
      <c r="TW93" s="159"/>
      <c r="TX93" s="159"/>
      <c r="TY93" s="159"/>
      <c r="TZ93" s="159"/>
      <c r="UA93" s="159"/>
      <c r="UB93" s="159"/>
      <c r="UC93" s="159"/>
      <c r="UD93" s="159"/>
      <c r="UE93" s="159"/>
      <c r="UF93" s="159"/>
      <c r="UG93" s="159"/>
      <c r="UH93" s="159"/>
      <c r="UI93" s="159"/>
      <c r="UJ93" s="159"/>
      <c r="UK93" s="159"/>
      <c r="UL93" s="159"/>
      <c r="UM93" s="159"/>
      <c r="UN93" s="159"/>
      <c r="UO93" s="159"/>
      <c r="UP93" s="159"/>
      <c r="UQ93" s="159"/>
      <c r="UR93" s="159"/>
      <c r="US93" s="159"/>
      <c r="UT93" s="159"/>
      <c r="UU93" s="159"/>
      <c r="UV93" s="159"/>
      <c r="UW93" s="159"/>
      <c r="UX93" s="159"/>
      <c r="UY93" s="159"/>
      <c r="UZ93" s="159"/>
      <c r="VA93" s="159"/>
      <c r="VB93" s="159"/>
      <c r="VC93" s="159"/>
      <c r="VD93" s="159"/>
      <c r="VE93" s="159"/>
      <c r="VF93" s="159"/>
      <c r="VG93" s="159"/>
      <c r="VH93" s="159"/>
      <c r="VI93" s="159"/>
      <c r="VJ93" s="159"/>
      <c r="VK93" s="159"/>
      <c r="VL93" s="159"/>
      <c r="VM93" s="159"/>
      <c r="VN93" s="159"/>
      <c r="VO93" s="159"/>
      <c r="VP93" s="159"/>
      <c r="VQ93" s="159"/>
      <c r="VR93" s="159"/>
      <c r="VS93" s="159"/>
      <c r="VT93" s="159"/>
      <c r="VU93" s="159"/>
      <c r="VV93" s="159"/>
      <c r="VW93" s="159"/>
      <c r="VX93" s="159"/>
      <c r="VY93" s="159"/>
      <c r="VZ93" s="159"/>
      <c r="WA93" s="159"/>
      <c r="WB93" s="159"/>
      <c r="WC93" s="159"/>
      <c r="WD93" s="159"/>
      <c r="WE93" s="159"/>
      <c r="WF93" s="159"/>
      <c r="WG93" s="159"/>
      <c r="WH93" s="159"/>
      <c r="WI93" s="159"/>
      <c r="WJ93" s="159"/>
      <c r="WK93" s="159"/>
      <c r="WL93" s="159"/>
      <c r="WM93" s="159"/>
      <c r="WN93" s="159"/>
      <c r="WO93" s="159"/>
      <c r="WP93" s="159"/>
      <c r="WQ93" s="159"/>
      <c r="WR93" s="159"/>
      <c r="WS93" s="159"/>
      <c r="WT93" s="159"/>
      <c r="WU93" s="159"/>
      <c r="WV93" s="159"/>
      <c r="WW93" s="159"/>
      <c r="WX93" s="159"/>
      <c r="WY93" s="159"/>
      <c r="WZ93" s="159"/>
      <c r="XA93" s="159"/>
      <c r="XB93" s="159"/>
      <c r="XC93" s="159"/>
      <c r="XD93" s="159"/>
      <c r="XE93" s="159"/>
      <c r="XF93" s="159"/>
      <c r="XG93" s="159"/>
      <c r="XH93" s="159"/>
      <c r="XI93" s="159"/>
      <c r="XJ93" s="159"/>
      <c r="XK93" s="159"/>
      <c r="XL93" s="159"/>
      <c r="XM93" s="159"/>
      <c r="XN93" s="159"/>
      <c r="XO93" s="159"/>
      <c r="XP93" s="159"/>
      <c r="XQ93" s="159"/>
      <c r="XR93" s="159"/>
      <c r="XS93" s="159"/>
      <c r="XT93" s="159"/>
      <c r="XU93" s="159"/>
      <c r="XV93" s="159"/>
      <c r="XW93" s="159"/>
      <c r="XX93" s="159"/>
      <c r="XY93" s="159"/>
      <c r="XZ93" s="159"/>
      <c r="YA93" s="159"/>
      <c r="YB93" s="159"/>
      <c r="YC93" s="159"/>
      <c r="YD93" s="159"/>
      <c r="YE93" s="159"/>
      <c r="YF93" s="159"/>
      <c r="YG93" s="159"/>
      <c r="YH93" s="159"/>
      <c r="YI93" s="159"/>
      <c r="YJ93" s="159"/>
      <c r="YK93" s="159"/>
      <c r="YL93" s="159"/>
      <c r="YM93" s="159"/>
      <c r="YN93" s="159"/>
      <c r="YO93" s="159"/>
      <c r="YP93" s="159"/>
      <c r="YQ93" s="159"/>
      <c r="YR93" s="159"/>
      <c r="YS93" s="159"/>
      <c r="YT93" s="159"/>
      <c r="YU93" s="159"/>
      <c r="YV93" s="159"/>
      <c r="YW93" s="159"/>
      <c r="YX93" s="159"/>
      <c r="YY93" s="159"/>
      <c r="YZ93" s="159"/>
      <c r="ZA93" s="159"/>
      <c r="ZB93" s="159"/>
      <c r="ZC93" s="159"/>
      <c r="ZD93" s="159"/>
      <c r="ZE93" s="159"/>
      <c r="ZF93" s="159"/>
      <c r="ZG93" s="159"/>
      <c r="ZH93" s="159"/>
      <c r="ZI93" s="159"/>
      <c r="ZJ93" s="159"/>
      <c r="ZK93" s="159"/>
      <c r="ZL93" s="159"/>
      <c r="ZM93" s="159"/>
      <c r="ZN93" s="159"/>
      <c r="ZO93" s="159"/>
      <c r="ZP93" s="159"/>
      <c r="ZQ93" s="159"/>
      <c r="ZR93" s="159"/>
      <c r="ZS93" s="159"/>
      <c r="ZT93" s="159"/>
      <c r="ZU93" s="159"/>
      <c r="ZV93" s="159"/>
      <c r="ZW93" s="159"/>
      <c r="ZX93" s="159"/>
      <c r="ZY93" s="159"/>
      <c r="ZZ93" s="159"/>
      <c r="AAA93" s="159"/>
      <c r="AAB93" s="159"/>
      <c r="AAC93" s="159"/>
      <c r="AAD93" s="159"/>
      <c r="AAE93" s="159"/>
      <c r="AAF93" s="159"/>
      <c r="AAG93" s="159"/>
      <c r="AAH93" s="159"/>
      <c r="AAI93" s="159"/>
      <c r="AAJ93" s="159"/>
      <c r="AAK93" s="159"/>
      <c r="AAL93" s="159"/>
      <c r="AAM93" s="159"/>
      <c r="AAN93" s="159"/>
      <c r="AAO93" s="159"/>
      <c r="AAP93" s="159"/>
      <c r="AAQ93" s="159"/>
      <c r="AAR93" s="159"/>
      <c r="AAS93" s="159"/>
      <c r="AAT93" s="159"/>
      <c r="AAU93" s="159"/>
      <c r="AAV93" s="159"/>
      <c r="AAW93" s="159"/>
      <c r="AAX93" s="159"/>
      <c r="AAY93" s="159"/>
      <c r="AAZ93" s="159"/>
      <c r="ABA93" s="159"/>
      <c r="ABB93" s="159"/>
      <c r="ABC93" s="159"/>
      <c r="ABD93" s="159"/>
      <c r="ABE93" s="159"/>
      <c r="ABF93" s="159"/>
      <c r="ABG93" s="159"/>
      <c r="ABH93" s="159"/>
      <c r="ABI93" s="159"/>
      <c r="ABJ93" s="159"/>
      <c r="ABK93" s="159"/>
      <c r="ABL93" s="159"/>
      <c r="ABM93" s="159"/>
      <c r="ABN93" s="159"/>
      <c r="ABO93" s="159"/>
      <c r="ABP93" s="159"/>
      <c r="ABQ93" s="159"/>
      <c r="ABR93" s="159"/>
      <c r="ABS93" s="159"/>
      <c r="ABT93" s="159"/>
      <c r="ABU93" s="159"/>
      <c r="ABV93" s="159"/>
      <c r="ABW93" s="159"/>
      <c r="ABX93" s="159"/>
      <c r="ABY93" s="159"/>
      <c r="ABZ93" s="159"/>
      <c r="ACA93" s="159"/>
      <c r="ACB93" s="159"/>
      <c r="ACC93" s="159"/>
      <c r="ACD93" s="159"/>
      <c r="ACE93" s="159"/>
      <c r="ACF93" s="159"/>
      <c r="ACG93" s="159"/>
      <c r="ACH93" s="159"/>
      <c r="ACI93" s="159"/>
      <c r="ACJ93" s="159"/>
      <c r="ACK93" s="159"/>
      <c r="ACL93" s="159"/>
      <c r="ACM93" s="159"/>
      <c r="ACN93" s="159"/>
      <c r="ACO93" s="159"/>
      <c r="ACP93" s="159"/>
      <c r="ACQ93" s="159"/>
      <c r="ACR93" s="159"/>
      <c r="ACS93" s="159"/>
      <c r="ACT93" s="159"/>
      <c r="ACU93" s="159"/>
      <c r="ACV93" s="159"/>
      <c r="ACW93" s="159"/>
      <c r="ACX93" s="159"/>
      <c r="ACY93" s="159"/>
      <c r="ACZ93" s="159"/>
      <c r="ADA93" s="159"/>
      <c r="ADB93" s="159"/>
      <c r="ADC93" s="159"/>
      <c r="ADD93" s="159"/>
      <c r="ADE93" s="159"/>
      <c r="ADF93" s="159"/>
      <c r="ADG93" s="159"/>
      <c r="ADH93" s="159"/>
      <c r="ADI93" s="159"/>
      <c r="ADJ93" s="159"/>
      <c r="ADK93" s="159"/>
      <c r="ADL93" s="159"/>
      <c r="ADM93" s="159"/>
      <c r="ADN93" s="159"/>
      <c r="ADO93" s="159"/>
      <c r="ADP93" s="159"/>
      <c r="ADQ93" s="159"/>
      <c r="ADR93" s="159"/>
      <c r="ADS93" s="159"/>
      <c r="ADT93" s="159"/>
      <c r="ADU93" s="159"/>
      <c r="ADV93" s="159"/>
      <c r="ADW93" s="159"/>
      <c r="ADX93" s="159"/>
      <c r="ADY93" s="159"/>
      <c r="ADZ93" s="159"/>
      <c r="AEA93" s="159"/>
      <c r="AEB93" s="159"/>
      <c r="AEC93" s="159"/>
      <c r="AED93" s="159"/>
      <c r="AEE93" s="159"/>
      <c r="AEF93" s="159"/>
      <c r="AEG93" s="159"/>
      <c r="AEH93" s="159"/>
      <c r="AEI93" s="159"/>
      <c r="AEJ93" s="159"/>
      <c r="AEK93" s="159"/>
      <c r="AEL93" s="159"/>
      <c r="AEM93" s="159"/>
      <c r="AEN93" s="159"/>
      <c r="AEO93" s="159"/>
      <c r="AEP93" s="159"/>
      <c r="AEQ93" s="159"/>
      <c r="AER93" s="159"/>
      <c r="AES93" s="159"/>
      <c r="AET93" s="159"/>
      <c r="AEU93" s="159"/>
      <c r="AEV93" s="159"/>
      <c r="AEW93" s="159"/>
      <c r="AEX93" s="159"/>
      <c r="AEY93" s="159"/>
      <c r="AEZ93" s="159"/>
      <c r="AFA93" s="159"/>
      <c r="AFB93" s="159"/>
      <c r="AFC93" s="159"/>
      <c r="AFD93" s="159"/>
      <c r="AFE93" s="159"/>
      <c r="AFF93" s="159"/>
      <c r="AFG93" s="159"/>
      <c r="AFH93" s="159"/>
      <c r="AFI93" s="159"/>
      <c r="AFJ93" s="159"/>
      <c r="AFK93" s="159"/>
      <c r="AFL93" s="159"/>
      <c r="AFM93" s="159"/>
      <c r="AFN93" s="159"/>
      <c r="AFO93" s="159"/>
      <c r="AFP93" s="159"/>
      <c r="AFQ93" s="159"/>
      <c r="AFR93" s="159"/>
      <c r="AFS93" s="159"/>
      <c r="AFT93" s="159"/>
      <c r="AFU93" s="159"/>
      <c r="AFV93" s="159"/>
      <c r="AFW93" s="159"/>
      <c r="AFX93" s="159"/>
      <c r="AFY93" s="159"/>
      <c r="AFZ93" s="159"/>
      <c r="AGA93" s="159"/>
      <c r="AGB93" s="159"/>
      <c r="AGC93" s="159"/>
      <c r="AGD93" s="159"/>
      <c r="AGE93" s="159"/>
      <c r="AGF93" s="159"/>
      <c r="AGG93" s="159"/>
      <c r="AGH93" s="159"/>
      <c r="AGI93" s="159"/>
      <c r="AGJ93" s="159"/>
      <c r="AGK93" s="159"/>
      <c r="AGL93" s="159"/>
      <c r="AGM93" s="159"/>
      <c r="AGN93" s="159"/>
      <c r="AGO93" s="159"/>
      <c r="AGP93" s="159"/>
      <c r="AGQ93" s="159"/>
      <c r="AGR93" s="159"/>
      <c r="AGS93" s="159"/>
      <c r="AGT93" s="159"/>
      <c r="AGU93" s="159"/>
      <c r="AGV93" s="159"/>
      <c r="AGW93" s="159"/>
      <c r="AGX93" s="159"/>
      <c r="AGY93" s="159"/>
      <c r="AGZ93" s="159"/>
      <c r="AHA93" s="159"/>
      <c r="AHB93" s="159"/>
      <c r="AHC93" s="159"/>
      <c r="AHD93" s="159"/>
      <c r="AHE93" s="159"/>
      <c r="AHF93" s="159"/>
      <c r="AHG93" s="159"/>
      <c r="AHH93" s="159"/>
      <c r="AHI93" s="159"/>
      <c r="AHJ93" s="159"/>
      <c r="AHK93" s="159"/>
      <c r="AHL93" s="159"/>
      <c r="AHM93" s="159"/>
      <c r="AHN93" s="159"/>
      <c r="AHO93" s="159"/>
      <c r="AHP93" s="159"/>
      <c r="AHQ93" s="159"/>
      <c r="AHR93" s="159"/>
      <c r="AHS93" s="159"/>
      <c r="AHT93" s="159"/>
      <c r="AHU93" s="159"/>
      <c r="AHV93" s="159"/>
      <c r="AHW93" s="159"/>
      <c r="AHX93" s="159"/>
      <c r="AHY93" s="159"/>
      <c r="AHZ93" s="159"/>
      <c r="AIA93" s="159"/>
      <c r="AIB93" s="159"/>
      <c r="AIC93" s="159"/>
      <c r="AID93" s="159"/>
      <c r="AIE93" s="159"/>
      <c r="AIF93" s="159"/>
      <c r="AIG93" s="159"/>
      <c r="AIH93" s="159"/>
      <c r="AII93" s="159"/>
      <c r="AIJ93" s="159"/>
      <c r="AIK93" s="159"/>
      <c r="AIL93" s="159"/>
      <c r="AIM93" s="159"/>
      <c r="AIN93" s="159"/>
      <c r="AIO93" s="159"/>
      <c r="AIP93" s="159"/>
      <c r="AIQ93" s="159"/>
      <c r="AIR93" s="159"/>
      <c r="AIS93" s="159"/>
      <c r="AIT93" s="159"/>
      <c r="AIU93" s="159"/>
      <c r="AIV93" s="159"/>
      <c r="AIW93" s="159"/>
      <c r="AIX93" s="159"/>
      <c r="AIY93" s="159"/>
      <c r="AIZ93" s="159"/>
      <c r="AJA93" s="159"/>
      <c r="AJB93" s="159"/>
      <c r="AJC93" s="159"/>
      <c r="AJD93" s="159"/>
      <c r="AJE93" s="159"/>
      <c r="AJF93" s="159"/>
      <c r="AJG93" s="159"/>
      <c r="AJH93" s="159"/>
      <c r="AJI93" s="159"/>
      <c r="AJJ93" s="159"/>
      <c r="AJK93" s="159"/>
      <c r="AJL93" s="159"/>
      <c r="AJM93" s="159"/>
      <c r="AJN93" s="159"/>
      <c r="AJO93" s="159"/>
      <c r="AJP93" s="159"/>
      <c r="AJQ93" s="159"/>
      <c r="AJR93" s="159"/>
      <c r="AJS93" s="159"/>
      <c r="AJT93" s="159"/>
      <c r="AJU93" s="159"/>
      <c r="AJV93" s="159"/>
      <c r="AJW93" s="159"/>
      <c r="AJX93" s="159"/>
      <c r="AJY93" s="159"/>
      <c r="AJZ93" s="159"/>
      <c r="AKA93" s="159"/>
      <c r="AKB93" s="159"/>
      <c r="AKC93" s="159"/>
      <c r="AKD93" s="159"/>
      <c r="AKE93" s="159"/>
      <c r="AKF93" s="159"/>
      <c r="AKG93" s="159"/>
      <c r="AKH93" s="159"/>
      <c r="AKI93" s="159"/>
      <c r="AKJ93" s="159"/>
      <c r="AKK93" s="159"/>
      <c r="AKL93" s="159"/>
      <c r="AKM93" s="159"/>
      <c r="AKN93" s="159"/>
      <c r="AKO93" s="159"/>
      <c r="AKP93" s="159"/>
      <c r="AKQ93" s="159"/>
      <c r="AKR93" s="159"/>
      <c r="AKS93" s="159"/>
      <c r="AKT93" s="159"/>
      <c r="AKU93" s="159"/>
      <c r="AKV93" s="159"/>
      <c r="AKW93" s="159"/>
      <c r="AKX93" s="159"/>
      <c r="AKY93" s="159"/>
      <c r="AKZ93" s="159"/>
      <c r="ALA93" s="159"/>
      <c r="ALB93" s="159"/>
      <c r="ALC93" s="159"/>
      <c r="ALD93" s="159"/>
      <c r="ALE93" s="159"/>
      <c r="ALF93" s="159"/>
      <c r="ALG93" s="159"/>
      <c r="ALH93" s="159"/>
      <c r="ALI93" s="159"/>
      <c r="ALJ93" s="159"/>
      <c r="ALK93" s="159"/>
      <c r="ALL93" s="159"/>
      <c r="ALM93" s="159"/>
      <c r="ALN93" s="159"/>
      <c r="ALO93" s="159"/>
      <c r="ALP93" s="159"/>
      <c r="ALQ93" s="159"/>
      <c r="ALR93" s="159"/>
      <c r="ALS93" s="159"/>
      <c r="ALT93" s="159"/>
      <c r="ALU93" s="159"/>
      <c r="ALV93" s="159"/>
      <c r="ALW93" s="159"/>
      <c r="ALX93" s="159"/>
      <c r="ALY93" s="159"/>
      <c r="ALZ93" s="159"/>
      <c r="AMA93" s="159"/>
      <c r="AMB93" s="159"/>
      <c r="AMC93" s="159"/>
      <c r="AMD93" s="159"/>
      <c r="AME93" s="159"/>
      <c r="AMF93" s="159"/>
      <c r="AMG93" s="159"/>
      <c r="AMH93" s="159"/>
      <c r="AMI93" s="159"/>
      <c r="AMJ93" s="159"/>
      <c r="AMK93" s="159"/>
      <c r="AML93" s="159"/>
      <c r="AMM93" s="159"/>
      <c r="AMN93" s="159"/>
      <c r="AMO93" s="159"/>
    </row>
    <row r="94" spans="1:1029" s="161" customFormat="1" ht="26.25" thickTop="1" x14ac:dyDescent="0.25">
      <c r="A94" s="170">
        <v>46153</v>
      </c>
      <c r="B94" s="100" t="s">
        <v>19</v>
      </c>
      <c r="C94" s="100" t="s">
        <v>74</v>
      </c>
      <c r="D94" s="171" t="s">
        <v>199</v>
      </c>
      <c r="E94" s="122" t="s">
        <v>113</v>
      </c>
      <c r="F94" s="100" t="s">
        <v>130</v>
      </c>
      <c r="G94" s="100" t="s">
        <v>21</v>
      </c>
      <c r="H94" s="143" t="b">
        <f t="shared" si="8"/>
        <v>0</v>
      </c>
      <c r="I94" s="122" t="s">
        <v>19</v>
      </c>
      <c r="J94" s="123" t="s">
        <v>130</v>
      </c>
      <c r="K94" s="123" t="s">
        <v>21</v>
      </c>
      <c r="L94" s="143">
        <f t="shared" si="9"/>
        <v>1</v>
      </c>
      <c r="M94" s="123" t="s">
        <v>19</v>
      </c>
      <c r="N94" s="123" t="s">
        <v>130</v>
      </c>
      <c r="O94" s="123" t="s">
        <v>21</v>
      </c>
      <c r="P94" s="143">
        <f t="shared" si="10"/>
        <v>1</v>
      </c>
      <c r="Q94" s="123" t="s">
        <v>22</v>
      </c>
      <c r="R94" s="100" t="s">
        <v>77</v>
      </c>
      <c r="S94" s="100" t="s">
        <v>21</v>
      </c>
      <c r="T94" s="143" t="b">
        <f t="shared" si="11"/>
        <v>0</v>
      </c>
      <c r="U94" s="15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59"/>
      <c r="AT94" s="159"/>
      <c r="AU94" s="159"/>
      <c r="AV94" s="159"/>
      <c r="AW94" s="159"/>
      <c r="AX94" s="159"/>
      <c r="AY94" s="159"/>
      <c r="AZ94" s="159"/>
      <c r="BA94" s="159"/>
      <c r="BB94" s="159"/>
      <c r="BC94" s="159"/>
      <c r="BD94" s="159"/>
      <c r="BE94" s="159"/>
      <c r="BF94" s="159"/>
      <c r="BG94" s="159"/>
      <c r="BH94" s="159"/>
      <c r="BI94" s="159"/>
      <c r="BJ94" s="159"/>
      <c r="BK94" s="159"/>
      <c r="BL94" s="159"/>
      <c r="BM94" s="159"/>
      <c r="BN94" s="159"/>
      <c r="BO94" s="159"/>
      <c r="BP94" s="159"/>
      <c r="BQ94" s="159"/>
      <c r="BR94" s="159"/>
      <c r="BS94" s="159"/>
      <c r="BT94" s="159"/>
      <c r="BU94" s="159"/>
      <c r="BV94" s="159"/>
      <c r="BW94" s="159"/>
      <c r="BX94" s="159"/>
      <c r="BY94" s="159"/>
      <c r="BZ94" s="159"/>
      <c r="CA94" s="159"/>
      <c r="CB94" s="159"/>
      <c r="CC94" s="159"/>
      <c r="CD94" s="159"/>
      <c r="CE94" s="159"/>
      <c r="CF94" s="159"/>
      <c r="CG94" s="159"/>
      <c r="CH94" s="159"/>
      <c r="CI94" s="159"/>
      <c r="CJ94" s="159"/>
      <c r="CK94" s="159"/>
      <c r="CL94" s="159"/>
      <c r="CM94" s="159"/>
      <c r="CN94" s="159"/>
      <c r="CO94" s="159"/>
      <c r="CP94" s="159"/>
      <c r="CQ94" s="159"/>
      <c r="CR94" s="159"/>
      <c r="CS94" s="159"/>
      <c r="CT94" s="159"/>
      <c r="CU94" s="159"/>
      <c r="CV94" s="159"/>
      <c r="CW94" s="159"/>
      <c r="CX94" s="159"/>
      <c r="CY94" s="159"/>
      <c r="CZ94" s="159"/>
      <c r="DA94" s="159"/>
      <c r="DB94" s="159"/>
      <c r="DC94" s="159"/>
      <c r="DD94" s="159"/>
      <c r="DE94" s="159"/>
      <c r="DF94" s="159"/>
      <c r="DG94" s="159"/>
      <c r="DH94" s="159"/>
      <c r="DI94" s="159"/>
      <c r="DJ94" s="159"/>
      <c r="DK94" s="159"/>
      <c r="DL94" s="159"/>
      <c r="DM94" s="159"/>
      <c r="DN94" s="159"/>
      <c r="DO94" s="159"/>
      <c r="DP94" s="159"/>
      <c r="DQ94" s="159"/>
      <c r="DR94" s="159"/>
      <c r="DS94" s="159"/>
      <c r="DT94" s="159"/>
      <c r="DU94" s="159"/>
      <c r="DV94" s="159"/>
      <c r="DW94" s="159"/>
      <c r="DX94" s="159"/>
      <c r="DY94" s="159"/>
      <c r="DZ94" s="159"/>
      <c r="EA94" s="159"/>
      <c r="EB94" s="159"/>
      <c r="EC94" s="159"/>
      <c r="ED94" s="159"/>
      <c r="EE94" s="159"/>
      <c r="EF94" s="159"/>
      <c r="EG94" s="159"/>
      <c r="EH94" s="159"/>
      <c r="EI94" s="159"/>
      <c r="EJ94" s="159"/>
      <c r="EK94" s="159"/>
      <c r="EL94" s="159"/>
      <c r="EM94" s="159"/>
      <c r="EN94" s="159"/>
      <c r="EO94" s="159"/>
      <c r="EP94" s="159"/>
      <c r="EQ94" s="159"/>
      <c r="ER94" s="159"/>
      <c r="ES94" s="159"/>
      <c r="ET94" s="159"/>
      <c r="EU94" s="159"/>
      <c r="EV94" s="159"/>
      <c r="EW94" s="159"/>
      <c r="EX94" s="159"/>
      <c r="EY94" s="159"/>
      <c r="EZ94" s="159"/>
      <c r="FA94" s="159"/>
      <c r="FB94" s="159"/>
      <c r="FC94" s="159"/>
      <c r="FD94" s="159"/>
      <c r="FE94" s="159"/>
      <c r="FF94" s="159"/>
      <c r="FG94" s="159"/>
      <c r="FH94" s="159"/>
      <c r="FI94" s="159"/>
      <c r="FJ94" s="159"/>
      <c r="FK94" s="159"/>
      <c r="FL94" s="159"/>
      <c r="FM94" s="159"/>
      <c r="FN94" s="159"/>
      <c r="FO94" s="159"/>
      <c r="FP94" s="159"/>
      <c r="FQ94" s="159"/>
      <c r="FR94" s="159"/>
      <c r="FS94" s="159"/>
      <c r="FT94" s="159"/>
      <c r="FU94" s="159"/>
      <c r="FV94" s="159"/>
      <c r="FW94" s="159"/>
      <c r="FX94" s="159"/>
      <c r="FY94" s="159"/>
      <c r="FZ94" s="159"/>
      <c r="GA94" s="159"/>
      <c r="GB94" s="159"/>
      <c r="GC94" s="159"/>
      <c r="GD94" s="159"/>
      <c r="GE94" s="159"/>
      <c r="GF94" s="159"/>
      <c r="GG94" s="159"/>
      <c r="GH94" s="159"/>
      <c r="GI94" s="159"/>
      <c r="GJ94" s="159"/>
      <c r="GK94" s="159"/>
      <c r="GL94" s="159"/>
      <c r="GM94" s="159"/>
      <c r="GN94" s="159"/>
      <c r="GO94" s="159"/>
      <c r="GP94" s="159"/>
      <c r="GQ94" s="159"/>
      <c r="GR94" s="159"/>
      <c r="GS94" s="159"/>
      <c r="GT94" s="159"/>
      <c r="GU94" s="159"/>
      <c r="GV94" s="159"/>
      <c r="GW94" s="159"/>
      <c r="GX94" s="159"/>
      <c r="GY94" s="159"/>
      <c r="GZ94" s="159"/>
      <c r="HA94" s="159"/>
      <c r="HB94" s="159"/>
      <c r="HC94" s="159"/>
      <c r="HD94" s="159"/>
      <c r="HE94" s="159"/>
      <c r="HF94" s="159"/>
      <c r="HG94" s="159"/>
      <c r="HH94" s="159"/>
      <c r="HI94" s="159"/>
      <c r="HJ94" s="159"/>
      <c r="HK94" s="159"/>
      <c r="HL94" s="159"/>
      <c r="HM94" s="159"/>
      <c r="HN94" s="159"/>
      <c r="HO94" s="159"/>
      <c r="HP94" s="159"/>
      <c r="HQ94" s="159"/>
      <c r="HR94" s="159"/>
      <c r="HS94" s="159"/>
      <c r="HT94" s="159"/>
      <c r="HU94" s="159"/>
      <c r="HV94" s="159"/>
      <c r="HW94" s="159"/>
      <c r="HX94" s="159"/>
      <c r="HY94" s="159"/>
      <c r="HZ94" s="159"/>
      <c r="IA94" s="159"/>
      <c r="IB94" s="159"/>
      <c r="IC94" s="159"/>
      <c r="ID94" s="159"/>
      <c r="IE94" s="159"/>
      <c r="IF94" s="159"/>
      <c r="IG94" s="159"/>
      <c r="IH94" s="159"/>
      <c r="II94" s="159"/>
      <c r="IJ94" s="159"/>
      <c r="IK94" s="159"/>
      <c r="IL94" s="159"/>
      <c r="IM94" s="159"/>
      <c r="IN94" s="159"/>
      <c r="IO94" s="159"/>
      <c r="IP94" s="159"/>
      <c r="IQ94" s="159"/>
      <c r="IR94" s="159"/>
      <c r="IS94" s="159"/>
      <c r="IT94" s="159"/>
      <c r="IU94" s="159"/>
      <c r="IV94" s="159"/>
      <c r="IW94" s="159"/>
      <c r="IX94" s="159"/>
      <c r="IY94" s="159"/>
      <c r="IZ94" s="159"/>
      <c r="JA94" s="159"/>
      <c r="JB94" s="159"/>
      <c r="JC94" s="159"/>
      <c r="JD94" s="159"/>
      <c r="JE94" s="159"/>
      <c r="JF94" s="159"/>
      <c r="JG94" s="159"/>
      <c r="JH94" s="159"/>
      <c r="JI94" s="159"/>
      <c r="JJ94" s="159"/>
      <c r="JK94" s="159"/>
      <c r="JL94" s="159"/>
      <c r="JM94" s="159"/>
      <c r="JN94" s="159"/>
      <c r="JO94" s="159"/>
      <c r="JP94" s="159"/>
      <c r="JQ94" s="159"/>
      <c r="JR94" s="159"/>
      <c r="JS94" s="159"/>
      <c r="JT94" s="159"/>
      <c r="JU94" s="159"/>
      <c r="JV94" s="159"/>
      <c r="JW94" s="159"/>
      <c r="JX94" s="159"/>
      <c r="JY94" s="159"/>
      <c r="JZ94" s="159"/>
      <c r="KA94" s="159"/>
      <c r="KB94" s="159"/>
      <c r="KC94" s="159"/>
      <c r="KD94" s="159"/>
      <c r="KE94" s="159"/>
      <c r="KF94" s="159"/>
      <c r="KG94" s="159"/>
      <c r="KH94" s="159"/>
      <c r="KI94" s="159"/>
      <c r="KJ94" s="159"/>
      <c r="KK94" s="159"/>
      <c r="KL94" s="159"/>
      <c r="KM94" s="159"/>
      <c r="KN94" s="159"/>
      <c r="KO94" s="159"/>
      <c r="KP94" s="159"/>
      <c r="KQ94" s="159"/>
      <c r="KR94" s="159"/>
      <c r="KS94" s="159"/>
      <c r="KT94" s="159"/>
      <c r="KU94" s="159"/>
      <c r="KV94" s="159"/>
      <c r="KW94" s="159"/>
      <c r="KX94" s="159"/>
      <c r="KY94" s="159"/>
      <c r="KZ94" s="159"/>
      <c r="LA94" s="159"/>
      <c r="LB94" s="159"/>
      <c r="LC94" s="159"/>
      <c r="LD94" s="159"/>
      <c r="LE94" s="159"/>
      <c r="LF94" s="159"/>
      <c r="LG94" s="159"/>
      <c r="LH94" s="159"/>
      <c r="LI94" s="159"/>
      <c r="LJ94" s="159"/>
      <c r="LK94" s="159"/>
      <c r="LL94" s="159"/>
      <c r="LM94" s="159"/>
      <c r="LN94" s="159"/>
      <c r="LO94" s="159"/>
      <c r="LP94" s="159"/>
      <c r="LQ94" s="159"/>
      <c r="LR94" s="159"/>
      <c r="LS94" s="159"/>
      <c r="LT94" s="159"/>
      <c r="LU94" s="159"/>
      <c r="LV94" s="159"/>
      <c r="LW94" s="159"/>
      <c r="LX94" s="159"/>
      <c r="LY94" s="159"/>
      <c r="LZ94" s="159"/>
      <c r="MA94" s="159"/>
      <c r="MB94" s="159"/>
      <c r="MC94" s="159"/>
      <c r="MD94" s="159"/>
      <c r="ME94" s="159"/>
      <c r="MF94" s="159"/>
      <c r="MG94" s="159"/>
      <c r="MH94" s="159"/>
      <c r="MI94" s="159"/>
      <c r="MJ94" s="159"/>
      <c r="MK94" s="159"/>
      <c r="ML94" s="159"/>
      <c r="MM94" s="159"/>
      <c r="MN94" s="159"/>
      <c r="MO94" s="159"/>
      <c r="MP94" s="159"/>
      <c r="MQ94" s="159"/>
      <c r="MR94" s="159"/>
      <c r="MS94" s="159"/>
      <c r="MT94" s="159"/>
      <c r="MU94" s="159"/>
      <c r="MV94" s="159"/>
      <c r="MW94" s="159"/>
      <c r="MX94" s="159"/>
      <c r="MY94" s="159"/>
      <c r="MZ94" s="159"/>
      <c r="NA94" s="159"/>
      <c r="NB94" s="159"/>
      <c r="NC94" s="159"/>
      <c r="ND94" s="159"/>
      <c r="NE94" s="159"/>
      <c r="NF94" s="159"/>
      <c r="NG94" s="159"/>
      <c r="NH94" s="159"/>
      <c r="NI94" s="159"/>
      <c r="NJ94" s="159"/>
      <c r="NK94" s="159"/>
      <c r="NL94" s="159"/>
      <c r="NM94" s="159"/>
      <c r="NN94" s="159"/>
      <c r="NO94" s="159"/>
      <c r="NP94" s="159"/>
      <c r="NQ94" s="159"/>
      <c r="NR94" s="159"/>
      <c r="NS94" s="159"/>
      <c r="NT94" s="159"/>
      <c r="NU94" s="159"/>
      <c r="NV94" s="159"/>
      <c r="NW94" s="159"/>
      <c r="NX94" s="159"/>
      <c r="NY94" s="159"/>
      <c r="NZ94" s="159"/>
      <c r="OA94" s="159"/>
      <c r="OB94" s="159"/>
      <c r="OC94" s="159"/>
      <c r="OD94" s="159"/>
      <c r="OE94" s="159"/>
      <c r="OF94" s="159"/>
      <c r="OG94" s="159"/>
      <c r="OH94" s="159"/>
      <c r="OI94" s="159"/>
      <c r="OJ94" s="159"/>
      <c r="OK94" s="159"/>
      <c r="OL94" s="159"/>
      <c r="OM94" s="159"/>
      <c r="ON94" s="159"/>
      <c r="OO94" s="159"/>
      <c r="OP94" s="159"/>
      <c r="OQ94" s="159"/>
      <c r="OR94" s="159"/>
      <c r="OS94" s="159"/>
      <c r="OT94" s="159"/>
      <c r="OU94" s="159"/>
      <c r="OV94" s="159"/>
      <c r="OW94" s="159"/>
      <c r="OX94" s="159"/>
      <c r="OY94" s="159"/>
      <c r="OZ94" s="159"/>
      <c r="PA94" s="159"/>
      <c r="PB94" s="159"/>
      <c r="PC94" s="159"/>
      <c r="PD94" s="159"/>
      <c r="PE94" s="159"/>
      <c r="PF94" s="159"/>
      <c r="PG94" s="159"/>
      <c r="PH94" s="159"/>
      <c r="PI94" s="159"/>
      <c r="PJ94" s="159"/>
      <c r="PK94" s="159"/>
      <c r="PL94" s="159"/>
      <c r="PM94" s="159"/>
      <c r="PN94" s="159"/>
      <c r="PO94" s="159"/>
      <c r="PP94" s="159"/>
      <c r="PQ94" s="159"/>
      <c r="PR94" s="159"/>
      <c r="PS94" s="159"/>
      <c r="PT94" s="159"/>
      <c r="PU94" s="159"/>
      <c r="PV94" s="159"/>
      <c r="PW94" s="159"/>
      <c r="PX94" s="159"/>
      <c r="PY94" s="159"/>
      <c r="PZ94" s="159"/>
      <c r="QA94" s="159"/>
      <c r="QB94" s="159"/>
      <c r="QC94" s="159"/>
      <c r="QD94" s="159"/>
      <c r="QE94" s="159"/>
      <c r="QF94" s="159"/>
      <c r="QG94" s="159"/>
      <c r="QH94" s="159"/>
      <c r="QI94" s="159"/>
      <c r="QJ94" s="159"/>
      <c r="QK94" s="159"/>
      <c r="QL94" s="159"/>
      <c r="QM94" s="159"/>
      <c r="QN94" s="159"/>
      <c r="QO94" s="159"/>
      <c r="QP94" s="159"/>
      <c r="QQ94" s="159"/>
      <c r="QR94" s="159"/>
      <c r="QS94" s="159"/>
      <c r="QT94" s="159"/>
      <c r="QU94" s="159"/>
      <c r="QV94" s="159"/>
      <c r="QW94" s="159"/>
      <c r="QX94" s="159"/>
      <c r="QY94" s="159"/>
      <c r="QZ94" s="159"/>
      <c r="RA94" s="159"/>
      <c r="RB94" s="159"/>
      <c r="RC94" s="159"/>
      <c r="RD94" s="159"/>
      <c r="RE94" s="159"/>
      <c r="RF94" s="159"/>
      <c r="RG94" s="159"/>
      <c r="RH94" s="159"/>
      <c r="RI94" s="159"/>
      <c r="RJ94" s="159"/>
      <c r="RK94" s="159"/>
      <c r="RL94" s="159"/>
      <c r="RM94" s="159"/>
      <c r="RN94" s="159"/>
      <c r="RO94" s="159"/>
      <c r="RP94" s="159"/>
      <c r="RQ94" s="159"/>
      <c r="RR94" s="159"/>
      <c r="RS94" s="159"/>
      <c r="RT94" s="159"/>
      <c r="RU94" s="159"/>
      <c r="RV94" s="159"/>
      <c r="RW94" s="159"/>
      <c r="RX94" s="159"/>
      <c r="RY94" s="159"/>
      <c r="RZ94" s="159"/>
      <c r="SA94" s="159"/>
      <c r="SB94" s="159"/>
      <c r="SC94" s="159"/>
      <c r="SD94" s="159"/>
      <c r="SE94" s="159"/>
      <c r="SF94" s="159"/>
      <c r="SG94" s="159"/>
      <c r="SH94" s="159"/>
      <c r="SI94" s="159"/>
      <c r="SJ94" s="159"/>
      <c r="SK94" s="159"/>
      <c r="SL94" s="159"/>
      <c r="SM94" s="159"/>
      <c r="SN94" s="159"/>
      <c r="SO94" s="159"/>
      <c r="SP94" s="159"/>
      <c r="SQ94" s="159"/>
      <c r="SR94" s="159"/>
      <c r="SS94" s="159"/>
      <c r="ST94" s="159"/>
      <c r="SU94" s="159"/>
      <c r="SV94" s="159"/>
      <c r="SW94" s="159"/>
      <c r="SX94" s="159"/>
      <c r="SY94" s="159"/>
      <c r="SZ94" s="159"/>
      <c r="TA94" s="159"/>
      <c r="TB94" s="159"/>
      <c r="TC94" s="159"/>
      <c r="TD94" s="159"/>
      <c r="TE94" s="159"/>
      <c r="TF94" s="159"/>
      <c r="TG94" s="159"/>
      <c r="TH94" s="159"/>
      <c r="TI94" s="159"/>
      <c r="TJ94" s="159"/>
      <c r="TK94" s="159"/>
      <c r="TL94" s="159"/>
      <c r="TM94" s="159"/>
      <c r="TN94" s="159"/>
      <c r="TO94" s="159"/>
      <c r="TP94" s="159"/>
      <c r="TQ94" s="159"/>
      <c r="TR94" s="159"/>
      <c r="TS94" s="159"/>
      <c r="TT94" s="159"/>
      <c r="TU94" s="159"/>
      <c r="TV94" s="159"/>
      <c r="TW94" s="159"/>
      <c r="TX94" s="159"/>
      <c r="TY94" s="159"/>
      <c r="TZ94" s="159"/>
      <c r="UA94" s="159"/>
      <c r="UB94" s="159"/>
      <c r="UC94" s="159"/>
      <c r="UD94" s="159"/>
      <c r="UE94" s="159"/>
      <c r="UF94" s="159"/>
      <c r="UG94" s="159"/>
      <c r="UH94" s="159"/>
      <c r="UI94" s="159"/>
      <c r="UJ94" s="159"/>
      <c r="UK94" s="159"/>
      <c r="UL94" s="159"/>
      <c r="UM94" s="159"/>
      <c r="UN94" s="159"/>
      <c r="UO94" s="159"/>
      <c r="UP94" s="159"/>
      <c r="UQ94" s="159"/>
      <c r="UR94" s="159"/>
      <c r="US94" s="159"/>
      <c r="UT94" s="159"/>
      <c r="UU94" s="159"/>
      <c r="UV94" s="159"/>
      <c r="UW94" s="159"/>
      <c r="UX94" s="159"/>
      <c r="UY94" s="159"/>
      <c r="UZ94" s="159"/>
      <c r="VA94" s="159"/>
      <c r="VB94" s="159"/>
      <c r="VC94" s="159"/>
      <c r="VD94" s="159"/>
      <c r="VE94" s="159"/>
      <c r="VF94" s="159"/>
      <c r="VG94" s="159"/>
      <c r="VH94" s="159"/>
      <c r="VI94" s="159"/>
      <c r="VJ94" s="159"/>
      <c r="VK94" s="159"/>
      <c r="VL94" s="159"/>
      <c r="VM94" s="159"/>
      <c r="VN94" s="159"/>
      <c r="VO94" s="159"/>
      <c r="VP94" s="159"/>
      <c r="VQ94" s="159"/>
      <c r="VR94" s="159"/>
      <c r="VS94" s="159"/>
      <c r="VT94" s="159"/>
      <c r="VU94" s="159"/>
      <c r="VV94" s="159"/>
      <c r="VW94" s="159"/>
      <c r="VX94" s="159"/>
      <c r="VY94" s="159"/>
      <c r="VZ94" s="159"/>
      <c r="WA94" s="159"/>
      <c r="WB94" s="159"/>
      <c r="WC94" s="159"/>
      <c r="WD94" s="159"/>
      <c r="WE94" s="159"/>
      <c r="WF94" s="159"/>
      <c r="WG94" s="159"/>
      <c r="WH94" s="159"/>
      <c r="WI94" s="159"/>
      <c r="WJ94" s="159"/>
      <c r="WK94" s="159"/>
      <c r="WL94" s="159"/>
      <c r="WM94" s="159"/>
      <c r="WN94" s="159"/>
      <c r="WO94" s="159"/>
      <c r="WP94" s="159"/>
      <c r="WQ94" s="159"/>
      <c r="WR94" s="159"/>
      <c r="WS94" s="159"/>
      <c r="WT94" s="159"/>
      <c r="WU94" s="159"/>
      <c r="WV94" s="159"/>
      <c r="WW94" s="159"/>
      <c r="WX94" s="159"/>
      <c r="WY94" s="159"/>
      <c r="WZ94" s="159"/>
      <c r="XA94" s="159"/>
      <c r="XB94" s="159"/>
      <c r="XC94" s="159"/>
      <c r="XD94" s="159"/>
      <c r="XE94" s="159"/>
      <c r="XF94" s="159"/>
      <c r="XG94" s="159"/>
      <c r="XH94" s="159"/>
      <c r="XI94" s="159"/>
      <c r="XJ94" s="159"/>
      <c r="XK94" s="159"/>
      <c r="XL94" s="159"/>
      <c r="XM94" s="159"/>
      <c r="XN94" s="159"/>
      <c r="XO94" s="159"/>
      <c r="XP94" s="159"/>
      <c r="XQ94" s="159"/>
      <c r="XR94" s="159"/>
      <c r="XS94" s="159"/>
      <c r="XT94" s="159"/>
      <c r="XU94" s="159"/>
      <c r="XV94" s="159"/>
      <c r="XW94" s="159"/>
      <c r="XX94" s="159"/>
      <c r="XY94" s="159"/>
      <c r="XZ94" s="159"/>
      <c r="YA94" s="159"/>
      <c r="YB94" s="159"/>
      <c r="YC94" s="159"/>
      <c r="YD94" s="159"/>
      <c r="YE94" s="159"/>
      <c r="YF94" s="159"/>
      <c r="YG94" s="159"/>
      <c r="YH94" s="159"/>
      <c r="YI94" s="159"/>
      <c r="YJ94" s="159"/>
      <c r="YK94" s="159"/>
      <c r="YL94" s="159"/>
      <c r="YM94" s="159"/>
      <c r="YN94" s="159"/>
      <c r="YO94" s="159"/>
      <c r="YP94" s="159"/>
      <c r="YQ94" s="159"/>
      <c r="YR94" s="159"/>
      <c r="YS94" s="159"/>
      <c r="YT94" s="159"/>
      <c r="YU94" s="159"/>
      <c r="YV94" s="159"/>
      <c r="YW94" s="159"/>
      <c r="YX94" s="159"/>
      <c r="YY94" s="159"/>
      <c r="YZ94" s="159"/>
      <c r="ZA94" s="159"/>
      <c r="ZB94" s="159"/>
      <c r="ZC94" s="159"/>
      <c r="ZD94" s="159"/>
      <c r="ZE94" s="159"/>
      <c r="ZF94" s="159"/>
      <c r="ZG94" s="159"/>
      <c r="ZH94" s="159"/>
      <c r="ZI94" s="159"/>
      <c r="ZJ94" s="159"/>
      <c r="ZK94" s="159"/>
      <c r="ZL94" s="159"/>
      <c r="ZM94" s="159"/>
      <c r="ZN94" s="159"/>
      <c r="ZO94" s="159"/>
      <c r="ZP94" s="159"/>
      <c r="ZQ94" s="159"/>
      <c r="ZR94" s="159"/>
      <c r="ZS94" s="159"/>
      <c r="ZT94" s="159"/>
      <c r="ZU94" s="159"/>
      <c r="ZV94" s="159"/>
      <c r="ZW94" s="159"/>
      <c r="ZX94" s="159"/>
      <c r="ZY94" s="159"/>
      <c r="ZZ94" s="159"/>
      <c r="AAA94" s="159"/>
      <c r="AAB94" s="159"/>
      <c r="AAC94" s="159"/>
      <c r="AAD94" s="159"/>
      <c r="AAE94" s="159"/>
      <c r="AAF94" s="159"/>
      <c r="AAG94" s="159"/>
      <c r="AAH94" s="159"/>
      <c r="AAI94" s="159"/>
      <c r="AAJ94" s="159"/>
      <c r="AAK94" s="159"/>
      <c r="AAL94" s="159"/>
      <c r="AAM94" s="159"/>
      <c r="AAN94" s="159"/>
      <c r="AAO94" s="159"/>
      <c r="AAP94" s="159"/>
      <c r="AAQ94" s="159"/>
      <c r="AAR94" s="159"/>
      <c r="AAS94" s="159"/>
      <c r="AAT94" s="159"/>
      <c r="AAU94" s="159"/>
      <c r="AAV94" s="159"/>
      <c r="AAW94" s="159"/>
      <c r="AAX94" s="159"/>
      <c r="AAY94" s="159"/>
      <c r="AAZ94" s="159"/>
      <c r="ABA94" s="159"/>
      <c r="ABB94" s="159"/>
      <c r="ABC94" s="159"/>
      <c r="ABD94" s="159"/>
      <c r="ABE94" s="159"/>
      <c r="ABF94" s="159"/>
      <c r="ABG94" s="159"/>
      <c r="ABH94" s="159"/>
      <c r="ABI94" s="159"/>
      <c r="ABJ94" s="159"/>
      <c r="ABK94" s="159"/>
      <c r="ABL94" s="159"/>
      <c r="ABM94" s="159"/>
      <c r="ABN94" s="159"/>
      <c r="ABO94" s="159"/>
      <c r="ABP94" s="159"/>
      <c r="ABQ94" s="159"/>
      <c r="ABR94" s="159"/>
      <c r="ABS94" s="159"/>
      <c r="ABT94" s="159"/>
      <c r="ABU94" s="159"/>
      <c r="ABV94" s="159"/>
      <c r="ABW94" s="159"/>
      <c r="ABX94" s="159"/>
      <c r="ABY94" s="159"/>
      <c r="ABZ94" s="159"/>
      <c r="ACA94" s="159"/>
      <c r="ACB94" s="159"/>
      <c r="ACC94" s="159"/>
      <c r="ACD94" s="159"/>
      <c r="ACE94" s="159"/>
      <c r="ACF94" s="159"/>
      <c r="ACG94" s="159"/>
      <c r="ACH94" s="159"/>
      <c r="ACI94" s="159"/>
      <c r="ACJ94" s="159"/>
      <c r="ACK94" s="159"/>
      <c r="ACL94" s="159"/>
      <c r="ACM94" s="159"/>
      <c r="ACN94" s="159"/>
      <c r="ACO94" s="159"/>
      <c r="ACP94" s="159"/>
      <c r="ACQ94" s="159"/>
      <c r="ACR94" s="159"/>
      <c r="ACS94" s="159"/>
      <c r="ACT94" s="159"/>
      <c r="ACU94" s="159"/>
      <c r="ACV94" s="159"/>
      <c r="ACW94" s="159"/>
      <c r="ACX94" s="159"/>
      <c r="ACY94" s="159"/>
      <c r="ACZ94" s="159"/>
      <c r="ADA94" s="159"/>
      <c r="ADB94" s="159"/>
      <c r="ADC94" s="159"/>
      <c r="ADD94" s="159"/>
      <c r="ADE94" s="159"/>
      <c r="ADF94" s="159"/>
      <c r="ADG94" s="159"/>
      <c r="ADH94" s="159"/>
      <c r="ADI94" s="159"/>
      <c r="ADJ94" s="159"/>
      <c r="ADK94" s="159"/>
      <c r="ADL94" s="159"/>
      <c r="ADM94" s="159"/>
      <c r="ADN94" s="159"/>
      <c r="ADO94" s="159"/>
      <c r="ADP94" s="159"/>
      <c r="ADQ94" s="159"/>
      <c r="ADR94" s="159"/>
      <c r="ADS94" s="159"/>
      <c r="ADT94" s="159"/>
      <c r="ADU94" s="159"/>
      <c r="ADV94" s="159"/>
      <c r="ADW94" s="159"/>
      <c r="ADX94" s="159"/>
      <c r="ADY94" s="159"/>
      <c r="ADZ94" s="159"/>
      <c r="AEA94" s="159"/>
      <c r="AEB94" s="159"/>
      <c r="AEC94" s="159"/>
      <c r="AED94" s="159"/>
      <c r="AEE94" s="159"/>
      <c r="AEF94" s="159"/>
      <c r="AEG94" s="159"/>
      <c r="AEH94" s="159"/>
      <c r="AEI94" s="159"/>
      <c r="AEJ94" s="159"/>
      <c r="AEK94" s="159"/>
      <c r="AEL94" s="159"/>
      <c r="AEM94" s="159"/>
      <c r="AEN94" s="159"/>
      <c r="AEO94" s="159"/>
      <c r="AEP94" s="159"/>
      <c r="AEQ94" s="159"/>
      <c r="AER94" s="159"/>
      <c r="AES94" s="159"/>
      <c r="AET94" s="159"/>
      <c r="AEU94" s="159"/>
      <c r="AEV94" s="159"/>
      <c r="AEW94" s="159"/>
      <c r="AEX94" s="159"/>
      <c r="AEY94" s="159"/>
      <c r="AEZ94" s="159"/>
      <c r="AFA94" s="159"/>
      <c r="AFB94" s="159"/>
      <c r="AFC94" s="159"/>
      <c r="AFD94" s="159"/>
      <c r="AFE94" s="159"/>
      <c r="AFF94" s="159"/>
      <c r="AFG94" s="159"/>
      <c r="AFH94" s="159"/>
      <c r="AFI94" s="159"/>
      <c r="AFJ94" s="159"/>
      <c r="AFK94" s="159"/>
      <c r="AFL94" s="159"/>
      <c r="AFM94" s="159"/>
      <c r="AFN94" s="159"/>
      <c r="AFO94" s="159"/>
      <c r="AFP94" s="159"/>
      <c r="AFQ94" s="159"/>
      <c r="AFR94" s="159"/>
      <c r="AFS94" s="159"/>
      <c r="AFT94" s="159"/>
      <c r="AFU94" s="159"/>
      <c r="AFV94" s="159"/>
      <c r="AFW94" s="159"/>
      <c r="AFX94" s="159"/>
      <c r="AFY94" s="159"/>
      <c r="AFZ94" s="159"/>
      <c r="AGA94" s="159"/>
      <c r="AGB94" s="159"/>
      <c r="AGC94" s="159"/>
      <c r="AGD94" s="159"/>
      <c r="AGE94" s="159"/>
      <c r="AGF94" s="159"/>
      <c r="AGG94" s="159"/>
      <c r="AGH94" s="159"/>
      <c r="AGI94" s="159"/>
      <c r="AGJ94" s="159"/>
      <c r="AGK94" s="159"/>
      <c r="AGL94" s="159"/>
      <c r="AGM94" s="159"/>
      <c r="AGN94" s="159"/>
      <c r="AGO94" s="159"/>
      <c r="AGP94" s="159"/>
      <c r="AGQ94" s="159"/>
      <c r="AGR94" s="159"/>
      <c r="AGS94" s="159"/>
      <c r="AGT94" s="159"/>
      <c r="AGU94" s="159"/>
      <c r="AGV94" s="159"/>
      <c r="AGW94" s="159"/>
      <c r="AGX94" s="159"/>
      <c r="AGY94" s="159"/>
      <c r="AGZ94" s="159"/>
      <c r="AHA94" s="159"/>
      <c r="AHB94" s="159"/>
      <c r="AHC94" s="159"/>
      <c r="AHD94" s="159"/>
      <c r="AHE94" s="159"/>
      <c r="AHF94" s="159"/>
      <c r="AHG94" s="159"/>
      <c r="AHH94" s="159"/>
      <c r="AHI94" s="159"/>
      <c r="AHJ94" s="159"/>
      <c r="AHK94" s="159"/>
      <c r="AHL94" s="159"/>
      <c r="AHM94" s="159"/>
      <c r="AHN94" s="159"/>
      <c r="AHO94" s="159"/>
      <c r="AHP94" s="159"/>
      <c r="AHQ94" s="159"/>
      <c r="AHR94" s="159"/>
      <c r="AHS94" s="159"/>
      <c r="AHT94" s="159"/>
      <c r="AHU94" s="159"/>
      <c r="AHV94" s="159"/>
      <c r="AHW94" s="159"/>
      <c r="AHX94" s="159"/>
      <c r="AHY94" s="159"/>
      <c r="AHZ94" s="159"/>
      <c r="AIA94" s="159"/>
      <c r="AIB94" s="159"/>
      <c r="AIC94" s="159"/>
      <c r="AID94" s="159"/>
      <c r="AIE94" s="159"/>
      <c r="AIF94" s="159"/>
      <c r="AIG94" s="159"/>
      <c r="AIH94" s="159"/>
      <c r="AII94" s="159"/>
      <c r="AIJ94" s="159"/>
      <c r="AIK94" s="159"/>
      <c r="AIL94" s="159"/>
      <c r="AIM94" s="159"/>
      <c r="AIN94" s="159"/>
      <c r="AIO94" s="159"/>
      <c r="AIP94" s="159"/>
      <c r="AIQ94" s="159"/>
      <c r="AIR94" s="159"/>
      <c r="AIS94" s="159"/>
      <c r="AIT94" s="159"/>
      <c r="AIU94" s="159"/>
      <c r="AIV94" s="159"/>
      <c r="AIW94" s="159"/>
      <c r="AIX94" s="159"/>
      <c r="AIY94" s="159"/>
      <c r="AIZ94" s="159"/>
      <c r="AJA94" s="159"/>
      <c r="AJB94" s="159"/>
      <c r="AJC94" s="159"/>
      <c r="AJD94" s="159"/>
      <c r="AJE94" s="159"/>
      <c r="AJF94" s="159"/>
      <c r="AJG94" s="159"/>
      <c r="AJH94" s="159"/>
      <c r="AJI94" s="159"/>
      <c r="AJJ94" s="159"/>
      <c r="AJK94" s="159"/>
      <c r="AJL94" s="159"/>
      <c r="AJM94" s="159"/>
      <c r="AJN94" s="159"/>
      <c r="AJO94" s="159"/>
      <c r="AJP94" s="159"/>
      <c r="AJQ94" s="159"/>
      <c r="AJR94" s="159"/>
      <c r="AJS94" s="159"/>
      <c r="AJT94" s="159"/>
      <c r="AJU94" s="159"/>
      <c r="AJV94" s="159"/>
      <c r="AJW94" s="159"/>
      <c r="AJX94" s="159"/>
      <c r="AJY94" s="159"/>
      <c r="AJZ94" s="159"/>
      <c r="AKA94" s="159"/>
      <c r="AKB94" s="159"/>
      <c r="AKC94" s="159"/>
      <c r="AKD94" s="159"/>
      <c r="AKE94" s="159"/>
      <c r="AKF94" s="159"/>
      <c r="AKG94" s="159"/>
      <c r="AKH94" s="159"/>
      <c r="AKI94" s="159"/>
      <c r="AKJ94" s="159"/>
      <c r="AKK94" s="159"/>
      <c r="AKL94" s="159"/>
      <c r="AKM94" s="159"/>
      <c r="AKN94" s="159"/>
      <c r="AKO94" s="159"/>
      <c r="AKP94" s="159"/>
      <c r="AKQ94" s="159"/>
      <c r="AKR94" s="159"/>
      <c r="AKS94" s="159"/>
      <c r="AKT94" s="159"/>
      <c r="AKU94" s="159"/>
      <c r="AKV94" s="159"/>
      <c r="AKW94" s="159"/>
      <c r="AKX94" s="159"/>
      <c r="AKY94" s="159"/>
      <c r="AKZ94" s="159"/>
      <c r="ALA94" s="159"/>
      <c r="ALB94" s="159"/>
      <c r="ALC94" s="159"/>
      <c r="ALD94" s="159"/>
      <c r="ALE94" s="159"/>
      <c r="ALF94" s="159"/>
      <c r="ALG94" s="159"/>
      <c r="ALH94" s="159"/>
      <c r="ALI94" s="159"/>
      <c r="ALJ94" s="159"/>
      <c r="ALK94" s="159"/>
      <c r="ALL94" s="159"/>
      <c r="ALM94" s="159"/>
      <c r="ALN94" s="159"/>
      <c r="ALO94" s="159"/>
      <c r="ALP94" s="159"/>
      <c r="ALQ94" s="159"/>
      <c r="ALR94" s="159"/>
      <c r="ALS94" s="159"/>
      <c r="ALT94" s="159"/>
      <c r="ALU94" s="159"/>
      <c r="ALV94" s="159"/>
      <c r="ALW94" s="159"/>
      <c r="ALX94" s="159"/>
      <c r="ALY94" s="159"/>
      <c r="ALZ94" s="159"/>
      <c r="AMA94" s="159"/>
      <c r="AMB94" s="159"/>
      <c r="AMC94" s="159"/>
      <c r="AMD94" s="159"/>
      <c r="AME94" s="159"/>
      <c r="AMF94" s="159"/>
      <c r="AMG94" s="159"/>
      <c r="AMH94" s="159"/>
      <c r="AMI94" s="159"/>
      <c r="AMJ94" s="159"/>
      <c r="AMK94" s="159"/>
      <c r="AML94" s="159"/>
      <c r="AMM94" s="159"/>
      <c r="AMN94" s="159"/>
      <c r="AMO94" s="159"/>
    </row>
    <row r="95" spans="1:1029" ht="28.5" customHeight="1" x14ac:dyDescent="0.25">
      <c r="A95" s="8">
        <v>46154</v>
      </c>
      <c r="B95" s="16" t="s">
        <v>47</v>
      </c>
      <c r="C95" s="16" t="s">
        <v>150</v>
      </c>
      <c r="D95" s="105" t="s">
        <v>168</v>
      </c>
      <c r="E95" s="118" t="s">
        <v>101</v>
      </c>
      <c r="F95" s="99" t="s">
        <v>119</v>
      </c>
      <c r="G95" s="99" t="s">
        <v>31</v>
      </c>
      <c r="H95" s="141" t="b">
        <f t="shared" si="8"/>
        <v>0</v>
      </c>
      <c r="I95" s="120" t="s">
        <v>29</v>
      </c>
      <c r="J95" s="121" t="s">
        <v>12</v>
      </c>
      <c r="K95" s="121" t="s">
        <v>90</v>
      </c>
      <c r="L95" s="141" t="b">
        <f t="shared" si="9"/>
        <v>0</v>
      </c>
      <c r="M95" s="121" t="s">
        <v>29</v>
      </c>
      <c r="N95" s="121" t="s">
        <v>119</v>
      </c>
      <c r="O95" s="121" t="s">
        <v>168</v>
      </c>
      <c r="P95" s="141">
        <f t="shared" si="10"/>
        <v>0.5</v>
      </c>
      <c r="Q95" s="19" t="s">
        <v>14</v>
      </c>
      <c r="R95" s="16" t="s">
        <v>51</v>
      </c>
      <c r="S95" s="16" t="s">
        <v>16</v>
      </c>
      <c r="T95" s="17" t="b">
        <f t="shared" si="11"/>
        <v>0</v>
      </c>
    </row>
    <row r="96" spans="1:1029" s="161" customFormat="1" ht="25.5" x14ac:dyDescent="0.25">
      <c r="A96" s="138">
        <v>46155</v>
      </c>
      <c r="B96" s="99" t="s">
        <v>29</v>
      </c>
      <c r="C96" s="99" t="s">
        <v>151</v>
      </c>
      <c r="D96" s="160" t="s">
        <v>16</v>
      </c>
      <c r="E96" s="118" t="s">
        <v>14</v>
      </c>
      <c r="F96" s="99" t="s">
        <v>38</v>
      </c>
      <c r="G96" s="99" t="s">
        <v>21</v>
      </c>
      <c r="H96" s="141" t="b">
        <f t="shared" si="8"/>
        <v>0</v>
      </c>
      <c r="I96" s="120" t="s">
        <v>14</v>
      </c>
      <c r="J96" s="121" t="s">
        <v>30</v>
      </c>
      <c r="K96" s="121" t="s">
        <v>31</v>
      </c>
      <c r="L96" s="141" t="b">
        <f t="shared" si="9"/>
        <v>0</v>
      </c>
      <c r="M96" s="121" t="s">
        <v>14</v>
      </c>
      <c r="N96" s="121" t="s">
        <v>130</v>
      </c>
      <c r="O96" s="121" t="s">
        <v>21</v>
      </c>
      <c r="P96" s="141" t="b">
        <f t="shared" si="10"/>
        <v>0</v>
      </c>
      <c r="Q96" s="149" t="s">
        <v>73</v>
      </c>
      <c r="R96" s="99" t="str">
        <f>N96</f>
        <v>Champignonschnitzel</v>
      </c>
      <c r="S96" s="99" t="str">
        <f>O96</f>
        <v>Reis</v>
      </c>
      <c r="T96" s="141" t="b">
        <f t="shared" si="11"/>
        <v>0</v>
      </c>
      <c r="U96" s="159"/>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59"/>
      <c r="AT96" s="159"/>
      <c r="AU96" s="159"/>
      <c r="AV96" s="159"/>
      <c r="AW96" s="159"/>
      <c r="AX96" s="159"/>
      <c r="AY96" s="159"/>
      <c r="AZ96" s="159"/>
      <c r="BA96" s="159"/>
      <c r="BB96" s="159"/>
      <c r="BC96" s="159"/>
      <c r="BD96" s="159"/>
      <c r="BE96" s="159"/>
      <c r="BF96" s="159"/>
      <c r="BG96" s="159"/>
      <c r="BH96" s="159"/>
      <c r="BI96" s="159"/>
      <c r="BJ96" s="159"/>
      <c r="BK96" s="159"/>
      <c r="BL96" s="159"/>
      <c r="BM96" s="159"/>
      <c r="BN96" s="159"/>
      <c r="BO96" s="159"/>
      <c r="BP96" s="159"/>
      <c r="BQ96" s="159"/>
      <c r="BR96" s="159"/>
      <c r="BS96" s="159"/>
      <c r="BT96" s="159"/>
      <c r="BU96" s="159"/>
      <c r="BV96" s="159"/>
      <c r="BW96" s="159"/>
      <c r="BX96" s="159"/>
      <c r="BY96" s="159"/>
      <c r="BZ96" s="159"/>
      <c r="CA96" s="159"/>
      <c r="CB96" s="159"/>
      <c r="CC96" s="159"/>
      <c r="CD96" s="159"/>
      <c r="CE96" s="159"/>
      <c r="CF96" s="159"/>
      <c r="CG96" s="159"/>
      <c r="CH96" s="159"/>
      <c r="CI96" s="159"/>
      <c r="CJ96" s="159"/>
      <c r="CK96" s="159"/>
      <c r="CL96" s="159"/>
      <c r="CM96" s="159"/>
      <c r="CN96" s="159"/>
      <c r="CO96" s="159"/>
      <c r="CP96" s="159"/>
      <c r="CQ96" s="159"/>
      <c r="CR96" s="159"/>
      <c r="CS96" s="159"/>
      <c r="CT96" s="159"/>
      <c r="CU96" s="159"/>
      <c r="CV96" s="159"/>
      <c r="CW96" s="159"/>
      <c r="CX96" s="159"/>
      <c r="CY96" s="159"/>
      <c r="CZ96" s="159"/>
      <c r="DA96" s="159"/>
      <c r="DB96" s="159"/>
      <c r="DC96" s="159"/>
      <c r="DD96" s="159"/>
      <c r="DE96" s="159"/>
      <c r="DF96" s="159"/>
      <c r="DG96" s="159"/>
      <c r="DH96" s="159"/>
      <c r="DI96" s="159"/>
      <c r="DJ96" s="159"/>
      <c r="DK96" s="159"/>
      <c r="DL96" s="159"/>
      <c r="DM96" s="159"/>
      <c r="DN96" s="159"/>
      <c r="DO96" s="159"/>
      <c r="DP96" s="159"/>
      <c r="DQ96" s="159"/>
      <c r="DR96" s="159"/>
      <c r="DS96" s="159"/>
      <c r="DT96" s="159"/>
      <c r="DU96" s="159"/>
      <c r="DV96" s="159"/>
      <c r="DW96" s="159"/>
      <c r="DX96" s="159"/>
      <c r="DY96" s="159"/>
      <c r="DZ96" s="159"/>
      <c r="EA96" s="159"/>
      <c r="EB96" s="159"/>
      <c r="EC96" s="159"/>
      <c r="ED96" s="159"/>
      <c r="EE96" s="159"/>
      <c r="EF96" s="159"/>
      <c r="EG96" s="159"/>
      <c r="EH96" s="159"/>
      <c r="EI96" s="159"/>
      <c r="EJ96" s="159"/>
      <c r="EK96" s="159"/>
      <c r="EL96" s="159"/>
      <c r="EM96" s="159"/>
      <c r="EN96" s="159"/>
      <c r="EO96" s="159"/>
      <c r="EP96" s="159"/>
      <c r="EQ96" s="159"/>
      <c r="ER96" s="159"/>
      <c r="ES96" s="159"/>
      <c r="ET96" s="159"/>
      <c r="EU96" s="159"/>
      <c r="EV96" s="159"/>
      <c r="EW96" s="159"/>
      <c r="EX96" s="159"/>
      <c r="EY96" s="159"/>
      <c r="EZ96" s="159"/>
      <c r="FA96" s="159"/>
      <c r="FB96" s="159"/>
      <c r="FC96" s="159"/>
      <c r="FD96" s="159"/>
      <c r="FE96" s="159"/>
      <c r="FF96" s="159"/>
      <c r="FG96" s="159"/>
      <c r="FH96" s="159"/>
      <c r="FI96" s="159"/>
      <c r="FJ96" s="159"/>
      <c r="FK96" s="159"/>
      <c r="FL96" s="159"/>
      <c r="FM96" s="159"/>
      <c r="FN96" s="159"/>
      <c r="FO96" s="159"/>
      <c r="FP96" s="159"/>
      <c r="FQ96" s="159"/>
      <c r="FR96" s="159"/>
      <c r="FS96" s="159"/>
      <c r="FT96" s="159"/>
      <c r="FU96" s="159"/>
      <c r="FV96" s="159"/>
      <c r="FW96" s="159"/>
      <c r="FX96" s="159"/>
      <c r="FY96" s="159"/>
      <c r="FZ96" s="159"/>
      <c r="GA96" s="159"/>
      <c r="GB96" s="159"/>
      <c r="GC96" s="159"/>
      <c r="GD96" s="159"/>
      <c r="GE96" s="159"/>
      <c r="GF96" s="159"/>
      <c r="GG96" s="159"/>
      <c r="GH96" s="159"/>
      <c r="GI96" s="159"/>
      <c r="GJ96" s="159"/>
      <c r="GK96" s="159"/>
      <c r="GL96" s="159"/>
      <c r="GM96" s="159"/>
      <c r="GN96" s="159"/>
      <c r="GO96" s="159"/>
      <c r="GP96" s="159"/>
      <c r="GQ96" s="159"/>
      <c r="GR96" s="159"/>
      <c r="GS96" s="159"/>
      <c r="GT96" s="159"/>
      <c r="GU96" s="159"/>
      <c r="GV96" s="159"/>
      <c r="GW96" s="159"/>
      <c r="GX96" s="159"/>
      <c r="GY96" s="159"/>
      <c r="GZ96" s="159"/>
      <c r="HA96" s="159"/>
      <c r="HB96" s="159"/>
      <c r="HC96" s="159"/>
      <c r="HD96" s="159"/>
      <c r="HE96" s="159"/>
      <c r="HF96" s="159"/>
      <c r="HG96" s="159"/>
      <c r="HH96" s="159"/>
      <c r="HI96" s="159"/>
      <c r="HJ96" s="159"/>
      <c r="HK96" s="159"/>
      <c r="HL96" s="159"/>
      <c r="HM96" s="159"/>
      <c r="HN96" s="159"/>
      <c r="HO96" s="159"/>
      <c r="HP96" s="159"/>
      <c r="HQ96" s="159"/>
      <c r="HR96" s="159"/>
      <c r="HS96" s="159"/>
      <c r="HT96" s="159"/>
      <c r="HU96" s="159"/>
      <c r="HV96" s="159"/>
      <c r="HW96" s="159"/>
      <c r="HX96" s="159"/>
      <c r="HY96" s="159"/>
      <c r="HZ96" s="159"/>
      <c r="IA96" s="159"/>
      <c r="IB96" s="159"/>
      <c r="IC96" s="159"/>
      <c r="ID96" s="159"/>
      <c r="IE96" s="159"/>
      <c r="IF96" s="159"/>
      <c r="IG96" s="159"/>
      <c r="IH96" s="159"/>
      <c r="II96" s="159"/>
      <c r="IJ96" s="159"/>
      <c r="IK96" s="159"/>
      <c r="IL96" s="159"/>
      <c r="IM96" s="159"/>
      <c r="IN96" s="159"/>
      <c r="IO96" s="159"/>
      <c r="IP96" s="159"/>
      <c r="IQ96" s="159"/>
      <c r="IR96" s="159"/>
      <c r="IS96" s="159"/>
      <c r="IT96" s="159"/>
      <c r="IU96" s="159"/>
      <c r="IV96" s="159"/>
      <c r="IW96" s="159"/>
      <c r="IX96" s="159"/>
      <c r="IY96" s="159"/>
      <c r="IZ96" s="159"/>
      <c r="JA96" s="159"/>
      <c r="JB96" s="159"/>
      <c r="JC96" s="159"/>
      <c r="JD96" s="159"/>
      <c r="JE96" s="159"/>
      <c r="JF96" s="159"/>
      <c r="JG96" s="159"/>
      <c r="JH96" s="159"/>
      <c r="JI96" s="159"/>
      <c r="JJ96" s="159"/>
      <c r="JK96" s="159"/>
      <c r="JL96" s="159"/>
      <c r="JM96" s="159"/>
      <c r="JN96" s="159"/>
      <c r="JO96" s="159"/>
      <c r="JP96" s="159"/>
      <c r="JQ96" s="159"/>
      <c r="JR96" s="159"/>
      <c r="JS96" s="159"/>
      <c r="JT96" s="159"/>
      <c r="JU96" s="159"/>
      <c r="JV96" s="159"/>
      <c r="JW96" s="159"/>
      <c r="JX96" s="159"/>
      <c r="JY96" s="159"/>
      <c r="JZ96" s="159"/>
      <c r="KA96" s="159"/>
      <c r="KB96" s="159"/>
      <c r="KC96" s="159"/>
      <c r="KD96" s="159"/>
      <c r="KE96" s="159"/>
      <c r="KF96" s="159"/>
      <c r="KG96" s="159"/>
      <c r="KH96" s="159"/>
      <c r="KI96" s="159"/>
      <c r="KJ96" s="159"/>
      <c r="KK96" s="159"/>
      <c r="KL96" s="159"/>
      <c r="KM96" s="159"/>
      <c r="KN96" s="159"/>
      <c r="KO96" s="159"/>
      <c r="KP96" s="159"/>
      <c r="KQ96" s="159"/>
      <c r="KR96" s="159"/>
      <c r="KS96" s="159"/>
      <c r="KT96" s="159"/>
      <c r="KU96" s="159"/>
      <c r="KV96" s="159"/>
      <c r="KW96" s="159"/>
      <c r="KX96" s="159"/>
      <c r="KY96" s="159"/>
      <c r="KZ96" s="159"/>
      <c r="LA96" s="159"/>
      <c r="LB96" s="159"/>
      <c r="LC96" s="159"/>
      <c r="LD96" s="159"/>
      <c r="LE96" s="159"/>
      <c r="LF96" s="159"/>
      <c r="LG96" s="159"/>
      <c r="LH96" s="159"/>
      <c r="LI96" s="159"/>
      <c r="LJ96" s="159"/>
      <c r="LK96" s="159"/>
      <c r="LL96" s="159"/>
      <c r="LM96" s="159"/>
      <c r="LN96" s="159"/>
      <c r="LO96" s="159"/>
      <c r="LP96" s="159"/>
      <c r="LQ96" s="159"/>
      <c r="LR96" s="159"/>
      <c r="LS96" s="159"/>
      <c r="LT96" s="159"/>
      <c r="LU96" s="159"/>
      <c r="LV96" s="159"/>
      <c r="LW96" s="159"/>
      <c r="LX96" s="159"/>
      <c r="LY96" s="159"/>
      <c r="LZ96" s="159"/>
      <c r="MA96" s="159"/>
      <c r="MB96" s="159"/>
      <c r="MC96" s="159"/>
      <c r="MD96" s="159"/>
      <c r="ME96" s="159"/>
      <c r="MF96" s="159"/>
      <c r="MG96" s="159"/>
      <c r="MH96" s="159"/>
      <c r="MI96" s="159"/>
      <c r="MJ96" s="159"/>
      <c r="MK96" s="159"/>
      <c r="ML96" s="159"/>
      <c r="MM96" s="159"/>
      <c r="MN96" s="159"/>
      <c r="MO96" s="159"/>
      <c r="MP96" s="159"/>
      <c r="MQ96" s="159"/>
      <c r="MR96" s="159"/>
      <c r="MS96" s="159"/>
      <c r="MT96" s="159"/>
      <c r="MU96" s="159"/>
      <c r="MV96" s="159"/>
      <c r="MW96" s="159"/>
      <c r="MX96" s="159"/>
      <c r="MY96" s="159"/>
      <c r="MZ96" s="159"/>
      <c r="NA96" s="159"/>
      <c r="NB96" s="159"/>
      <c r="NC96" s="159"/>
      <c r="ND96" s="159"/>
      <c r="NE96" s="159"/>
      <c r="NF96" s="159"/>
      <c r="NG96" s="159"/>
      <c r="NH96" s="159"/>
      <c r="NI96" s="159"/>
      <c r="NJ96" s="159"/>
      <c r="NK96" s="159"/>
      <c r="NL96" s="159"/>
      <c r="NM96" s="159"/>
      <c r="NN96" s="159"/>
      <c r="NO96" s="159"/>
      <c r="NP96" s="159"/>
      <c r="NQ96" s="159"/>
      <c r="NR96" s="159"/>
      <c r="NS96" s="159"/>
      <c r="NT96" s="159"/>
      <c r="NU96" s="159"/>
      <c r="NV96" s="159"/>
      <c r="NW96" s="159"/>
      <c r="NX96" s="159"/>
      <c r="NY96" s="159"/>
      <c r="NZ96" s="159"/>
      <c r="OA96" s="159"/>
      <c r="OB96" s="159"/>
      <c r="OC96" s="159"/>
      <c r="OD96" s="159"/>
      <c r="OE96" s="159"/>
      <c r="OF96" s="159"/>
      <c r="OG96" s="159"/>
      <c r="OH96" s="159"/>
      <c r="OI96" s="159"/>
      <c r="OJ96" s="159"/>
      <c r="OK96" s="159"/>
      <c r="OL96" s="159"/>
      <c r="OM96" s="159"/>
      <c r="ON96" s="159"/>
      <c r="OO96" s="159"/>
      <c r="OP96" s="159"/>
      <c r="OQ96" s="159"/>
      <c r="OR96" s="159"/>
      <c r="OS96" s="159"/>
      <c r="OT96" s="159"/>
      <c r="OU96" s="159"/>
      <c r="OV96" s="159"/>
      <c r="OW96" s="159"/>
      <c r="OX96" s="159"/>
      <c r="OY96" s="159"/>
      <c r="OZ96" s="159"/>
      <c r="PA96" s="159"/>
      <c r="PB96" s="159"/>
      <c r="PC96" s="159"/>
      <c r="PD96" s="159"/>
      <c r="PE96" s="159"/>
      <c r="PF96" s="159"/>
      <c r="PG96" s="159"/>
      <c r="PH96" s="159"/>
      <c r="PI96" s="159"/>
      <c r="PJ96" s="159"/>
      <c r="PK96" s="159"/>
      <c r="PL96" s="159"/>
      <c r="PM96" s="159"/>
      <c r="PN96" s="159"/>
      <c r="PO96" s="159"/>
      <c r="PP96" s="159"/>
      <c r="PQ96" s="159"/>
      <c r="PR96" s="159"/>
      <c r="PS96" s="159"/>
      <c r="PT96" s="159"/>
      <c r="PU96" s="159"/>
      <c r="PV96" s="159"/>
      <c r="PW96" s="159"/>
      <c r="PX96" s="159"/>
      <c r="PY96" s="159"/>
      <c r="PZ96" s="159"/>
      <c r="QA96" s="159"/>
      <c r="QB96" s="159"/>
      <c r="QC96" s="159"/>
      <c r="QD96" s="159"/>
      <c r="QE96" s="159"/>
      <c r="QF96" s="159"/>
      <c r="QG96" s="159"/>
      <c r="QH96" s="159"/>
      <c r="QI96" s="159"/>
      <c r="QJ96" s="159"/>
      <c r="QK96" s="159"/>
      <c r="QL96" s="159"/>
      <c r="QM96" s="159"/>
      <c r="QN96" s="159"/>
      <c r="QO96" s="159"/>
      <c r="QP96" s="159"/>
      <c r="QQ96" s="159"/>
      <c r="QR96" s="159"/>
      <c r="QS96" s="159"/>
      <c r="QT96" s="159"/>
      <c r="QU96" s="159"/>
      <c r="QV96" s="159"/>
      <c r="QW96" s="159"/>
      <c r="QX96" s="159"/>
      <c r="QY96" s="159"/>
      <c r="QZ96" s="159"/>
      <c r="RA96" s="159"/>
      <c r="RB96" s="159"/>
      <c r="RC96" s="159"/>
      <c r="RD96" s="159"/>
      <c r="RE96" s="159"/>
      <c r="RF96" s="159"/>
      <c r="RG96" s="159"/>
      <c r="RH96" s="159"/>
      <c r="RI96" s="159"/>
      <c r="RJ96" s="159"/>
      <c r="RK96" s="159"/>
      <c r="RL96" s="159"/>
      <c r="RM96" s="159"/>
      <c r="RN96" s="159"/>
      <c r="RO96" s="159"/>
      <c r="RP96" s="159"/>
      <c r="RQ96" s="159"/>
      <c r="RR96" s="159"/>
      <c r="RS96" s="159"/>
      <c r="RT96" s="159"/>
      <c r="RU96" s="159"/>
      <c r="RV96" s="159"/>
      <c r="RW96" s="159"/>
      <c r="RX96" s="159"/>
      <c r="RY96" s="159"/>
      <c r="RZ96" s="159"/>
      <c r="SA96" s="159"/>
      <c r="SB96" s="159"/>
      <c r="SC96" s="159"/>
      <c r="SD96" s="159"/>
      <c r="SE96" s="159"/>
      <c r="SF96" s="159"/>
      <c r="SG96" s="159"/>
      <c r="SH96" s="159"/>
      <c r="SI96" s="159"/>
      <c r="SJ96" s="159"/>
      <c r="SK96" s="159"/>
      <c r="SL96" s="159"/>
      <c r="SM96" s="159"/>
      <c r="SN96" s="159"/>
      <c r="SO96" s="159"/>
      <c r="SP96" s="159"/>
      <c r="SQ96" s="159"/>
      <c r="SR96" s="159"/>
      <c r="SS96" s="159"/>
      <c r="ST96" s="159"/>
      <c r="SU96" s="159"/>
      <c r="SV96" s="159"/>
      <c r="SW96" s="159"/>
      <c r="SX96" s="159"/>
      <c r="SY96" s="159"/>
      <c r="SZ96" s="159"/>
      <c r="TA96" s="159"/>
      <c r="TB96" s="159"/>
      <c r="TC96" s="159"/>
      <c r="TD96" s="159"/>
      <c r="TE96" s="159"/>
      <c r="TF96" s="159"/>
      <c r="TG96" s="159"/>
      <c r="TH96" s="159"/>
      <c r="TI96" s="159"/>
      <c r="TJ96" s="159"/>
      <c r="TK96" s="159"/>
      <c r="TL96" s="159"/>
      <c r="TM96" s="159"/>
      <c r="TN96" s="159"/>
      <c r="TO96" s="159"/>
      <c r="TP96" s="159"/>
      <c r="TQ96" s="159"/>
      <c r="TR96" s="159"/>
      <c r="TS96" s="159"/>
      <c r="TT96" s="159"/>
      <c r="TU96" s="159"/>
      <c r="TV96" s="159"/>
      <c r="TW96" s="159"/>
      <c r="TX96" s="159"/>
      <c r="TY96" s="159"/>
      <c r="TZ96" s="159"/>
      <c r="UA96" s="159"/>
      <c r="UB96" s="159"/>
      <c r="UC96" s="159"/>
      <c r="UD96" s="159"/>
      <c r="UE96" s="159"/>
      <c r="UF96" s="159"/>
      <c r="UG96" s="159"/>
      <c r="UH96" s="159"/>
      <c r="UI96" s="159"/>
      <c r="UJ96" s="159"/>
      <c r="UK96" s="159"/>
      <c r="UL96" s="159"/>
      <c r="UM96" s="159"/>
      <c r="UN96" s="159"/>
      <c r="UO96" s="159"/>
      <c r="UP96" s="159"/>
      <c r="UQ96" s="159"/>
      <c r="UR96" s="159"/>
      <c r="US96" s="159"/>
      <c r="UT96" s="159"/>
      <c r="UU96" s="159"/>
      <c r="UV96" s="159"/>
      <c r="UW96" s="159"/>
      <c r="UX96" s="159"/>
      <c r="UY96" s="159"/>
      <c r="UZ96" s="159"/>
      <c r="VA96" s="159"/>
      <c r="VB96" s="159"/>
      <c r="VC96" s="159"/>
      <c r="VD96" s="159"/>
      <c r="VE96" s="159"/>
      <c r="VF96" s="159"/>
      <c r="VG96" s="159"/>
      <c r="VH96" s="159"/>
      <c r="VI96" s="159"/>
      <c r="VJ96" s="159"/>
      <c r="VK96" s="159"/>
      <c r="VL96" s="159"/>
      <c r="VM96" s="159"/>
      <c r="VN96" s="159"/>
      <c r="VO96" s="159"/>
      <c r="VP96" s="159"/>
      <c r="VQ96" s="159"/>
      <c r="VR96" s="159"/>
      <c r="VS96" s="159"/>
      <c r="VT96" s="159"/>
      <c r="VU96" s="159"/>
      <c r="VV96" s="159"/>
      <c r="VW96" s="159"/>
      <c r="VX96" s="159"/>
      <c r="VY96" s="159"/>
      <c r="VZ96" s="159"/>
      <c r="WA96" s="159"/>
      <c r="WB96" s="159"/>
      <c r="WC96" s="159"/>
      <c r="WD96" s="159"/>
      <c r="WE96" s="159"/>
      <c r="WF96" s="159"/>
      <c r="WG96" s="159"/>
      <c r="WH96" s="159"/>
      <c r="WI96" s="159"/>
      <c r="WJ96" s="159"/>
      <c r="WK96" s="159"/>
      <c r="WL96" s="159"/>
      <c r="WM96" s="159"/>
      <c r="WN96" s="159"/>
      <c r="WO96" s="159"/>
      <c r="WP96" s="159"/>
      <c r="WQ96" s="159"/>
      <c r="WR96" s="159"/>
      <c r="WS96" s="159"/>
      <c r="WT96" s="159"/>
      <c r="WU96" s="159"/>
      <c r="WV96" s="159"/>
      <c r="WW96" s="159"/>
      <c r="WX96" s="159"/>
      <c r="WY96" s="159"/>
      <c r="WZ96" s="159"/>
      <c r="XA96" s="159"/>
      <c r="XB96" s="159"/>
      <c r="XC96" s="159"/>
      <c r="XD96" s="159"/>
      <c r="XE96" s="159"/>
      <c r="XF96" s="159"/>
      <c r="XG96" s="159"/>
      <c r="XH96" s="159"/>
      <c r="XI96" s="159"/>
      <c r="XJ96" s="159"/>
      <c r="XK96" s="159"/>
      <c r="XL96" s="159"/>
      <c r="XM96" s="159"/>
      <c r="XN96" s="159"/>
      <c r="XO96" s="159"/>
      <c r="XP96" s="159"/>
      <c r="XQ96" s="159"/>
      <c r="XR96" s="159"/>
      <c r="XS96" s="159"/>
      <c r="XT96" s="159"/>
      <c r="XU96" s="159"/>
      <c r="XV96" s="159"/>
      <c r="XW96" s="159"/>
      <c r="XX96" s="159"/>
      <c r="XY96" s="159"/>
      <c r="XZ96" s="159"/>
      <c r="YA96" s="159"/>
      <c r="YB96" s="159"/>
      <c r="YC96" s="159"/>
      <c r="YD96" s="159"/>
      <c r="YE96" s="159"/>
      <c r="YF96" s="159"/>
      <c r="YG96" s="159"/>
      <c r="YH96" s="159"/>
      <c r="YI96" s="159"/>
      <c r="YJ96" s="159"/>
      <c r="YK96" s="159"/>
      <c r="YL96" s="159"/>
      <c r="YM96" s="159"/>
      <c r="YN96" s="159"/>
      <c r="YO96" s="159"/>
      <c r="YP96" s="159"/>
      <c r="YQ96" s="159"/>
      <c r="YR96" s="159"/>
      <c r="YS96" s="159"/>
      <c r="YT96" s="159"/>
      <c r="YU96" s="159"/>
      <c r="YV96" s="159"/>
      <c r="YW96" s="159"/>
      <c r="YX96" s="159"/>
      <c r="YY96" s="159"/>
      <c r="YZ96" s="159"/>
      <c r="ZA96" s="159"/>
      <c r="ZB96" s="159"/>
      <c r="ZC96" s="159"/>
      <c r="ZD96" s="159"/>
      <c r="ZE96" s="159"/>
      <c r="ZF96" s="159"/>
      <c r="ZG96" s="159"/>
      <c r="ZH96" s="159"/>
      <c r="ZI96" s="159"/>
      <c r="ZJ96" s="159"/>
      <c r="ZK96" s="159"/>
      <c r="ZL96" s="159"/>
      <c r="ZM96" s="159"/>
      <c r="ZN96" s="159"/>
      <c r="ZO96" s="159"/>
      <c r="ZP96" s="159"/>
      <c r="ZQ96" s="159"/>
      <c r="ZR96" s="159"/>
      <c r="ZS96" s="159"/>
      <c r="ZT96" s="159"/>
      <c r="ZU96" s="159"/>
      <c r="ZV96" s="159"/>
      <c r="ZW96" s="159"/>
      <c r="ZX96" s="159"/>
      <c r="ZY96" s="159"/>
      <c r="ZZ96" s="159"/>
      <c r="AAA96" s="159"/>
      <c r="AAB96" s="159"/>
      <c r="AAC96" s="159"/>
      <c r="AAD96" s="159"/>
      <c r="AAE96" s="159"/>
      <c r="AAF96" s="159"/>
      <c r="AAG96" s="159"/>
      <c r="AAH96" s="159"/>
      <c r="AAI96" s="159"/>
      <c r="AAJ96" s="159"/>
      <c r="AAK96" s="159"/>
      <c r="AAL96" s="159"/>
      <c r="AAM96" s="159"/>
      <c r="AAN96" s="159"/>
      <c r="AAO96" s="159"/>
      <c r="AAP96" s="159"/>
      <c r="AAQ96" s="159"/>
      <c r="AAR96" s="159"/>
      <c r="AAS96" s="159"/>
      <c r="AAT96" s="159"/>
      <c r="AAU96" s="159"/>
      <c r="AAV96" s="159"/>
      <c r="AAW96" s="159"/>
      <c r="AAX96" s="159"/>
      <c r="AAY96" s="159"/>
      <c r="AAZ96" s="159"/>
      <c r="ABA96" s="159"/>
      <c r="ABB96" s="159"/>
      <c r="ABC96" s="159"/>
      <c r="ABD96" s="159"/>
      <c r="ABE96" s="159"/>
      <c r="ABF96" s="159"/>
      <c r="ABG96" s="159"/>
      <c r="ABH96" s="159"/>
      <c r="ABI96" s="159"/>
      <c r="ABJ96" s="159"/>
      <c r="ABK96" s="159"/>
      <c r="ABL96" s="159"/>
      <c r="ABM96" s="159"/>
      <c r="ABN96" s="159"/>
      <c r="ABO96" s="159"/>
      <c r="ABP96" s="159"/>
      <c r="ABQ96" s="159"/>
      <c r="ABR96" s="159"/>
      <c r="ABS96" s="159"/>
      <c r="ABT96" s="159"/>
      <c r="ABU96" s="159"/>
      <c r="ABV96" s="159"/>
      <c r="ABW96" s="159"/>
      <c r="ABX96" s="159"/>
      <c r="ABY96" s="159"/>
      <c r="ABZ96" s="159"/>
      <c r="ACA96" s="159"/>
      <c r="ACB96" s="159"/>
      <c r="ACC96" s="159"/>
      <c r="ACD96" s="159"/>
      <c r="ACE96" s="159"/>
      <c r="ACF96" s="159"/>
      <c r="ACG96" s="159"/>
      <c r="ACH96" s="159"/>
      <c r="ACI96" s="159"/>
      <c r="ACJ96" s="159"/>
      <c r="ACK96" s="159"/>
      <c r="ACL96" s="159"/>
      <c r="ACM96" s="159"/>
      <c r="ACN96" s="159"/>
      <c r="ACO96" s="159"/>
      <c r="ACP96" s="159"/>
      <c r="ACQ96" s="159"/>
      <c r="ACR96" s="159"/>
      <c r="ACS96" s="159"/>
      <c r="ACT96" s="159"/>
      <c r="ACU96" s="159"/>
      <c r="ACV96" s="159"/>
      <c r="ACW96" s="159"/>
      <c r="ACX96" s="159"/>
      <c r="ACY96" s="159"/>
      <c r="ACZ96" s="159"/>
      <c r="ADA96" s="159"/>
      <c r="ADB96" s="159"/>
      <c r="ADC96" s="159"/>
      <c r="ADD96" s="159"/>
      <c r="ADE96" s="159"/>
      <c r="ADF96" s="159"/>
      <c r="ADG96" s="159"/>
      <c r="ADH96" s="159"/>
      <c r="ADI96" s="159"/>
      <c r="ADJ96" s="159"/>
      <c r="ADK96" s="159"/>
      <c r="ADL96" s="159"/>
      <c r="ADM96" s="159"/>
      <c r="ADN96" s="159"/>
      <c r="ADO96" s="159"/>
      <c r="ADP96" s="159"/>
      <c r="ADQ96" s="159"/>
      <c r="ADR96" s="159"/>
      <c r="ADS96" s="159"/>
      <c r="ADT96" s="159"/>
      <c r="ADU96" s="159"/>
      <c r="ADV96" s="159"/>
      <c r="ADW96" s="159"/>
      <c r="ADX96" s="159"/>
      <c r="ADY96" s="159"/>
      <c r="ADZ96" s="159"/>
      <c r="AEA96" s="159"/>
      <c r="AEB96" s="159"/>
      <c r="AEC96" s="159"/>
      <c r="AED96" s="159"/>
      <c r="AEE96" s="159"/>
      <c r="AEF96" s="159"/>
      <c r="AEG96" s="159"/>
      <c r="AEH96" s="159"/>
      <c r="AEI96" s="159"/>
      <c r="AEJ96" s="159"/>
      <c r="AEK96" s="159"/>
      <c r="AEL96" s="159"/>
      <c r="AEM96" s="159"/>
      <c r="AEN96" s="159"/>
      <c r="AEO96" s="159"/>
      <c r="AEP96" s="159"/>
      <c r="AEQ96" s="159"/>
      <c r="AER96" s="159"/>
      <c r="AES96" s="159"/>
      <c r="AET96" s="159"/>
      <c r="AEU96" s="159"/>
      <c r="AEV96" s="159"/>
      <c r="AEW96" s="159"/>
      <c r="AEX96" s="159"/>
      <c r="AEY96" s="159"/>
      <c r="AEZ96" s="159"/>
      <c r="AFA96" s="159"/>
      <c r="AFB96" s="159"/>
      <c r="AFC96" s="159"/>
      <c r="AFD96" s="159"/>
      <c r="AFE96" s="159"/>
      <c r="AFF96" s="159"/>
      <c r="AFG96" s="159"/>
      <c r="AFH96" s="159"/>
      <c r="AFI96" s="159"/>
      <c r="AFJ96" s="159"/>
      <c r="AFK96" s="159"/>
      <c r="AFL96" s="159"/>
      <c r="AFM96" s="159"/>
      <c r="AFN96" s="159"/>
      <c r="AFO96" s="159"/>
      <c r="AFP96" s="159"/>
      <c r="AFQ96" s="159"/>
      <c r="AFR96" s="159"/>
      <c r="AFS96" s="159"/>
      <c r="AFT96" s="159"/>
      <c r="AFU96" s="159"/>
      <c r="AFV96" s="159"/>
      <c r="AFW96" s="159"/>
      <c r="AFX96" s="159"/>
      <c r="AFY96" s="159"/>
      <c r="AFZ96" s="159"/>
      <c r="AGA96" s="159"/>
      <c r="AGB96" s="159"/>
      <c r="AGC96" s="159"/>
      <c r="AGD96" s="159"/>
      <c r="AGE96" s="159"/>
      <c r="AGF96" s="159"/>
      <c r="AGG96" s="159"/>
      <c r="AGH96" s="159"/>
      <c r="AGI96" s="159"/>
      <c r="AGJ96" s="159"/>
      <c r="AGK96" s="159"/>
      <c r="AGL96" s="159"/>
      <c r="AGM96" s="159"/>
      <c r="AGN96" s="159"/>
      <c r="AGO96" s="159"/>
      <c r="AGP96" s="159"/>
      <c r="AGQ96" s="159"/>
      <c r="AGR96" s="159"/>
      <c r="AGS96" s="159"/>
      <c r="AGT96" s="159"/>
      <c r="AGU96" s="159"/>
      <c r="AGV96" s="159"/>
      <c r="AGW96" s="159"/>
      <c r="AGX96" s="159"/>
      <c r="AGY96" s="159"/>
      <c r="AGZ96" s="159"/>
      <c r="AHA96" s="159"/>
      <c r="AHB96" s="159"/>
      <c r="AHC96" s="159"/>
      <c r="AHD96" s="159"/>
      <c r="AHE96" s="159"/>
      <c r="AHF96" s="159"/>
      <c r="AHG96" s="159"/>
      <c r="AHH96" s="159"/>
      <c r="AHI96" s="159"/>
      <c r="AHJ96" s="159"/>
      <c r="AHK96" s="159"/>
      <c r="AHL96" s="159"/>
      <c r="AHM96" s="159"/>
      <c r="AHN96" s="159"/>
      <c r="AHO96" s="159"/>
      <c r="AHP96" s="159"/>
      <c r="AHQ96" s="159"/>
      <c r="AHR96" s="159"/>
      <c r="AHS96" s="159"/>
      <c r="AHT96" s="159"/>
      <c r="AHU96" s="159"/>
      <c r="AHV96" s="159"/>
      <c r="AHW96" s="159"/>
      <c r="AHX96" s="159"/>
      <c r="AHY96" s="159"/>
      <c r="AHZ96" s="159"/>
      <c r="AIA96" s="159"/>
      <c r="AIB96" s="159"/>
      <c r="AIC96" s="159"/>
      <c r="AID96" s="159"/>
      <c r="AIE96" s="159"/>
      <c r="AIF96" s="159"/>
      <c r="AIG96" s="159"/>
      <c r="AIH96" s="159"/>
      <c r="AII96" s="159"/>
      <c r="AIJ96" s="159"/>
      <c r="AIK96" s="159"/>
      <c r="AIL96" s="159"/>
      <c r="AIM96" s="159"/>
      <c r="AIN96" s="159"/>
      <c r="AIO96" s="159"/>
      <c r="AIP96" s="159"/>
      <c r="AIQ96" s="159"/>
      <c r="AIR96" s="159"/>
      <c r="AIS96" s="159"/>
      <c r="AIT96" s="159"/>
      <c r="AIU96" s="159"/>
      <c r="AIV96" s="159"/>
      <c r="AIW96" s="159"/>
      <c r="AIX96" s="159"/>
      <c r="AIY96" s="159"/>
      <c r="AIZ96" s="159"/>
      <c r="AJA96" s="159"/>
      <c r="AJB96" s="159"/>
      <c r="AJC96" s="159"/>
      <c r="AJD96" s="159"/>
      <c r="AJE96" s="159"/>
      <c r="AJF96" s="159"/>
      <c r="AJG96" s="159"/>
      <c r="AJH96" s="159"/>
      <c r="AJI96" s="159"/>
      <c r="AJJ96" s="159"/>
      <c r="AJK96" s="159"/>
      <c r="AJL96" s="159"/>
      <c r="AJM96" s="159"/>
      <c r="AJN96" s="159"/>
      <c r="AJO96" s="159"/>
      <c r="AJP96" s="159"/>
      <c r="AJQ96" s="159"/>
      <c r="AJR96" s="159"/>
      <c r="AJS96" s="159"/>
      <c r="AJT96" s="159"/>
      <c r="AJU96" s="159"/>
      <c r="AJV96" s="159"/>
      <c r="AJW96" s="159"/>
      <c r="AJX96" s="159"/>
      <c r="AJY96" s="159"/>
      <c r="AJZ96" s="159"/>
      <c r="AKA96" s="159"/>
      <c r="AKB96" s="159"/>
      <c r="AKC96" s="159"/>
      <c r="AKD96" s="159"/>
      <c r="AKE96" s="159"/>
      <c r="AKF96" s="159"/>
      <c r="AKG96" s="159"/>
      <c r="AKH96" s="159"/>
      <c r="AKI96" s="159"/>
      <c r="AKJ96" s="159"/>
      <c r="AKK96" s="159"/>
      <c r="AKL96" s="159"/>
      <c r="AKM96" s="159"/>
      <c r="AKN96" s="159"/>
      <c r="AKO96" s="159"/>
      <c r="AKP96" s="159"/>
      <c r="AKQ96" s="159"/>
      <c r="AKR96" s="159"/>
      <c r="AKS96" s="159"/>
      <c r="AKT96" s="159"/>
      <c r="AKU96" s="159"/>
      <c r="AKV96" s="159"/>
      <c r="AKW96" s="159"/>
      <c r="AKX96" s="159"/>
      <c r="AKY96" s="159"/>
      <c r="AKZ96" s="159"/>
      <c r="ALA96" s="159"/>
      <c r="ALB96" s="159"/>
      <c r="ALC96" s="159"/>
      <c r="ALD96" s="159"/>
      <c r="ALE96" s="159"/>
      <c r="ALF96" s="159"/>
      <c r="ALG96" s="159"/>
      <c r="ALH96" s="159"/>
      <c r="ALI96" s="159"/>
      <c r="ALJ96" s="159"/>
      <c r="ALK96" s="159"/>
      <c r="ALL96" s="159"/>
      <c r="ALM96" s="159"/>
      <c r="ALN96" s="159"/>
      <c r="ALO96" s="159"/>
      <c r="ALP96" s="159"/>
      <c r="ALQ96" s="159"/>
      <c r="ALR96" s="159"/>
      <c r="ALS96" s="159"/>
      <c r="ALT96" s="159"/>
      <c r="ALU96" s="159"/>
      <c r="ALV96" s="159"/>
      <c r="ALW96" s="159"/>
      <c r="ALX96" s="159"/>
      <c r="ALY96" s="159"/>
      <c r="ALZ96" s="159"/>
      <c r="AMA96" s="159"/>
      <c r="AMB96" s="159"/>
      <c r="AMC96" s="159"/>
      <c r="AMD96" s="159"/>
      <c r="AME96" s="159"/>
      <c r="AMF96" s="159"/>
      <c r="AMG96" s="159"/>
      <c r="AMH96" s="159"/>
      <c r="AMI96" s="159"/>
      <c r="AMJ96" s="159"/>
      <c r="AMK96" s="159"/>
      <c r="AML96" s="159"/>
      <c r="AMM96" s="159"/>
      <c r="AMN96" s="159"/>
      <c r="AMO96" s="159"/>
    </row>
    <row r="97" spans="1:1029" s="161" customFormat="1" ht="25.5" x14ac:dyDescent="0.25">
      <c r="A97" s="138">
        <v>46156</v>
      </c>
      <c r="B97" s="99" t="s">
        <v>193</v>
      </c>
      <c r="C97" s="99" t="s">
        <v>195</v>
      </c>
      <c r="D97" s="160" t="s">
        <v>21</v>
      </c>
      <c r="E97" s="118" t="s">
        <v>35</v>
      </c>
      <c r="F97" s="99" t="s">
        <v>51</v>
      </c>
      <c r="G97" s="99" t="s">
        <v>52</v>
      </c>
      <c r="H97" s="141" t="b">
        <f t="shared" si="8"/>
        <v>0</v>
      </c>
      <c r="I97" s="120" t="s">
        <v>113</v>
      </c>
      <c r="J97" s="121" t="s">
        <v>10</v>
      </c>
      <c r="K97" s="121" t="s">
        <v>11</v>
      </c>
      <c r="L97" s="141" t="b">
        <f t="shared" si="9"/>
        <v>0</v>
      </c>
      <c r="M97" s="121" t="s">
        <v>35</v>
      </c>
      <c r="N97" s="121" t="s">
        <v>82</v>
      </c>
      <c r="O97" s="121" t="s">
        <v>90</v>
      </c>
      <c r="P97" s="141" t="b">
        <f t="shared" si="10"/>
        <v>0</v>
      </c>
      <c r="Q97" s="149" t="s">
        <v>8</v>
      </c>
      <c r="R97" s="99" t="s">
        <v>82</v>
      </c>
      <c r="S97" s="99" t="s">
        <v>27</v>
      </c>
      <c r="T97" s="141" t="b">
        <f t="shared" si="11"/>
        <v>0</v>
      </c>
      <c r="U97" s="159"/>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59"/>
      <c r="AT97" s="159"/>
      <c r="AU97" s="159"/>
      <c r="AV97" s="159"/>
      <c r="AW97" s="159"/>
      <c r="AX97" s="159"/>
      <c r="AY97" s="159"/>
      <c r="AZ97" s="159"/>
      <c r="BA97" s="159"/>
      <c r="BB97" s="159"/>
      <c r="BC97" s="159"/>
      <c r="BD97" s="159"/>
      <c r="BE97" s="159"/>
      <c r="BF97" s="159"/>
      <c r="BG97" s="159"/>
      <c r="BH97" s="159"/>
      <c r="BI97" s="159"/>
      <c r="BJ97" s="159"/>
      <c r="BK97" s="159"/>
      <c r="BL97" s="159"/>
      <c r="BM97" s="159"/>
      <c r="BN97" s="159"/>
      <c r="BO97" s="159"/>
      <c r="BP97" s="159"/>
      <c r="BQ97" s="159"/>
      <c r="BR97" s="159"/>
      <c r="BS97" s="159"/>
      <c r="BT97" s="159"/>
      <c r="BU97" s="159"/>
      <c r="BV97" s="159"/>
      <c r="BW97" s="159"/>
      <c r="BX97" s="159"/>
      <c r="BY97" s="159"/>
      <c r="BZ97" s="159"/>
      <c r="CA97" s="159"/>
      <c r="CB97" s="159"/>
      <c r="CC97" s="159"/>
      <c r="CD97" s="159"/>
      <c r="CE97" s="159"/>
      <c r="CF97" s="159"/>
      <c r="CG97" s="159"/>
      <c r="CH97" s="159"/>
      <c r="CI97" s="159"/>
      <c r="CJ97" s="159"/>
      <c r="CK97" s="159"/>
      <c r="CL97" s="159"/>
      <c r="CM97" s="159"/>
      <c r="CN97" s="159"/>
      <c r="CO97" s="159"/>
      <c r="CP97" s="159"/>
      <c r="CQ97" s="159"/>
      <c r="CR97" s="159"/>
      <c r="CS97" s="159"/>
      <c r="CT97" s="159"/>
      <c r="CU97" s="159"/>
      <c r="CV97" s="159"/>
      <c r="CW97" s="159"/>
      <c r="CX97" s="159"/>
      <c r="CY97" s="159"/>
      <c r="CZ97" s="159"/>
      <c r="DA97" s="159"/>
      <c r="DB97" s="159"/>
      <c r="DC97" s="159"/>
      <c r="DD97" s="159"/>
      <c r="DE97" s="159"/>
      <c r="DF97" s="159"/>
      <c r="DG97" s="159"/>
      <c r="DH97" s="159"/>
      <c r="DI97" s="159"/>
      <c r="DJ97" s="159"/>
      <c r="DK97" s="159"/>
      <c r="DL97" s="159"/>
      <c r="DM97" s="159"/>
      <c r="DN97" s="159"/>
      <c r="DO97" s="159"/>
      <c r="DP97" s="159"/>
      <c r="DQ97" s="159"/>
      <c r="DR97" s="159"/>
      <c r="DS97" s="159"/>
      <c r="DT97" s="159"/>
      <c r="DU97" s="159"/>
      <c r="DV97" s="159"/>
      <c r="DW97" s="159"/>
      <c r="DX97" s="159"/>
      <c r="DY97" s="159"/>
      <c r="DZ97" s="159"/>
      <c r="EA97" s="159"/>
      <c r="EB97" s="159"/>
      <c r="EC97" s="159"/>
      <c r="ED97" s="159"/>
      <c r="EE97" s="159"/>
      <c r="EF97" s="159"/>
      <c r="EG97" s="159"/>
      <c r="EH97" s="159"/>
      <c r="EI97" s="159"/>
      <c r="EJ97" s="159"/>
      <c r="EK97" s="159"/>
      <c r="EL97" s="159"/>
      <c r="EM97" s="159"/>
      <c r="EN97" s="159"/>
      <c r="EO97" s="159"/>
      <c r="EP97" s="159"/>
      <c r="EQ97" s="159"/>
      <c r="ER97" s="159"/>
      <c r="ES97" s="159"/>
      <c r="ET97" s="159"/>
      <c r="EU97" s="159"/>
      <c r="EV97" s="159"/>
      <c r="EW97" s="159"/>
      <c r="EX97" s="159"/>
      <c r="EY97" s="159"/>
      <c r="EZ97" s="159"/>
      <c r="FA97" s="159"/>
      <c r="FB97" s="159"/>
      <c r="FC97" s="159"/>
      <c r="FD97" s="159"/>
      <c r="FE97" s="159"/>
      <c r="FF97" s="159"/>
      <c r="FG97" s="159"/>
      <c r="FH97" s="159"/>
      <c r="FI97" s="159"/>
      <c r="FJ97" s="159"/>
      <c r="FK97" s="159"/>
      <c r="FL97" s="159"/>
      <c r="FM97" s="159"/>
      <c r="FN97" s="159"/>
      <c r="FO97" s="159"/>
      <c r="FP97" s="159"/>
      <c r="FQ97" s="159"/>
      <c r="FR97" s="159"/>
      <c r="FS97" s="159"/>
      <c r="FT97" s="159"/>
      <c r="FU97" s="159"/>
      <c r="FV97" s="159"/>
      <c r="FW97" s="159"/>
      <c r="FX97" s="159"/>
      <c r="FY97" s="159"/>
      <c r="FZ97" s="159"/>
      <c r="GA97" s="159"/>
      <c r="GB97" s="159"/>
      <c r="GC97" s="159"/>
      <c r="GD97" s="159"/>
      <c r="GE97" s="159"/>
      <c r="GF97" s="159"/>
      <c r="GG97" s="159"/>
      <c r="GH97" s="159"/>
      <c r="GI97" s="159"/>
      <c r="GJ97" s="159"/>
      <c r="GK97" s="159"/>
      <c r="GL97" s="159"/>
      <c r="GM97" s="159"/>
      <c r="GN97" s="159"/>
      <c r="GO97" s="159"/>
      <c r="GP97" s="159"/>
      <c r="GQ97" s="159"/>
      <c r="GR97" s="159"/>
      <c r="GS97" s="159"/>
      <c r="GT97" s="159"/>
      <c r="GU97" s="159"/>
      <c r="GV97" s="159"/>
      <c r="GW97" s="159"/>
      <c r="GX97" s="159"/>
      <c r="GY97" s="159"/>
      <c r="GZ97" s="159"/>
      <c r="HA97" s="159"/>
      <c r="HB97" s="159"/>
      <c r="HC97" s="159"/>
      <c r="HD97" s="159"/>
      <c r="HE97" s="159"/>
      <c r="HF97" s="159"/>
      <c r="HG97" s="159"/>
      <c r="HH97" s="159"/>
      <c r="HI97" s="159"/>
      <c r="HJ97" s="159"/>
      <c r="HK97" s="159"/>
      <c r="HL97" s="159"/>
      <c r="HM97" s="159"/>
      <c r="HN97" s="159"/>
      <c r="HO97" s="159"/>
      <c r="HP97" s="159"/>
      <c r="HQ97" s="159"/>
      <c r="HR97" s="159"/>
      <c r="HS97" s="159"/>
      <c r="HT97" s="159"/>
      <c r="HU97" s="159"/>
      <c r="HV97" s="159"/>
      <c r="HW97" s="159"/>
      <c r="HX97" s="159"/>
      <c r="HY97" s="159"/>
      <c r="HZ97" s="159"/>
      <c r="IA97" s="159"/>
      <c r="IB97" s="159"/>
      <c r="IC97" s="159"/>
      <c r="ID97" s="159"/>
      <c r="IE97" s="159"/>
      <c r="IF97" s="159"/>
      <c r="IG97" s="159"/>
      <c r="IH97" s="159"/>
      <c r="II97" s="159"/>
      <c r="IJ97" s="159"/>
      <c r="IK97" s="159"/>
      <c r="IL97" s="159"/>
      <c r="IM97" s="159"/>
      <c r="IN97" s="159"/>
      <c r="IO97" s="159"/>
      <c r="IP97" s="159"/>
      <c r="IQ97" s="159"/>
      <c r="IR97" s="159"/>
      <c r="IS97" s="159"/>
      <c r="IT97" s="159"/>
      <c r="IU97" s="159"/>
      <c r="IV97" s="159"/>
      <c r="IW97" s="159"/>
      <c r="IX97" s="159"/>
      <c r="IY97" s="159"/>
      <c r="IZ97" s="159"/>
      <c r="JA97" s="159"/>
      <c r="JB97" s="159"/>
      <c r="JC97" s="159"/>
      <c r="JD97" s="159"/>
      <c r="JE97" s="159"/>
      <c r="JF97" s="159"/>
      <c r="JG97" s="159"/>
      <c r="JH97" s="159"/>
      <c r="JI97" s="159"/>
      <c r="JJ97" s="159"/>
      <c r="JK97" s="159"/>
      <c r="JL97" s="159"/>
      <c r="JM97" s="159"/>
      <c r="JN97" s="159"/>
      <c r="JO97" s="159"/>
      <c r="JP97" s="159"/>
      <c r="JQ97" s="159"/>
      <c r="JR97" s="159"/>
      <c r="JS97" s="159"/>
      <c r="JT97" s="159"/>
      <c r="JU97" s="159"/>
      <c r="JV97" s="159"/>
      <c r="JW97" s="159"/>
      <c r="JX97" s="159"/>
      <c r="JY97" s="159"/>
      <c r="JZ97" s="159"/>
      <c r="KA97" s="159"/>
      <c r="KB97" s="159"/>
      <c r="KC97" s="159"/>
      <c r="KD97" s="159"/>
      <c r="KE97" s="159"/>
      <c r="KF97" s="159"/>
      <c r="KG97" s="159"/>
      <c r="KH97" s="159"/>
      <c r="KI97" s="159"/>
      <c r="KJ97" s="159"/>
      <c r="KK97" s="159"/>
      <c r="KL97" s="159"/>
      <c r="KM97" s="159"/>
      <c r="KN97" s="159"/>
      <c r="KO97" s="159"/>
      <c r="KP97" s="159"/>
      <c r="KQ97" s="159"/>
      <c r="KR97" s="159"/>
      <c r="KS97" s="159"/>
      <c r="KT97" s="159"/>
      <c r="KU97" s="159"/>
      <c r="KV97" s="159"/>
      <c r="KW97" s="159"/>
      <c r="KX97" s="159"/>
      <c r="KY97" s="159"/>
      <c r="KZ97" s="159"/>
      <c r="LA97" s="159"/>
      <c r="LB97" s="159"/>
      <c r="LC97" s="159"/>
      <c r="LD97" s="159"/>
      <c r="LE97" s="159"/>
      <c r="LF97" s="159"/>
      <c r="LG97" s="159"/>
      <c r="LH97" s="159"/>
      <c r="LI97" s="159"/>
      <c r="LJ97" s="159"/>
      <c r="LK97" s="159"/>
      <c r="LL97" s="159"/>
      <c r="LM97" s="159"/>
      <c r="LN97" s="159"/>
      <c r="LO97" s="159"/>
      <c r="LP97" s="159"/>
      <c r="LQ97" s="159"/>
      <c r="LR97" s="159"/>
      <c r="LS97" s="159"/>
      <c r="LT97" s="159"/>
      <c r="LU97" s="159"/>
      <c r="LV97" s="159"/>
      <c r="LW97" s="159"/>
      <c r="LX97" s="159"/>
      <c r="LY97" s="159"/>
      <c r="LZ97" s="159"/>
      <c r="MA97" s="159"/>
      <c r="MB97" s="159"/>
      <c r="MC97" s="159"/>
      <c r="MD97" s="159"/>
      <c r="ME97" s="159"/>
      <c r="MF97" s="159"/>
      <c r="MG97" s="159"/>
      <c r="MH97" s="159"/>
      <c r="MI97" s="159"/>
      <c r="MJ97" s="159"/>
      <c r="MK97" s="159"/>
      <c r="ML97" s="159"/>
      <c r="MM97" s="159"/>
      <c r="MN97" s="159"/>
      <c r="MO97" s="159"/>
      <c r="MP97" s="159"/>
      <c r="MQ97" s="159"/>
      <c r="MR97" s="159"/>
      <c r="MS97" s="159"/>
      <c r="MT97" s="159"/>
      <c r="MU97" s="159"/>
      <c r="MV97" s="159"/>
      <c r="MW97" s="159"/>
      <c r="MX97" s="159"/>
      <c r="MY97" s="159"/>
      <c r="MZ97" s="159"/>
      <c r="NA97" s="159"/>
      <c r="NB97" s="159"/>
      <c r="NC97" s="159"/>
      <c r="ND97" s="159"/>
      <c r="NE97" s="159"/>
      <c r="NF97" s="159"/>
      <c r="NG97" s="159"/>
      <c r="NH97" s="159"/>
      <c r="NI97" s="159"/>
      <c r="NJ97" s="159"/>
      <c r="NK97" s="159"/>
      <c r="NL97" s="159"/>
      <c r="NM97" s="159"/>
      <c r="NN97" s="159"/>
      <c r="NO97" s="159"/>
      <c r="NP97" s="159"/>
      <c r="NQ97" s="159"/>
      <c r="NR97" s="159"/>
      <c r="NS97" s="159"/>
      <c r="NT97" s="159"/>
      <c r="NU97" s="159"/>
      <c r="NV97" s="159"/>
      <c r="NW97" s="159"/>
      <c r="NX97" s="159"/>
      <c r="NY97" s="159"/>
      <c r="NZ97" s="159"/>
      <c r="OA97" s="159"/>
      <c r="OB97" s="159"/>
      <c r="OC97" s="159"/>
      <c r="OD97" s="159"/>
      <c r="OE97" s="159"/>
      <c r="OF97" s="159"/>
      <c r="OG97" s="159"/>
      <c r="OH97" s="159"/>
      <c r="OI97" s="159"/>
      <c r="OJ97" s="159"/>
      <c r="OK97" s="159"/>
      <c r="OL97" s="159"/>
      <c r="OM97" s="159"/>
      <c r="ON97" s="159"/>
      <c r="OO97" s="159"/>
      <c r="OP97" s="159"/>
      <c r="OQ97" s="159"/>
      <c r="OR97" s="159"/>
      <c r="OS97" s="159"/>
      <c r="OT97" s="159"/>
      <c r="OU97" s="159"/>
      <c r="OV97" s="159"/>
      <c r="OW97" s="159"/>
      <c r="OX97" s="159"/>
      <c r="OY97" s="159"/>
      <c r="OZ97" s="159"/>
      <c r="PA97" s="159"/>
      <c r="PB97" s="159"/>
      <c r="PC97" s="159"/>
      <c r="PD97" s="159"/>
      <c r="PE97" s="159"/>
      <c r="PF97" s="159"/>
      <c r="PG97" s="159"/>
      <c r="PH97" s="159"/>
      <c r="PI97" s="159"/>
      <c r="PJ97" s="159"/>
      <c r="PK97" s="159"/>
      <c r="PL97" s="159"/>
      <c r="PM97" s="159"/>
      <c r="PN97" s="159"/>
      <c r="PO97" s="159"/>
      <c r="PP97" s="159"/>
      <c r="PQ97" s="159"/>
      <c r="PR97" s="159"/>
      <c r="PS97" s="159"/>
      <c r="PT97" s="159"/>
      <c r="PU97" s="159"/>
      <c r="PV97" s="159"/>
      <c r="PW97" s="159"/>
      <c r="PX97" s="159"/>
      <c r="PY97" s="159"/>
      <c r="PZ97" s="159"/>
      <c r="QA97" s="159"/>
      <c r="QB97" s="159"/>
      <c r="QC97" s="159"/>
      <c r="QD97" s="159"/>
      <c r="QE97" s="159"/>
      <c r="QF97" s="159"/>
      <c r="QG97" s="159"/>
      <c r="QH97" s="159"/>
      <c r="QI97" s="159"/>
      <c r="QJ97" s="159"/>
      <c r="QK97" s="159"/>
      <c r="QL97" s="159"/>
      <c r="QM97" s="159"/>
      <c r="QN97" s="159"/>
      <c r="QO97" s="159"/>
      <c r="QP97" s="159"/>
      <c r="QQ97" s="159"/>
      <c r="QR97" s="159"/>
      <c r="QS97" s="159"/>
      <c r="QT97" s="159"/>
      <c r="QU97" s="159"/>
      <c r="QV97" s="159"/>
      <c r="QW97" s="159"/>
      <c r="QX97" s="159"/>
      <c r="QY97" s="159"/>
      <c r="QZ97" s="159"/>
      <c r="RA97" s="159"/>
      <c r="RB97" s="159"/>
      <c r="RC97" s="159"/>
      <c r="RD97" s="159"/>
      <c r="RE97" s="159"/>
      <c r="RF97" s="159"/>
      <c r="RG97" s="159"/>
      <c r="RH97" s="159"/>
      <c r="RI97" s="159"/>
      <c r="RJ97" s="159"/>
      <c r="RK97" s="159"/>
      <c r="RL97" s="159"/>
      <c r="RM97" s="159"/>
      <c r="RN97" s="159"/>
      <c r="RO97" s="159"/>
      <c r="RP97" s="159"/>
      <c r="RQ97" s="159"/>
      <c r="RR97" s="159"/>
      <c r="RS97" s="159"/>
      <c r="RT97" s="159"/>
      <c r="RU97" s="159"/>
      <c r="RV97" s="159"/>
      <c r="RW97" s="159"/>
      <c r="RX97" s="159"/>
      <c r="RY97" s="159"/>
      <c r="RZ97" s="159"/>
      <c r="SA97" s="159"/>
      <c r="SB97" s="159"/>
      <c r="SC97" s="159"/>
      <c r="SD97" s="159"/>
      <c r="SE97" s="159"/>
      <c r="SF97" s="159"/>
      <c r="SG97" s="159"/>
      <c r="SH97" s="159"/>
      <c r="SI97" s="159"/>
      <c r="SJ97" s="159"/>
      <c r="SK97" s="159"/>
      <c r="SL97" s="159"/>
      <c r="SM97" s="159"/>
      <c r="SN97" s="159"/>
      <c r="SO97" s="159"/>
      <c r="SP97" s="159"/>
      <c r="SQ97" s="159"/>
      <c r="SR97" s="159"/>
      <c r="SS97" s="159"/>
      <c r="ST97" s="159"/>
      <c r="SU97" s="159"/>
      <c r="SV97" s="159"/>
      <c r="SW97" s="159"/>
      <c r="SX97" s="159"/>
      <c r="SY97" s="159"/>
      <c r="SZ97" s="159"/>
      <c r="TA97" s="159"/>
      <c r="TB97" s="159"/>
      <c r="TC97" s="159"/>
      <c r="TD97" s="159"/>
      <c r="TE97" s="159"/>
      <c r="TF97" s="159"/>
      <c r="TG97" s="159"/>
      <c r="TH97" s="159"/>
      <c r="TI97" s="159"/>
      <c r="TJ97" s="159"/>
      <c r="TK97" s="159"/>
      <c r="TL97" s="159"/>
      <c r="TM97" s="159"/>
      <c r="TN97" s="159"/>
      <c r="TO97" s="159"/>
      <c r="TP97" s="159"/>
      <c r="TQ97" s="159"/>
      <c r="TR97" s="159"/>
      <c r="TS97" s="159"/>
      <c r="TT97" s="159"/>
      <c r="TU97" s="159"/>
      <c r="TV97" s="159"/>
      <c r="TW97" s="159"/>
      <c r="TX97" s="159"/>
      <c r="TY97" s="159"/>
      <c r="TZ97" s="159"/>
      <c r="UA97" s="159"/>
      <c r="UB97" s="159"/>
      <c r="UC97" s="159"/>
      <c r="UD97" s="159"/>
      <c r="UE97" s="159"/>
      <c r="UF97" s="159"/>
      <c r="UG97" s="159"/>
      <c r="UH97" s="159"/>
      <c r="UI97" s="159"/>
      <c r="UJ97" s="159"/>
      <c r="UK97" s="159"/>
      <c r="UL97" s="159"/>
      <c r="UM97" s="159"/>
      <c r="UN97" s="159"/>
      <c r="UO97" s="159"/>
      <c r="UP97" s="159"/>
      <c r="UQ97" s="159"/>
      <c r="UR97" s="159"/>
      <c r="US97" s="159"/>
      <c r="UT97" s="159"/>
      <c r="UU97" s="159"/>
      <c r="UV97" s="159"/>
      <c r="UW97" s="159"/>
      <c r="UX97" s="159"/>
      <c r="UY97" s="159"/>
      <c r="UZ97" s="159"/>
      <c r="VA97" s="159"/>
      <c r="VB97" s="159"/>
      <c r="VC97" s="159"/>
      <c r="VD97" s="159"/>
      <c r="VE97" s="159"/>
      <c r="VF97" s="159"/>
      <c r="VG97" s="159"/>
      <c r="VH97" s="159"/>
      <c r="VI97" s="159"/>
      <c r="VJ97" s="159"/>
      <c r="VK97" s="159"/>
      <c r="VL97" s="159"/>
      <c r="VM97" s="159"/>
      <c r="VN97" s="159"/>
      <c r="VO97" s="159"/>
      <c r="VP97" s="159"/>
      <c r="VQ97" s="159"/>
      <c r="VR97" s="159"/>
      <c r="VS97" s="159"/>
      <c r="VT97" s="159"/>
      <c r="VU97" s="159"/>
      <c r="VV97" s="159"/>
      <c r="VW97" s="159"/>
      <c r="VX97" s="159"/>
      <c r="VY97" s="159"/>
      <c r="VZ97" s="159"/>
      <c r="WA97" s="159"/>
      <c r="WB97" s="159"/>
      <c r="WC97" s="159"/>
      <c r="WD97" s="159"/>
      <c r="WE97" s="159"/>
      <c r="WF97" s="159"/>
      <c r="WG97" s="159"/>
      <c r="WH97" s="159"/>
      <c r="WI97" s="159"/>
      <c r="WJ97" s="159"/>
      <c r="WK97" s="159"/>
      <c r="WL97" s="159"/>
      <c r="WM97" s="159"/>
      <c r="WN97" s="159"/>
      <c r="WO97" s="159"/>
      <c r="WP97" s="159"/>
      <c r="WQ97" s="159"/>
      <c r="WR97" s="159"/>
      <c r="WS97" s="159"/>
      <c r="WT97" s="159"/>
      <c r="WU97" s="159"/>
      <c r="WV97" s="159"/>
      <c r="WW97" s="159"/>
      <c r="WX97" s="159"/>
      <c r="WY97" s="159"/>
      <c r="WZ97" s="159"/>
      <c r="XA97" s="159"/>
      <c r="XB97" s="159"/>
      <c r="XC97" s="159"/>
      <c r="XD97" s="159"/>
      <c r="XE97" s="159"/>
      <c r="XF97" s="159"/>
      <c r="XG97" s="159"/>
      <c r="XH97" s="159"/>
      <c r="XI97" s="159"/>
      <c r="XJ97" s="159"/>
      <c r="XK97" s="159"/>
      <c r="XL97" s="159"/>
      <c r="XM97" s="159"/>
      <c r="XN97" s="159"/>
      <c r="XO97" s="159"/>
      <c r="XP97" s="159"/>
      <c r="XQ97" s="159"/>
      <c r="XR97" s="159"/>
      <c r="XS97" s="159"/>
      <c r="XT97" s="159"/>
      <c r="XU97" s="159"/>
      <c r="XV97" s="159"/>
      <c r="XW97" s="159"/>
      <c r="XX97" s="159"/>
      <c r="XY97" s="159"/>
      <c r="XZ97" s="159"/>
      <c r="YA97" s="159"/>
      <c r="YB97" s="159"/>
      <c r="YC97" s="159"/>
      <c r="YD97" s="159"/>
      <c r="YE97" s="159"/>
      <c r="YF97" s="159"/>
      <c r="YG97" s="159"/>
      <c r="YH97" s="159"/>
      <c r="YI97" s="159"/>
      <c r="YJ97" s="159"/>
      <c r="YK97" s="159"/>
      <c r="YL97" s="159"/>
      <c r="YM97" s="159"/>
      <c r="YN97" s="159"/>
      <c r="YO97" s="159"/>
      <c r="YP97" s="159"/>
      <c r="YQ97" s="159"/>
      <c r="YR97" s="159"/>
      <c r="YS97" s="159"/>
      <c r="YT97" s="159"/>
      <c r="YU97" s="159"/>
      <c r="YV97" s="159"/>
      <c r="YW97" s="159"/>
      <c r="YX97" s="159"/>
      <c r="YY97" s="159"/>
      <c r="YZ97" s="159"/>
      <c r="ZA97" s="159"/>
      <c r="ZB97" s="159"/>
      <c r="ZC97" s="159"/>
      <c r="ZD97" s="159"/>
      <c r="ZE97" s="159"/>
      <c r="ZF97" s="159"/>
      <c r="ZG97" s="159"/>
      <c r="ZH97" s="159"/>
      <c r="ZI97" s="159"/>
      <c r="ZJ97" s="159"/>
      <c r="ZK97" s="159"/>
      <c r="ZL97" s="159"/>
      <c r="ZM97" s="159"/>
      <c r="ZN97" s="159"/>
      <c r="ZO97" s="159"/>
      <c r="ZP97" s="159"/>
      <c r="ZQ97" s="159"/>
      <c r="ZR97" s="159"/>
      <c r="ZS97" s="159"/>
      <c r="ZT97" s="159"/>
      <c r="ZU97" s="159"/>
      <c r="ZV97" s="159"/>
      <c r="ZW97" s="159"/>
      <c r="ZX97" s="159"/>
      <c r="ZY97" s="159"/>
      <c r="ZZ97" s="159"/>
      <c r="AAA97" s="159"/>
      <c r="AAB97" s="159"/>
      <c r="AAC97" s="159"/>
      <c r="AAD97" s="159"/>
      <c r="AAE97" s="159"/>
      <c r="AAF97" s="159"/>
      <c r="AAG97" s="159"/>
      <c r="AAH97" s="159"/>
      <c r="AAI97" s="159"/>
      <c r="AAJ97" s="159"/>
      <c r="AAK97" s="159"/>
      <c r="AAL97" s="159"/>
      <c r="AAM97" s="159"/>
      <c r="AAN97" s="159"/>
      <c r="AAO97" s="159"/>
      <c r="AAP97" s="159"/>
      <c r="AAQ97" s="159"/>
      <c r="AAR97" s="159"/>
      <c r="AAS97" s="159"/>
      <c r="AAT97" s="159"/>
      <c r="AAU97" s="159"/>
      <c r="AAV97" s="159"/>
      <c r="AAW97" s="159"/>
      <c r="AAX97" s="159"/>
      <c r="AAY97" s="159"/>
      <c r="AAZ97" s="159"/>
      <c r="ABA97" s="159"/>
      <c r="ABB97" s="159"/>
      <c r="ABC97" s="159"/>
      <c r="ABD97" s="159"/>
      <c r="ABE97" s="159"/>
      <c r="ABF97" s="159"/>
      <c r="ABG97" s="159"/>
      <c r="ABH97" s="159"/>
      <c r="ABI97" s="159"/>
      <c r="ABJ97" s="159"/>
      <c r="ABK97" s="159"/>
      <c r="ABL97" s="159"/>
      <c r="ABM97" s="159"/>
      <c r="ABN97" s="159"/>
      <c r="ABO97" s="159"/>
      <c r="ABP97" s="159"/>
      <c r="ABQ97" s="159"/>
      <c r="ABR97" s="159"/>
      <c r="ABS97" s="159"/>
      <c r="ABT97" s="159"/>
      <c r="ABU97" s="159"/>
      <c r="ABV97" s="159"/>
      <c r="ABW97" s="159"/>
      <c r="ABX97" s="159"/>
      <c r="ABY97" s="159"/>
      <c r="ABZ97" s="159"/>
      <c r="ACA97" s="159"/>
      <c r="ACB97" s="159"/>
      <c r="ACC97" s="159"/>
      <c r="ACD97" s="159"/>
      <c r="ACE97" s="159"/>
      <c r="ACF97" s="159"/>
      <c r="ACG97" s="159"/>
      <c r="ACH97" s="159"/>
      <c r="ACI97" s="159"/>
      <c r="ACJ97" s="159"/>
      <c r="ACK97" s="159"/>
      <c r="ACL97" s="159"/>
      <c r="ACM97" s="159"/>
      <c r="ACN97" s="159"/>
      <c r="ACO97" s="159"/>
      <c r="ACP97" s="159"/>
      <c r="ACQ97" s="159"/>
      <c r="ACR97" s="159"/>
      <c r="ACS97" s="159"/>
      <c r="ACT97" s="159"/>
      <c r="ACU97" s="159"/>
      <c r="ACV97" s="159"/>
      <c r="ACW97" s="159"/>
      <c r="ACX97" s="159"/>
      <c r="ACY97" s="159"/>
      <c r="ACZ97" s="159"/>
      <c r="ADA97" s="159"/>
      <c r="ADB97" s="159"/>
      <c r="ADC97" s="159"/>
      <c r="ADD97" s="159"/>
      <c r="ADE97" s="159"/>
      <c r="ADF97" s="159"/>
      <c r="ADG97" s="159"/>
      <c r="ADH97" s="159"/>
      <c r="ADI97" s="159"/>
      <c r="ADJ97" s="159"/>
      <c r="ADK97" s="159"/>
      <c r="ADL97" s="159"/>
      <c r="ADM97" s="159"/>
      <c r="ADN97" s="159"/>
      <c r="ADO97" s="159"/>
      <c r="ADP97" s="159"/>
      <c r="ADQ97" s="159"/>
      <c r="ADR97" s="159"/>
      <c r="ADS97" s="159"/>
      <c r="ADT97" s="159"/>
      <c r="ADU97" s="159"/>
      <c r="ADV97" s="159"/>
      <c r="ADW97" s="159"/>
      <c r="ADX97" s="159"/>
      <c r="ADY97" s="159"/>
      <c r="ADZ97" s="159"/>
      <c r="AEA97" s="159"/>
      <c r="AEB97" s="159"/>
      <c r="AEC97" s="159"/>
      <c r="AED97" s="159"/>
      <c r="AEE97" s="159"/>
      <c r="AEF97" s="159"/>
      <c r="AEG97" s="159"/>
      <c r="AEH97" s="159"/>
      <c r="AEI97" s="159"/>
      <c r="AEJ97" s="159"/>
      <c r="AEK97" s="159"/>
      <c r="AEL97" s="159"/>
      <c r="AEM97" s="159"/>
      <c r="AEN97" s="159"/>
      <c r="AEO97" s="159"/>
      <c r="AEP97" s="159"/>
      <c r="AEQ97" s="159"/>
      <c r="AER97" s="159"/>
      <c r="AES97" s="159"/>
      <c r="AET97" s="159"/>
      <c r="AEU97" s="159"/>
      <c r="AEV97" s="159"/>
      <c r="AEW97" s="159"/>
      <c r="AEX97" s="159"/>
      <c r="AEY97" s="159"/>
      <c r="AEZ97" s="159"/>
      <c r="AFA97" s="159"/>
      <c r="AFB97" s="159"/>
      <c r="AFC97" s="159"/>
      <c r="AFD97" s="159"/>
      <c r="AFE97" s="159"/>
      <c r="AFF97" s="159"/>
      <c r="AFG97" s="159"/>
      <c r="AFH97" s="159"/>
      <c r="AFI97" s="159"/>
      <c r="AFJ97" s="159"/>
      <c r="AFK97" s="159"/>
      <c r="AFL97" s="159"/>
      <c r="AFM97" s="159"/>
      <c r="AFN97" s="159"/>
      <c r="AFO97" s="159"/>
      <c r="AFP97" s="159"/>
      <c r="AFQ97" s="159"/>
      <c r="AFR97" s="159"/>
      <c r="AFS97" s="159"/>
      <c r="AFT97" s="159"/>
      <c r="AFU97" s="159"/>
      <c r="AFV97" s="159"/>
      <c r="AFW97" s="159"/>
      <c r="AFX97" s="159"/>
      <c r="AFY97" s="159"/>
      <c r="AFZ97" s="159"/>
      <c r="AGA97" s="159"/>
      <c r="AGB97" s="159"/>
      <c r="AGC97" s="159"/>
      <c r="AGD97" s="159"/>
      <c r="AGE97" s="159"/>
      <c r="AGF97" s="159"/>
      <c r="AGG97" s="159"/>
      <c r="AGH97" s="159"/>
      <c r="AGI97" s="159"/>
      <c r="AGJ97" s="159"/>
      <c r="AGK97" s="159"/>
      <c r="AGL97" s="159"/>
      <c r="AGM97" s="159"/>
      <c r="AGN97" s="159"/>
      <c r="AGO97" s="159"/>
      <c r="AGP97" s="159"/>
      <c r="AGQ97" s="159"/>
      <c r="AGR97" s="159"/>
      <c r="AGS97" s="159"/>
      <c r="AGT97" s="159"/>
      <c r="AGU97" s="159"/>
      <c r="AGV97" s="159"/>
      <c r="AGW97" s="159"/>
      <c r="AGX97" s="159"/>
      <c r="AGY97" s="159"/>
      <c r="AGZ97" s="159"/>
      <c r="AHA97" s="159"/>
      <c r="AHB97" s="159"/>
      <c r="AHC97" s="159"/>
      <c r="AHD97" s="159"/>
      <c r="AHE97" s="159"/>
      <c r="AHF97" s="159"/>
      <c r="AHG97" s="159"/>
      <c r="AHH97" s="159"/>
      <c r="AHI97" s="159"/>
      <c r="AHJ97" s="159"/>
      <c r="AHK97" s="159"/>
      <c r="AHL97" s="159"/>
      <c r="AHM97" s="159"/>
      <c r="AHN97" s="159"/>
      <c r="AHO97" s="159"/>
      <c r="AHP97" s="159"/>
      <c r="AHQ97" s="159"/>
      <c r="AHR97" s="159"/>
      <c r="AHS97" s="159"/>
      <c r="AHT97" s="159"/>
      <c r="AHU97" s="159"/>
      <c r="AHV97" s="159"/>
      <c r="AHW97" s="159"/>
      <c r="AHX97" s="159"/>
      <c r="AHY97" s="159"/>
      <c r="AHZ97" s="159"/>
      <c r="AIA97" s="159"/>
      <c r="AIB97" s="159"/>
      <c r="AIC97" s="159"/>
      <c r="AID97" s="159"/>
      <c r="AIE97" s="159"/>
      <c r="AIF97" s="159"/>
      <c r="AIG97" s="159"/>
      <c r="AIH97" s="159"/>
      <c r="AII97" s="159"/>
      <c r="AIJ97" s="159"/>
      <c r="AIK97" s="159"/>
      <c r="AIL97" s="159"/>
      <c r="AIM97" s="159"/>
      <c r="AIN97" s="159"/>
      <c r="AIO97" s="159"/>
      <c r="AIP97" s="159"/>
      <c r="AIQ97" s="159"/>
      <c r="AIR97" s="159"/>
      <c r="AIS97" s="159"/>
      <c r="AIT97" s="159"/>
      <c r="AIU97" s="159"/>
      <c r="AIV97" s="159"/>
      <c r="AIW97" s="159"/>
      <c r="AIX97" s="159"/>
      <c r="AIY97" s="159"/>
      <c r="AIZ97" s="159"/>
      <c r="AJA97" s="159"/>
      <c r="AJB97" s="159"/>
      <c r="AJC97" s="159"/>
      <c r="AJD97" s="159"/>
      <c r="AJE97" s="159"/>
      <c r="AJF97" s="159"/>
      <c r="AJG97" s="159"/>
      <c r="AJH97" s="159"/>
      <c r="AJI97" s="159"/>
      <c r="AJJ97" s="159"/>
      <c r="AJK97" s="159"/>
      <c r="AJL97" s="159"/>
      <c r="AJM97" s="159"/>
      <c r="AJN97" s="159"/>
      <c r="AJO97" s="159"/>
      <c r="AJP97" s="159"/>
      <c r="AJQ97" s="159"/>
      <c r="AJR97" s="159"/>
      <c r="AJS97" s="159"/>
      <c r="AJT97" s="159"/>
      <c r="AJU97" s="159"/>
      <c r="AJV97" s="159"/>
      <c r="AJW97" s="159"/>
      <c r="AJX97" s="159"/>
      <c r="AJY97" s="159"/>
      <c r="AJZ97" s="159"/>
      <c r="AKA97" s="159"/>
      <c r="AKB97" s="159"/>
      <c r="AKC97" s="159"/>
      <c r="AKD97" s="159"/>
      <c r="AKE97" s="159"/>
      <c r="AKF97" s="159"/>
      <c r="AKG97" s="159"/>
      <c r="AKH97" s="159"/>
      <c r="AKI97" s="159"/>
      <c r="AKJ97" s="159"/>
      <c r="AKK97" s="159"/>
      <c r="AKL97" s="159"/>
      <c r="AKM97" s="159"/>
      <c r="AKN97" s="159"/>
      <c r="AKO97" s="159"/>
      <c r="AKP97" s="159"/>
      <c r="AKQ97" s="159"/>
      <c r="AKR97" s="159"/>
      <c r="AKS97" s="159"/>
      <c r="AKT97" s="159"/>
      <c r="AKU97" s="159"/>
      <c r="AKV97" s="159"/>
      <c r="AKW97" s="159"/>
      <c r="AKX97" s="159"/>
      <c r="AKY97" s="159"/>
      <c r="AKZ97" s="159"/>
      <c r="ALA97" s="159"/>
      <c r="ALB97" s="159"/>
      <c r="ALC97" s="159"/>
      <c r="ALD97" s="159"/>
      <c r="ALE97" s="159"/>
      <c r="ALF97" s="159"/>
      <c r="ALG97" s="159"/>
      <c r="ALH97" s="159"/>
      <c r="ALI97" s="159"/>
      <c r="ALJ97" s="159"/>
      <c r="ALK97" s="159"/>
      <c r="ALL97" s="159"/>
      <c r="ALM97" s="159"/>
      <c r="ALN97" s="159"/>
      <c r="ALO97" s="159"/>
      <c r="ALP97" s="159"/>
      <c r="ALQ97" s="159"/>
      <c r="ALR97" s="159"/>
      <c r="ALS97" s="159"/>
      <c r="ALT97" s="159"/>
      <c r="ALU97" s="159"/>
      <c r="ALV97" s="159"/>
      <c r="ALW97" s="159"/>
      <c r="ALX97" s="159"/>
      <c r="ALY97" s="159"/>
      <c r="ALZ97" s="159"/>
      <c r="AMA97" s="159"/>
      <c r="AMB97" s="159"/>
      <c r="AMC97" s="159"/>
      <c r="AMD97" s="159"/>
      <c r="AME97" s="159"/>
      <c r="AMF97" s="159"/>
      <c r="AMG97" s="159"/>
      <c r="AMH97" s="159"/>
      <c r="AMI97" s="159"/>
      <c r="AMJ97" s="159"/>
      <c r="AMK97" s="159"/>
      <c r="AML97" s="159"/>
      <c r="AMM97" s="159"/>
      <c r="AMN97" s="159"/>
      <c r="AMO97" s="159"/>
    </row>
    <row r="98" spans="1:1029" s="161" customFormat="1" ht="26.25" thickBot="1" x14ac:dyDescent="0.3">
      <c r="A98" s="127">
        <v>46157</v>
      </c>
      <c r="B98" s="151" t="s">
        <v>50</v>
      </c>
      <c r="C98" s="151" t="s">
        <v>57</v>
      </c>
      <c r="D98" s="162" t="s">
        <v>31</v>
      </c>
      <c r="E98" s="150" t="s">
        <v>138</v>
      </c>
      <c r="F98" s="151" t="s">
        <v>10</v>
      </c>
      <c r="G98" s="151" t="s">
        <v>11</v>
      </c>
      <c r="H98" s="145" t="b">
        <f t="shared" si="8"/>
        <v>0</v>
      </c>
      <c r="I98" s="130" t="s">
        <v>87</v>
      </c>
      <c r="J98" s="131" t="s">
        <v>36</v>
      </c>
      <c r="K98" s="131" t="s">
        <v>34</v>
      </c>
      <c r="L98" s="145" t="b">
        <f t="shared" si="9"/>
        <v>0</v>
      </c>
      <c r="M98" s="131" t="s">
        <v>253</v>
      </c>
      <c r="N98" s="131" t="s">
        <v>10</v>
      </c>
      <c r="O98" s="131" t="s">
        <v>11</v>
      </c>
      <c r="P98" s="145" t="b">
        <f t="shared" si="10"/>
        <v>0</v>
      </c>
      <c r="Q98" s="152" t="s">
        <v>35</v>
      </c>
      <c r="R98" s="151" t="s">
        <v>51</v>
      </c>
      <c r="S98" s="151" t="s">
        <v>69</v>
      </c>
      <c r="T98" s="145" t="b">
        <f t="shared" si="11"/>
        <v>0</v>
      </c>
      <c r="U98" s="159"/>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59"/>
      <c r="AT98" s="159"/>
      <c r="AU98" s="159"/>
      <c r="AV98" s="159"/>
      <c r="AW98" s="159"/>
      <c r="AX98" s="159"/>
      <c r="AY98" s="159"/>
      <c r="AZ98" s="159"/>
      <c r="BA98" s="159"/>
      <c r="BB98" s="159"/>
      <c r="BC98" s="159"/>
      <c r="BD98" s="159"/>
      <c r="BE98" s="159"/>
      <c r="BF98" s="159"/>
      <c r="BG98" s="159"/>
      <c r="BH98" s="159"/>
      <c r="BI98" s="159"/>
      <c r="BJ98" s="159"/>
      <c r="BK98" s="159"/>
      <c r="BL98" s="159"/>
      <c r="BM98" s="159"/>
      <c r="BN98" s="159"/>
      <c r="BO98" s="159"/>
      <c r="BP98" s="159"/>
      <c r="BQ98" s="159"/>
      <c r="BR98" s="159"/>
      <c r="BS98" s="159"/>
      <c r="BT98" s="159"/>
      <c r="BU98" s="159"/>
      <c r="BV98" s="159"/>
      <c r="BW98" s="159"/>
      <c r="BX98" s="159"/>
      <c r="BY98" s="159"/>
      <c r="BZ98" s="159"/>
      <c r="CA98" s="159"/>
      <c r="CB98" s="159"/>
      <c r="CC98" s="159"/>
      <c r="CD98" s="159"/>
      <c r="CE98" s="159"/>
      <c r="CF98" s="159"/>
      <c r="CG98" s="159"/>
      <c r="CH98" s="159"/>
      <c r="CI98" s="159"/>
      <c r="CJ98" s="159"/>
      <c r="CK98" s="159"/>
      <c r="CL98" s="159"/>
      <c r="CM98" s="159"/>
      <c r="CN98" s="159"/>
      <c r="CO98" s="159"/>
      <c r="CP98" s="159"/>
      <c r="CQ98" s="159"/>
      <c r="CR98" s="159"/>
      <c r="CS98" s="159"/>
      <c r="CT98" s="159"/>
      <c r="CU98" s="159"/>
      <c r="CV98" s="159"/>
      <c r="CW98" s="159"/>
      <c r="CX98" s="159"/>
      <c r="CY98" s="159"/>
      <c r="CZ98" s="159"/>
      <c r="DA98" s="159"/>
      <c r="DB98" s="159"/>
      <c r="DC98" s="159"/>
      <c r="DD98" s="159"/>
      <c r="DE98" s="159"/>
      <c r="DF98" s="159"/>
      <c r="DG98" s="159"/>
      <c r="DH98" s="159"/>
      <c r="DI98" s="159"/>
      <c r="DJ98" s="159"/>
      <c r="DK98" s="159"/>
      <c r="DL98" s="159"/>
      <c r="DM98" s="159"/>
      <c r="DN98" s="159"/>
      <c r="DO98" s="159"/>
      <c r="DP98" s="159"/>
      <c r="DQ98" s="159"/>
      <c r="DR98" s="159"/>
      <c r="DS98" s="159"/>
      <c r="DT98" s="159"/>
      <c r="DU98" s="159"/>
      <c r="DV98" s="159"/>
      <c r="DW98" s="159"/>
      <c r="DX98" s="159"/>
      <c r="DY98" s="159"/>
      <c r="DZ98" s="159"/>
      <c r="EA98" s="159"/>
      <c r="EB98" s="159"/>
      <c r="EC98" s="159"/>
      <c r="ED98" s="159"/>
      <c r="EE98" s="159"/>
      <c r="EF98" s="159"/>
      <c r="EG98" s="159"/>
      <c r="EH98" s="159"/>
      <c r="EI98" s="159"/>
      <c r="EJ98" s="159"/>
      <c r="EK98" s="159"/>
      <c r="EL98" s="159"/>
      <c r="EM98" s="159"/>
      <c r="EN98" s="159"/>
      <c r="EO98" s="159"/>
      <c r="EP98" s="159"/>
      <c r="EQ98" s="159"/>
      <c r="ER98" s="159"/>
      <c r="ES98" s="159"/>
      <c r="ET98" s="159"/>
      <c r="EU98" s="159"/>
      <c r="EV98" s="159"/>
      <c r="EW98" s="159"/>
      <c r="EX98" s="159"/>
      <c r="EY98" s="159"/>
      <c r="EZ98" s="159"/>
      <c r="FA98" s="159"/>
      <c r="FB98" s="159"/>
      <c r="FC98" s="159"/>
      <c r="FD98" s="159"/>
      <c r="FE98" s="159"/>
      <c r="FF98" s="159"/>
      <c r="FG98" s="159"/>
      <c r="FH98" s="159"/>
      <c r="FI98" s="159"/>
      <c r="FJ98" s="159"/>
      <c r="FK98" s="159"/>
      <c r="FL98" s="159"/>
      <c r="FM98" s="159"/>
      <c r="FN98" s="159"/>
      <c r="FO98" s="159"/>
      <c r="FP98" s="159"/>
      <c r="FQ98" s="159"/>
      <c r="FR98" s="159"/>
      <c r="FS98" s="159"/>
      <c r="FT98" s="159"/>
      <c r="FU98" s="159"/>
      <c r="FV98" s="159"/>
      <c r="FW98" s="159"/>
      <c r="FX98" s="159"/>
      <c r="FY98" s="159"/>
      <c r="FZ98" s="159"/>
      <c r="GA98" s="159"/>
      <c r="GB98" s="159"/>
      <c r="GC98" s="159"/>
      <c r="GD98" s="159"/>
      <c r="GE98" s="159"/>
      <c r="GF98" s="159"/>
      <c r="GG98" s="159"/>
      <c r="GH98" s="159"/>
      <c r="GI98" s="159"/>
      <c r="GJ98" s="159"/>
      <c r="GK98" s="159"/>
      <c r="GL98" s="159"/>
      <c r="GM98" s="159"/>
      <c r="GN98" s="159"/>
      <c r="GO98" s="159"/>
      <c r="GP98" s="159"/>
      <c r="GQ98" s="159"/>
      <c r="GR98" s="159"/>
      <c r="GS98" s="159"/>
      <c r="GT98" s="159"/>
      <c r="GU98" s="159"/>
      <c r="GV98" s="159"/>
      <c r="GW98" s="159"/>
      <c r="GX98" s="159"/>
      <c r="GY98" s="159"/>
      <c r="GZ98" s="159"/>
      <c r="HA98" s="159"/>
      <c r="HB98" s="159"/>
      <c r="HC98" s="159"/>
      <c r="HD98" s="159"/>
      <c r="HE98" s="159"/>
      <c r="HF98" s="159"/>
      <c r="HG98" s="159"/>
      <c r="HH98" s="159"/>
      <c r="HI98" s="159"/>
      <c r="HJ98" s="159"/>
      <c r="HK98" s="159"/>
      <c r="HL98" s="159"/>
      <c r="HM98" s="159"/>
      <c r="HN98" s="159"/>
      <c r="HO98" s="159"/>
      <c r="HP98" s="159"/>
      <c r="HQ98" s="159"/>
      <c r="HR98" s="159"/>
      <c r="HS98" s="159"/>
      <c r="HT98" s="159"/>
      <c r="HU98" s="159"/>
      <c r="HV98" s="159"/>
      <c r="HW98" s="159"/>
      <c r="HX98" s="159"/>
      <c r="HY98" s="159"/>
      <c r="HZ98" s="159"/>
      <c r="IA98" s="159"/>
      <c r="IB98" s="159"/>
      <c r="IC98" s="159"/>
      <c r="ID98" s="159"/>
      <c r="IE98" s="159"/>
      <c r="IF98" s="159"/>
      <c r="IG98" s="159"/>
      <c r="IH98" s="159"/>
      <c r="II98" s="159"/>
      <c r="IJ98" s="159"/>
      <c r="IK98" s="159"/>
      <c r="IL98" s="159"/>
      <c r="IM98" s="159"/>
      <c r="IN98" s="159"/>
      <c r="IO98" s="159"/>
      <c r="IP98" s="159"/>
      <c r="IQ98" s="159"/>
      <c r="IR98" s="159"/>
      <c r="IS98" s="159"/>
      <c r="IT98" s="159"/>
      <c r="IU98" s="159"/>
      <c r="IV98" s="159"/>
      <c r="IW98" s="159"/>
      <c r="IX98" s="159"/>
      <c r="IY98" s="159"/>
      <c r="IZ98" s="159"/>
      <c r="JA98" s="159"/>
      <c r="JB98" s="159"/>
      <c r="JC98" s="159"/>
      <c r="JD98" s="159"/>
      <c r="JE98" s="159"/>
      <c r="JF98" s="159"/>
      <c r="JG98" s="159"/>
      <c r="JH98" s="159"/>
      <c r="JI98" s="159"/>
      <c r="JJ98" s="159"/>
      <c r="JK98" s="159"/>
      <c r="JL98" s="159"/>
      <c r="JM98" s="159"/>
      <c r="JN98" s="159"/>
      <c r="JO98" s="159"/>
      <c r="JP98" s="159"/>
      <c r="JQ98" s="159"/>
      <c r="JR98" s="159"/>
      <c r="JS98" s="159"/>
      <c r="JT98" s="159"/>
      <c r="JU98" s="159"/>
      <c r="JV98" s="159"/>
      <c r="JW98" s="159"/>
      <c r="JX98" s="159"/>
      <c r="JY98" s="159"/>
      <c r="JZ98" s="159"/>
      <c r="KA98" s="159"/>
      <c r="KB98" s="159"/>
      <c r="KC98" s="159"/>
      <c r="KD98" s="159"/>
      <c r="KE98" s="159"/>
      <c r="KF98" s="159"/>
      <c r="KG98" s="159"/>
      <c r="KH98" s="159"/>
      <c r="KI98" s="159"/>
      <c r="KJ98" s="159"/>
      <c r="KK98" s="159"/>
      <c r="KL98" s="159"/>
      <c r="KM98" s="159"/>
      <c r="KN98" s="159"/>
      <c r="KO98" s="159"/>
      <c r="KP98" s="159"/>
      <c r="KQ98" s="159"/>
      <c r="KR98" s="159"/>
      <c r="KS98" s="159"/>
      <c r="KT98" s="159"/>
      <c r="KU98" s="159"/>
      <c r="KV98" s="159"/>
      <c r="KW98" s="159"/>
      <c r="KX98" s="159"/>
      <c r="KY98" s="159"/>
      <c r="KZ98" s="159"/>
      <c r="LA98" s="159"/>
      <c r="LB98" s="159"/>
      <c r="LC98" s="159"/>
      <c r="LD98" s="159"/>
      <c r="LE98" s="159"/>
      <c r="LF98" s="159"/>
      <c r="LG98" s="159"/>
      <c r="LH98" s="159"/>
      <c r="LI98" s="159"/>
      <c r="LJ98" s="159"/>
      <c r="LK98" s="159"/>
      <c r="LL98" s="159"/>
      <c r="LM98" s="159"/>
      <c r="LN98" s="159"/>
      <c r="LO98" s="159"/>
      <c r="LP98" s="159"/>
      <c r="LQ98" s="159"/>
      <c r="LR98" s="159"/>
      <c r="LS98" s="159"/>
      <c r="LT98" s="159"/>
      <c r="LU98" s="159"/>
      <c r="LV98" s="159"/>
      <c r="LW98" s="159"/>
      <c r="LX98" s="159"/>
      <c r="LY98" s="159"/>
      <c r="LZ98" s="159"/>
      <c r="MA98" s="159"/>
      <c r="MB98" s="159"/>
      <c r="MC98" s="159"/>
      <c r="MD98" s="159"/>
      <c r="ME98" s="159"/>
      <c r="MF98" s="159"/>
      <c r="MG98" s="159"/>
      <c r="MH98" s="159"/>
      <c r="MI98" s="159"/>
      <c r="MJ98" s="159"/>
      <c r="MK98" s="159"/>
      <c r="ML98" s="159"/>
      <c r="MM98" s="159"/>
      <c r="MN98" s="159"/>
      <c r="MO98" s="159"/>
      <c r="MP98" s="159"/>
      <c r="MQ98" s="159"/>
      <c r="MR98" s="159"/>
      <c r="MS98" s="159"/>
      <c r="MT98" s="159"/>
      <c r="MU98" s="159"/>
      <c r="MV98" s="159"/>
      <c r="MW98" s="159"/>
      <c r="MX98" s="159"/>
      <c r="MY98" s="159"/>
      <c r="MZ98" s="159"/>
      <c r="NA98" s="159"/>
      <c r="NB98" s="159"/>
      <c r="NC98" s="159"/>
      <c r="ND98" s="159"/>
      <c r="NE98" s="159"/>
      <c r="NF98" s="159"/>
      <c r="NG98" s="159"/>
      <c r="NH98" s="159"/>
      <c r="NI98" s="159"/>
      <c r="NJ98" s="159"/>
      <c r="NK98" s="159"/>
      <c r="NL98" s="159"/>
      <c r="NM98" s="159"/>
      <c r="NN98" s="159"/>
      <c r="NO98" s="159"/>
      <c r="NP98" s="159"/>
      <c r="NQ98" s="159"/>
      <c r="NR98" s="159"/>
      <c r="NS98" s="159"/>
      <c r="NT98" s="159"/>
      <c r="NU98" s="159"/>
      <c r="NV98" s="159"/>
      <c r="NW98" s="159"/>
      <c r="NX98" s="159"/>
      <c r="NY98" s="159"/>
      <c r="NZ98" s="159"/>
      <c r="OA98" s="159"/>
      <c r="OB98" s="159"/>
      <c r="OC98" s="159"/>
      <c r="OD98" s="159"/>
      <c r="OE98" s="159"/>
      <c r="OF98" s="159"/>
      <c r="OG98" s="159"/>
      <c r="OH98" s="159"/>
      <c r="OI98" s="159"/>
      <c r="OJ98" s="159"/>
      <c r="OK98" s="159"/>
      <c r="OL98" s="159"/>
      <c r="OM98" s="159"/>
      <c r="ON98" s="159"/>
      <c r="OO98" s="159"/>
      <c r="OP98" s="159"/>
      <c r="OQ98" s="159"/>
      <c r="OR98" s="159"/>
      <c r="OS98" s="159"/>
      <c r="OT98" s="159"/>
      <c r="OU98" s="159"/>
      <c r="OV98" s="159"/>
      <c r="OW98" s="159"/>
      <c r="OX98" s="159"/>
      <c r="OY98" s="159"/>
      <c r="OZ98" s="159"/>
      <c r="PA98" s="159"/>
      <c r="PB98" s="159"/>
      <c r="PC98" s="159"/>
      <c r="PD98" s="159"/>
      <c r="PE98" s="159"/>
      <c r="PF98" s="159"/>
      <c r="PG98" s="159"/>
      <c r="PH98" s="159"/>
      <c r="PI98" s="159"/>
      <c r="PJ98" s="159"/>
      <c r="PK98" s="159"/>
      <c r="PL98" s="159"/>
      <c r="PM98" s="159"/>
      <c r="PN98" s="159"/>
      <c r="PO98" s="159"/>
      <c r="PP98" s="159"/>
      <c r="PQ98" s="159"/>
      <c r="PR98" s="159"/>
      <c r="PS98" s="159"/>
      <c r="PT98" s="159"/>
      <c r="PU98" s="159"/>
      <c r="PV98" s="159"/>
      <c r="PW98" s="159"/>
      <c r="PX98" s="159"/>
      <c r="PY98" s="159"/>
      <c r="PZ98" s="159"/>
      <c r="QA98" s="159"/>
      <c r="QB98" s="159"/>
      <c r="QC98" s="159"/>
      <c r="QD98" s="159"/>
      <c r="QE98" s="159"/>
      <c r="QF98" s="159"/>
      <c r="QG98" s="159"/>
      <c r="QH98" s="159"/>
      <c r="QI98" s="159"/>
      <c r="QJ98" s="159"/>
      <c r="QK98" s="159"/>
      <c r="QL98" s="159"/>
      <c r="QM98" s="159"/>
      <c r="QN98" s="159"/>
      <c r="QO98" s="159"/>
      <c r="QP98" s="159"/>
      <c r="QQ98" s="159"/>
      <c r="QR98" s="159"/>
      <c r="QS98" s="159"/>
      <c r="QT98" s="159"/>
      <c r="QU98" s="159"/>
      <c r="QV98" s="159"/>
      <c r="QW98" s="159"/>
      <c r="QX98" s="159"/>
      <c r="QY98" s="159"/>
      <c r="QZ98" s="159"/>
      <c r="RA98" s="159"/>
      <c r="RB98" s="159"/>
      <c r="RC98" s="159"/>
      <c r="RD98" s="159"/>
      <c r="RE98" s="159"/>
      <c r="RF98" s="159"/>
      <c r="RG98" s="159"/>
      <c r="RH98" s="159"/>
      <c r="RI98" s="159"/>
      <c r="RJ98" s="159"/>
      <c r="RK98" s="159"/>
      <c r="RL98" s="159"/>
      <c r="RM98" s="159"/>
      <c r="RN98" s="159"/>
      <c r="RO98" s="159"/>
      <c r="RP98" s="159"/>
      <c r="RQ98" s="159"/>
      <c r="RR98" s="159"/>
      <c r="RS98" s="159"/>
      <c r="RT98" s="159"/>
      <c r="RU98" s="159"/>
      <c r="RV98" s="159"/>
      <c r="RW98" s="159"/>
      <c r="RX98" s="159"/>
      <c r="RY98" s="159"/>
      <c r="RZ98" s="159"/>
      <c r="SA98" s="159"/>
      <c r="SB98" s="159"/>
      <c r="SC98" s="159"/>
      <c r="SD98" s="159"/>
      <c r="SE98" s="159"/>
      <c r="SF98" s="159"/>
      <c r="SG98" s="159"/>
      <c r="SH98" s="159"/>
      <c r="SI98" s="159"/>
      <c r="SJ98" s="159"/>
      <c r="SK98" s="159"/>
      <c r="SL98" s="159"/>
      <c r="SM98" s="159"/>
      <c r="SN98" s="159"/>
      <c r="SO98" s="159"/>
      <c r="SP98" s="159"/>
      <c r="SQ98" s="159"/>
      <c r="SR98" s="159"/>
      <c r="SS98" s="159"/>
      <c r="ST98" s="159"/>
      <c r="SU98" s="159"/>
      <c r="SV98" s="159"/>
      <c r="SW98" s="159"/>
      <c r="SX98" s="159"/>
      <c r="SY98" s="159"/>
      <c r="SZ98" s="159"/>
      <c r="TA98" s="159"/>
      <c r="TB98" s="159"/>
      <c r="TC98" s="159"/>
      <c r="TD98" s="159"/>
      <c r="TE98" s="159"/>
      <c r="TF98" s="159"/>
      <c r="TG98" s="159"/>
      <c r="TH98" s="159"/>
      <c r="TI98" s="159"/>
      <c r="TJ98" s="159"/>
      <c r="TK98" s="159"/>
      <c r="TL98" s="159"/>
      <c r="TM98" s="159"/>
      <c r="TN98" s="159"/>
      <c r="TO98" s="159"/>
      <c r="TP98" s="159"/>
      <c r="TQ98" s="159"/>
      <c r="TR98" s="159"/>
      <c r="TS98" s="159"/>
      <c r="TT98" s="159"/>
      <c r="TU98" s="159"/>
      <c r="TV98" s="159"/>
      <c r="TW98" s="159"/>
      <c r="TX98" s="159"/>
      <c r="TY98" s="159"/>
      <c r="TZ98" s="159"/>
      <c r="UA98" s="159"/>
      <c r="UB98" s="159"/>
      <c r="UC98" s="159"/>
      <c r="UD98" s="159"/>
      <c r="UE98" s="159"/>
      <c r="UF98" s="159"/>
      <c r="UG98" s="159"/>
      <c r="UH98" s="159"/>
      <c r="UI98" s="159"/>
      <c r="UJ98" s="159"/>
      <c r="UK98" s="159"/>
      <c r="UL98" s="159"/>
      <c r="UM98" s="159"/>
      <c r="UN98" s="159"/>
      <c r="UO98" s="159"/>
      <c r="UP98" s="159"/>
      <c r="UQ98" s="159"/>
      <c r="UR98" s="159"/>
      <c r="US98" s="159"/>
      <c r="UT98" s="159"/>
      <c r="UU98" s="159"/>
      <c r="UV98" s="159"/>
      <c r="UW98" s="159"/>
      <c r="UX98" s="159"/>
      <c r="UY98" s="159"/>
      <c r="UZ98" s="159"/>
      <c r="VA98" s="159"/>
      <c r="VB98" s="159"/>
      <c r="VC98" s="159"/>
      <c r="VD98" s="159"/>
      <c r="VE98" s="159"/>
      <c r="VF98" s="159"/>
      <c r="VG98" s="159"/>
      <c r="VH98" s="159"/>
      <c r="VI98" s="159"/>
      <c r="VJ98" s="159"/>
      <c r="VK98" s="159"/>
      <c r="VL98" s="159"/>
      <c r="VM98" s="159"/>
      <c r="VN98" s="159"/>
      <c r="VO98" s="159"/>
      <c r="VP98" s="159"/>
      <c r="VQ98" s="159"/>
      <c r="VR98" s="159"/>
      <c r="VS98" s="159"/>
      <c r="VT98" s="159"/>
      <c r="VU98" s="159"/>
      <c r="VV98" s="159"/>
      <c r="VW98" s="159"/>
      <c r="VX98" s="159"/>
      <c r="VY98" s="159"/>
      <c r="VZ98" s="159"/>
      <c r="WA98" s="159"/>
      <c r="WB98" s="159"/>
      <c r="WC98" s="159"/>
      <c r="WD98" s="159"/>
      <c r="WE98" s="159"/>
      <c r="WF98" s="159"/>
      <c r="WG98" s="159"/>
      <c r="WH98" s="159"/>
      <c r="WI98" s="159"/>
      <c r="WJ98" s="159"/>
      <c r="WK98" s="159"/>
      <c r="WL98" s="159"/>
      <c r="WM98" s="159"/>
      <c r="WN98" s="159"/>
      <c r="WO98" s="159"/>
      <c r="WP98" s="159"/>
      <c r="WQ98" s="159"/>
      <c r="WR98" s="159"/>
      <c r="WS98" s="159"/>
      <c r="WT98" s="159"/>
      <c r="WU98" s="159"/>
      <c r="WV98" s="159"/>
      <c r="WW98" s="159"/>
      <c r="WX98" s="159"/>
      <c r="WY98" s="159"/>
      <c r="WZ98" s="159"/>
      <c r="XA98" s="159"/>
      <c r="XB98" s="159"/>
      <c r="XC98" s="159"/>
      <c r="XD98" s="159"/>
      <c r="XE98" s="159"/>
      <c r="XF98" s="159"/>
      <c r="XG98" s="159"/>
      <c r="XH98" s="159"/>
      <c r="XI98" s="159"/>
      <c r="XJ98" s="159"/>
      <c r="XK98" s="159"/>
      <c r="XL98" s="159"/>
      <c r="XM98" s="159"/>
      <c r="XN98" s="159"/>
      <c r="XO98" s="159"/>
      <c r="XP98" s="159"/>
      <c r="XQ98" s="159"/>
      <c r="XR98" s="159"/>
      <c r="XS98" s="159"/>
      <c r="XT98" s="159"/>
      <c r="XU98" s="159"/>
      <c r="XV98" s="159"/>
      <c r="XW98" s="159"/>
      <c r="XX98" s="159"/>
      <c r="XY98" s="159"/>
      <c r="XZ98" s="159"/>
      <c r="YA98" s="159"/>
      <c r="YB98" s="159"/>
      <c r="YC98" s="159"/>
      <c r="YD98" s="159"/>
      <c r="YE98" s="159"/>
      <c r="YF98" s="159"/>
      <c r="YG98" s="159"/>
      <c r="YH98" s="159"/>
      <c r="YI98" s="159"/>
      <c r="YJ98" s="159"/>
      <c r="YK98" s="159"/>
      <c r="YL98" s="159"/>
      <c r="YM98" s="159"/>
      <c r="YN98" s="159"/>
      <c r="YO98" s="159"/>
      <c r="YP98" s="159"/>
      <c r="YQ98" s="159"/>
      <c r="YR98" s="159"/>
      <c r="YS98" s="159"/>
      <c r="YT98" s="159"/>
      <c r="YU98" s="159"/>
      <c r="YV98" s="159"/>
      <c r="YW98" s="159"/>
      <c r="YX98" s="159"/>
      <c r="YY98" s="159"/>
      <c r="YZ98" s="159"/>
      <c r="ZA98" s="159"/>
      <c r="ZB98" s="159"/>
      <c r="ZC98" s="159"/>
      <c r="ZD98" s="159"/>
      <c r="ZE98" s="159"/>
      <c r="ZF98" s="159"/>
      <c r="ZG98" s="159"/>
      <c r="ZH98" s="159"/>
      <c r="ZI98" s="159"/>
      <c r="ZJ98" s="159"/>
      <c r="ZK98" s="159"/>
      <c r="ZL98" s="159"/>
      <c r="ZM98" s="159"/>
      <c r="ZN98" s="159"/>
      <c r="ZO98" s="159"/>
      <c r="ZP98" s="159"/>
      <c r="ZQ98" s="159"/>
      <c r="ZR98" s="159"/>
      <c r="ZS98" s="159"/>
      <c r="ZT98" s="159"/>
      <c r="ZU98" s="159"/>
      <c r="ZV98" s="159"/>
      <c r="ZW98" s="159"/>
      <c r="ZX98" s="159"/>
      <c r="ZY98" s="159"/>
      <c r="ZZ98" s="159"/>
      <c r="AAA98" s="159"/>
      <c r="AAB98" s="159"/>
      <c r="AAC98" s="159"/>
      <c r="AAD98" s="159"/>
      <c r="AAE98" s="159"/>
      <c r="AAF98" s="159"/>
      <c r="AAG98" s="159"/>
      <c r="AAH98" s="159"/>
      <c r="AAI98" s="159"/>
      <c r="AAJ98" s="159"/>
      <c r="AAK98" s="159"/>
      <c r="AAL98" s="159"/>
      <c r="AAM98" s="159"/>
      <c r="AAN98" s="159"/>
      <c r="AAO98" s="159"/>
      <c r="AAP98" s="159"/>
      <c r="AAQ98" s="159"/>
      <c r="AAR98" s="159"/>
      <c r="AAS98" s="159"/>
      <c r="AAT98" s="159"/>
      <c r="AAU98" s="159"/>
      <c r="AAV98" s="159"/>
      <c r="AAW98" s="159"/>
      <c r="AAX98" s="159"/>
      <c r="AAY98" s="159"/>
      <c r="AAZ98" s="159"/>
      <c r="ABA98" s="159"/>
      <c r="ABB98" s="159"/>
      <c r="ABC98" s="159"/>
      <c r="ABD98" s="159"/>
      <c r="ABE98" s="159"/>
      <c r="ABF98" s="159"/>
      <c r="ABG98" s="159"/>
      <c r="ABH98" s="159"/>
      <c r="ABI98" s="159"/>
      <c r="ABJ98" s="159"/>
      <c r="ABK98" s="159"/>
      <c r="ABL98" s="159"/>
      <c r="ABM98" s="159"/>
      <c r="ABN98" s="159"/>
      <c r="ABO98" s="159"/>
      <c r="ABP98" s="159"/>
      <c r="ABQ98" s="159"/>
      <c r="ABR98" s="159"/>
      <c r="ABS98" s="159"/>
      <c r="ABT98" s="159"/>
      <c r="ABU98" s="159"/>
      <c r="ABV98" s="159"/>
      <c r="ABW98" s="159"/>
      <c r="ABX98" s="159"/>
      <c r="ABY98" s="159"/>
      <c r="ABZ98" s="159"/>
      <c r="ACA98" s="159"/>
      <c r="ACB98" s="159"/>
      <c r="ACC98" s="159"/>
      <c r="ACD98" s="159"/>
      <c r="ACE98" s="159"/>
      <c r="ACF98" s="159"/>
      <c r="ACG98" s="159"/>
      <c r="ACH98" s="159"/>
      <c r="ACI98" s="159"/>
      <c r="ACJ98" s="159"/>
      <c r="ACK98" s="159"/>
      <c r="ACL98" s="159"/>
      <c r="ACM98" s="159"/>
      <c r="ACN98" s="159"/>
      <c r="ACO98" s="159"/>
      <c r="ACP98" s="159"/>
      <c r="ACQ98" s="159"/>
      <c r="ACR98" s="159"/>
      <c r="ACS98" s="159"/>
      <c r="ACT98" s="159"/>
      <c r="ACU98" s="159"/>
      <c r="ACV98" s="159"/>
      <c r="ACW98" s="159"/>
      <c r="ACX98" s="159"/>
      <c r="ACY98" s="159"/>
      <c r="ACZ98" s="159"/>
      <c r="ADA98" s="159"/>
      <c r="ADB98" s="159"/>
      <c r="ADC98" s="159"/>
      <c r="ADD98" s="159"/>
      <c r="ADE98" s="159"/>
      <c r="ADF98" s="159"/>
      <c r="ADG98" s="159"/>
      <c r="ADH98" s="159"/>
      <c r="ADI98" s="159"/>
      <c r="ADJ98" s="159"/>
      <c r="ADK98" s="159"/>
      <c r="ADL98" s="159"/>
      <c r="ADM98" s="159"/>
      <c r="ADN98" s="159"/>
      <c r="ADO98" s="159"/>
      <c r="ADP98" s="159"/>
      <c r="ADQ98" s="159"/>
      <c r="ADR98" s="159"/>
      <c r="ADS98" s="159"/>
      <c r="ADT98" s="159"/>
      <c r="ADU98" s="159"/>
      <c r="ADV98" s="159"/>
      <c r="ADW98" s="159"/>
      <c r="ADX98" s="159"/>
      <c r="ADY98" s="159"/>
      <c r="ADZ98" s="159"/>
      <c r="AEA98" s="159"/>
      <c r="AEB98" s="159"/>
      <c r="AEC98" s="159"/>
      <c r="AED98" s="159"/>
      <c r="AEE98" s="159"/>
      <c r="AEF98" s="159"/>
      <c r="AEG98" s="159"/>
      <c r="AEH98" s="159"/>
      <c r="AEI98" s="159"/>
      <c r="AEJ98" s="159"/>
      <c r="AEK98" s="159"/>
      <c r="AEL98" s="159"/>
      <c r="AEM98" s="159"/>
      <c r="AEN98" s="159"/>
      <c r="AEO98" s="159"/>
      <c r="AEP98" s="159"/>
      <c r="AEQ98" s="159"/>
      <c r="AER98" s="159"/>
      <c r="AES98" s="159"/>
      <c r="AET98" s="159"/>
      <c r="AEU98" s="159"/>
      <c r="AEV98" s="159"/>
      <c r="AEW98" s="159"/>
      <c r="AEX98" s="159"/>
      <c r="AEY98" s="159"/>
      <c r="AEZ98" s="159"/>
      <c r="AFA98" s="159"/>
      <c r="AFB98" s="159"/>
      <c r="AFC98" s="159"/>
      <c r="AFD98" s="159"/>
      <c r="AFE98" s="159"/>
      <c r="AFF98" s="159"/>
      <c r="AFG98" s="159"/>
      <c r="AFH98" s="159"/>
      <c r="AFI98" s="159"/>
      <c r="AFJ98" s="159"/>
      <c r="AFK98" s="159"/>
      <c r="AFL98" s="159"/>
      <c r="AFM98" s="159"/>
      <c r="AFN98" s="159"/>
      <c r="AFO98" s="159"/>
      <c r="AFP98" s="159"/>
      <c r="AFQ98" s="159"/>
      <c r="AFR98" s="159"/>
      <c r="AFS98" s="159"/>
      <c r="AFT98" s="159"/>
      <c r="AFU98" s="159"/>
      <c r="AFV98" s="159"/>
      <c r="AFW98" s="159"/>
      <c r="AFX98" s="159"/>
      <c r="AFY98" s="159"/>
      <c r="AFZ98" s="159"/>
      <c r="AGA98" s="159"/>
      <c r="AGB98" s="159"/>
      <c r="AGC98" s="159"/>
      <c r="AGD98" s="159"/>
      <c r="AGE98" s="159"/>
      <c r="AGF98" s="159"/>
      <c r="AGG98" s="159"/>
      <c r="AGH98" s="159"/>
      <c r="AGI98" s="159"/>
      <c r="AGJ98" s="159"/>
      <c r="AGK98" s="159"/>
      <c r="AGL98" s="159"/>
      <c r="AGM98" s="159"/>
      <c r="AGN98" s="159"/>
      <c r="AGO98" s="159"/>
      <c r="AGP98" s="159"/>
      <c r="AGQ98" s="159"/>
      <c r="AGR98" s="159"/>
      <c r="AGS98" s="159"/>
      <c r="AGT98" s="159"/>
      <c r="AGU98" s="159"/>
      <c r="AGV98" s="159"/>
      <c r="AGW98" s="159"/>
      <c r="AGX98" s="159"/>
      <c r="AGY98" s="159"/>
      <c r="AGZ98" s="159"/>
      <c r="AHA98" s="159"/>
      <c r="AHB98" s="159"/>
      <c r="AHC98" s="159"/>
      <c r="AHD98" s="159"/>
      <c r="AHE98" s="159"/>
      <c r="AHF98" s="159"/>
      <c r="AHG98" s="159"/>
      <c r="AHH98" s="159"/>
      <c r="AHI98" s="159"/>
      <c r="AHJ98" s="159"/>
      <c r="AHK98" s="159"/>
      <c r="AHL98" s="159"/>
      <c r="AHM98" s="159"/>
      <c r="AHN98" s="159"/>
      <c r="AHO98" s="159"/>
      <c r="AHP98" s="159"/>
      <c r="AHQ98" s="159"/>
      <c r="AHR98" s="159"/>
      <c r="AHS98" s="159"/>
      <c r="AHT98" s="159"/>
      <c r="AHU98" s="159"/>
      <c r="AHV98" s="159"/>
      <c r="AHW98" s="159"/>
      <c r="AHX98" s="159"/>
      <c r="AHY98" s="159"/>
      <c r="AHZ98" s="159"/>
      <c r="AIA98" s="159"/>
      <c r="AIB98" s="159"/>
      <c r="AIC98" s="159"/>
      <c r="AID98" s="159"/>
      <c r="AIE98" s="159"/>
      <c r="AIF98" s="159"/>
      <c r="AIG98" s="159"/>
      <c r="AIH98" s="159"/>
      <c r="AII98" s="159"/>
      <c r="AIJ98" s="159"/>
      <c r="AIK98" s="159"/>
      <c r="AIL98" s="159"/>
      <c r="AIM98" s="159"/>
      <c r="AIN98" s="159"/>
      <c r="AIO98" s="159"/>
      <c r="AIP98" s="159"/>
      <c r="AIQ98" s="159"/>
      <c r="AIR98" s="159"/>
      <c r="AIS98" s="159"/>
      <c r="AIT98" s="159"/>
      <c r="AIU98" s="159"/>
      <c r="AIV98" s="159"/>
      <c r="AIW98" s="159"/>
      <c r="AIX98" s="159"/>
      <c r="AIY98" s="159"/>
      <c r="AIZ98" s="159"/>
      <c r="AJA98" s="159"/>
      <c r="AJB98" s="159"/>
      <c r="AJC98" s="159"/>
      <c r="AJD98" s="159"/>
      <c r="AJE98" s="159"/>
      <c r="AJF98" s="159"/>
      <c r="AJG98" s="159"/>
      <c r="AJH98" s="159"/>
      <c r="AJI98" s="159"/>
      <c r="AJJ98" s="159"/>
      <c r="AJK98" s="159"/>
      <c r="AJL98" s="159"/>
      <c r="AJM98" s="159"/>
      <c r="AJN98" s="159"/>
      <c r="AJO98" s="159"/>
      <c r="AJP98" s="159"/>
      <c r="AJQ98" s="159"/>
      <c r="AJR98" s="159"/>
      <c r="AJS98" s="159"/>
      <c r="AJT98" s="159"/>
      <c r="AJU98" s="159"/>
      <c r="AJV98" s="159"/>
      <c r="AJW98" s="159"/>
      <c r="AJX98" s="159"/>
      <c r="AJY98" s="159"/>
      <c r="AJZ98" s="159"/>
      <c r="AKA98" s="159"/>
      <c r="AKB98" s="159"/>
      <c r="AKC98" s="159"/>
      <c r="AKD98" s="159"/>
      <c r="AKE98" s="159"/>
      <c r="AKF98" s="159"/>
      <c r="AKG98" s="159"/>
      <c r="AKH98" s="159"/>
      <c r="AKI98" s="159"/>
      <c r="AKJ98" s="159"/>
      <c r="AKK98" s="159"/>
      <c r="AKL98" s="159"/>
      <c r="AKM98" s="159"/>
      <c r="AKN98" s="159"/>
      <c r="AKO98" s="159"/>
      <c r="AKP98" s="159"/>
      <c r="AKQ98" s="159"/>
      <c r="AKR98" s="159"/>
      <c r="AKS98" s="159"/>
      <c r="AKT98" s="159"/>
      <c r="AKU98" s="159"/>
      <c r="AKV98" s="159"/>
      <c r="AKW98" s="159"/>
      <c r="AKX98" s="159"/>
      <c r="AKY98" s="159"/>
      <c r="AKZ98" s="159"/>
      <c r="ALA98" s="159"/>
      <c r="ALB98" s="159"/>
      <c r="ALC98" s="159"/>
      <c r="ALD98" s="159"/>
      <c r="ALE98" s="159"/>
      <c r="ALF98" s="159"/>
      <c r="ALG98" s="159"/>
      <c r="ALH98" s="159"/>
      <c r="ALI98" s="159"/>
      <c r="ALJ98" s="159"/>
      <c r="ALK98" s="159"/>
      <c r="ALL98" s="159"/>
      <c r="ALM98" s="159"/>
      <c r="ALN98" s="159"/>
      <c r="ALO98" s="159"/>
      <c r="ALP98" s="159"/>
      <c r="ALQ98" s="159"/>
      <c r="ALR98" s="159"/>
      <c r="ALS98" s="159"/>
      <c r="ALT98" s="159"/>
      <c r="ALU98" s="159"/>
      <c r="ALV98" s="159"/>
      <c r="ALW98" s="159"/>
      <c r="ALX98" s="159"/>
      <c r="ALY98" s="159"/>
      <c r="ALZ98" s="159"/>
      <c r="AMA98" s="159"/>
      <c r="AMB98" s="159"/>
      <c r="AMC98" s="159"/>
      <c r="AMD98" s="159"/>
      <c r="AME98" s="159"/>
      <c r="AMF98" s="159"/>
      <c r="AMG98" s="159"/>
      <c r="AMH98" s="159"/>
      <c r="AMI98" s="159"/>
      <c r="AMJ98" s="159"/>
      <c r="AMK98" s="159"/>
      <c r="AML98" s="159"/>
      <c r="AMM98" s="159"/>
      <c r="AMN98" s="159"/>
      <c r="AMO98" s="159"/>
    </row>
    <row r="99" spans="1:1029" s="161" customFormat="1" ht="26.25" thickTop="1" x14ac:dyDescent="0.25">
      <c r="A99" s="138">
        <v>46160</v>
      </c>
      <c r="B99" s="119" t="s">
        <v>22</v>
      </c>
      <c r="C99" s="119" t="s">
        <v>51</v>
      </c>
      <c r="D99" s="139" t="s">
        <v>90</v>
      </c>
      <c r="E99" s="120" t="s">
        <v>101</v>
      </c>
      <c r="F99" s="119" t="s">
        <v>77</v>
      </c>
      <c r="G99" s="119" t="s">
        <v>27</v>
      </c>
      <c r="H99" s="146" t="b">
        <f t="shared" si="8"/>
        <v>0</v>
      </c>
      <c r="I99" s="121" t="s">
        <v>42</v>
      </c>
      <c r="J99" s="121" t="s">
        <v>130</v>
      </c>
      <c r="K99" s="121" t="s">
        <v>21</v>
      </c>
      <c r="L99" s="146" t="b">
        <f t="shared" si="9"/>
        <v>0</v>
      </c>
      <c r="M99" s="121" t="s">
        <v>101</v>
      </c>
      <c r="N99" s="121" t="s">
        <v>130</v>
      </c>
      <c r="O99" s="121" t="s">
        <v>21</v>
      </c>
      <c r="P99" s="146" t="b">
        <f t="shared" si="10"/>
        <v>0</v>
      </c>
      <c r="Q99" s="121" t="str">
        <f>I99</f>
        <v>Hirten</v>
      </c>
      <c r="R99" s="119" t="str">
        <f>J99</f>
        <v>Champignonschnitzel</v>
      </c>
      <c r="S99" s="119" t="str">
        <f>K99</f>
        <v>Reis</v>
      </c>
      <c r="T99" s="146" t="b">
        <f t="shared" si="11"/>
        <v>0</v>
      </c>
      <c r="U99" s="159"/>
      <c r="V99" s="159"/>
      <c r="W99" s="159"/>
      <c r="X99" s="159"/>
      <c r="Y99" s="159"/>
      <c r="Z99" s="159"/>
      <c r="AA99" s="159"/>
      <c r="AB99" s="159"/>
      <c r="AC99" s="159"/>
      <c r="AD99" s="159"/>
      <c r="AE99" s="159"/>
      <c r="AF99" s="159"/>
      <c r="AG99" s="159"/>
      <c r="AH99" s="159"/>
      <c r="AI99" s="159"/>
      <c r="AJ99" s="159"/>
      <c r="AK99" s="159"/>
      <c r="AL99" s="159"/>
      <c r="AM99" s="159"/>
      <c r="AN99" s="159"/>
      <c r="AO99" s="159"/>
      <c r="AP99" s="159"/>
      <c r="AQ99" s="159"/>
      <c r="AR99" s="159"/>
      <c r="AS99" s="159"/>
      <c r="AT99" s="159"/>
      <c r="AU99" s="159"/>
      <c r="AV99" s="159"/>
      <c r="AW99" s="159"/>
      <c r="AX99" s="159"/>
      <c r="AY99" s="159"/>
      <c r="AZ99" s="159"/>
      <c r="BA99" s="159"/>
      <c r="BB99" s="159"/>
      <c r="BC99" s="159"/>
      <c r="BD99" s="159"/>
      <c r="BE99" s="159"/>
      <c r="BF99" s="159"/>
      <c r="BG99" s="159"/>
      <c r="BH99" s="159"/>
      <c r="BI99" s="159"/>
      <c r="BJ99" s="159"/>
      <c r="BK99" s="159"/>
      <c r="BL99" s="159"/>
      <c r="BM99" s="159"/>
      <c r="BN99" s="159"/>
      <c r="BO99" s="159"/>
      <c r="BP99" s="159"/>
      <c r="BQ99" s="159"/>
      <c r="BR99" s="159"/>
      <c r="BS99" s="159"/>
      <c r="BT99" s="159"/>
      <c r="BU99" s="159"/>
      <c r="BV99" s="159"/>
      <c r="BW99" s="159"/>
      <c r="BX99" s="159"/>
      <c r="BY99" s="159"/>
      <c r="BZ99" s="159"/>
      <c r="CA99" s="159"/>
      <c r="CB99" s="159"/>
      <c r="CC99" s="159"/>
      <c r="CD99" s="159"/>
      <c r="CE99" s="159"/>
      <c r="CF99" s="159"/>
      <c r="CG99" s="159"/>
      <c r="CH99" s="159"/>
      <c r="CI99" s="159"/>
      <c r="CJ99" s="159"/>
      <c r="CK99" s="159"/>
      <c r="CL99" s="159"/>
      <c r="CM99" s="159"/>
      <c r="CN99" s="159"/>
      <c r="CO99" s="159"/>
      <c r="CP99" s="159"/>
      <c r="CQ99" s="159"/>
      <c r="CR99" s="159"/>
      <c r="CS99" s="159"/>
      <c r="CT99" s="159"/>
      <c r="CU99" s="159"/>
      <c r="CV99" s="159"/>
      <c r="CW99" s="159"/>
      <c r="CX99" s="159"/>
      <c r="CY99" s="159"/>
      <c r="CZ99" s="159"/>
      <c r="DA99" s="159"/>
      <c r="DB99" s="159"/>
      <c r="DC99" s="159"/>
      <c r="DD99" s="159"/>
      <c r="DE99" s="159"/>
      <c r="DF99" s="159"/>
      <c r="DG99" s="159"/>
      <c r="DH99" s="159"/>
      <c r="DI99" s="159"/>
      <c r="DJ99" s="159"/>
      <c r="DK99" s="159"/>
      <c r="DL99" s="159"/>
      <c r="DM99" s="159"/>
      <c r="DN99" s="159"/>
      <c r="DO99" s="159"/>
      <c r="DP99" s="159"/>
      <c r="DQ99" s="159"/>
      <c r="DR99" s="159"/>
      <c r="DS99" s="159"/>
      <c r="DT99" s="159"/>
      <c r="DU99" s="159"/>
      <c r="DV99" s="159"/>
      <c r="DW99" s="159"/>
      <c r="DX99" s="159"/>
      <c r="DY99" s="159"/>
      <c r="DZ99" s="159"/>
      <c r="EA99" s="159"/>
      <c r="EB99" s="159"/>
      <c r="EC99" s="159"/>
      <c r="ED99" s="159"/>
      <c r="EE99" s="159"/>
      <c r="EF99" s="159"/>
      <c r="EG99" s="159"/>
      <c r="EH99" s="159"/>
      <c r="EI99" s="159"/>
      <c r="EJ99" s="159"/>
      <c r="EK99" s="159"/>
      <c r="EL99" s="159"/>
      <c r="EM99" s="159"/>
      <c r="EN99" s="159"/>
      <c r="EO99" s="159"/>
      <c r="EP99" s="159"/>
      <c r="EQ99" s="159"/>
      <c r="ER99" s="159"/>
      <c r="ES99" s="159"/>
      <c r="ET99" s="159"/>
      <c r="EU99" s="159"/>
      <c r="EV99" s="159"/>
      <c r="EW99" s="159"/>
      <c r="EX99" s="159"/>
      <c r="EY99" s="159"/>
      <c r="EZ99" s="159"/>
      <c r="FA99" s="159"/>
      <c r="FB99" s="159"/>
      <c r="FC99" s="159"/>
      <c r="FD99" s="159"/>
      <c r="FE99" s="159"/>
      <c r="FF99" s="159"/>
      <c r="FG99" s="159"/>
      <c r="FH99" s="159"/>
      <c r="FI99" s="159"/>
      <c r="FJ99" s="159"/>
      <c r="FK99" s="159"/>
      <c r="FL99" s="159"/>
      <c r="FM99" s="159"/>
      <c r="FN99" s="159"/>
      <c r="FO99" s="159"/>
      <c r="FP99" s="159"/>
      <c r="FQ99" s="159"/>
      <c r="FR99" s="159"/>
      <c r="FS99" s="159"/>
      <c r="FT99" s="159"/>
      <c r="FU99" s="159"/>
      <c r="FV99" s="159"/>
      <c r="FW99" s="159"/>
      <c r="FX99" s="159"/>
      <c r="FY99" s="159"/>
      <c r="FZ99" s="159"/>
      <c r="GA99" s="159"/>
      <c r="GB99" s="159"/>
      <c r="GC99" s="159"/>
      <c r="GD99" s="159"/>
      <c r="GE99" s="159"/>
      <c r="GF99" s="159"/>
      <c r="GG99" s="159"/>
      <c r="GH99" s="159"/>
      <c r="GI99" s="159"/>
      <c r="GJ99" s="159"/>
      <c r="GK99" s="159"/>
      <c r="GL99" s="159"/>
      <c r="GM99" s="159"/>
      <c r="GN99" s="159"/>
      <c r="GO99" s="159"/>
      <c r="GP99" s="159"/>
      <c r="GQ99" s="159"/>
      <c r="GR99" s="159"/>
      <c r="GS99" s="159"/>
      <c r="GT99" s="159"/>
      <c r="GU99" s="159"/>
      <c r="GV99" s="159"/>
      <c r="GW99" s="159"/>
      <c r="GX99" s="159"/>
      <c r="GY99" s="159"/>
      <c r="GZ99" s="159"/>
      <c r="HA99" s="159"/>
      <c r="HB99" s="159"/>
      <c r="HC99" s="159"/>
      <c r="HD99" s="159"/>
      <c r="HE99" s="159"/>
      <c r="HF99" s="159"/>
      <c r="HG99" s="159"/>
      <c r="HH99" s="159"/>
      <c r="HI99" s="159"/>
      <c r="HJ99" s="159"/>
      <c r="HK99" s="159"/>
      <c r="HL99" s="159"/>
      <c r="HM99" s="159"/>
      <c r="HN99" s="159"/>
      <c r="HO99" s="159"/>
      <c r="HP99" s="159"/>
      <c r="HQ99" s="159"/>
      <c r="HR99" s="159"/>
      <c r="HS99" s="159"/>
      <c r="HT99" s="159"/>
      <c r="HU99" s="159"/>
      <c r="HV99" s="159"/>
      <c r="HW99" s="159"/>
      <c r="HX99" s="159"/>
      <c r="HY99" s="159"/>
      <c r="HZ99" s="159"/>
      <c r="IA99" s="159"/>
      <c r="IB99" s="159"/>
      <c r="IC99" s="159"/>
      <c r="ID99" s="159"/>
      <c r="IE99" s="159"/>
      <c r="IF99" s="159"/>
      <c r="IG99" s="159"/>
      <c r="IH99" s="159"/>
      <c r="II99" s="159"/>
      <c r="IJ99" s="159"/>
      <c r="IK99" s="159"/>
      <c r="IL99" s="159"/>
      <c r="IM99" s="159"/>
      <c r="IN99" s="159"/>
      <c r="IO99" s="159"/>
      <c r="IP99" s="159"/>
      <c r="IQ99" s="159"/>
      <c r="IR99" s="159"/>
      <c r="IS99" s="159"/>
      <c r="IT99" s="159"/>
      <c r="IU99" s="159"/>
      <c r="IV99" s="159"/>
      <c r="IW99" s="159"/>
      <c r="IX99" s="159"/>
      <c r="IY99" s="159"/>
      <c r="IZ99" s="159"/>
      <c r="JA99" s="159"/>
      <c r="JB99" s="159"/>
      <c r="JC99" s="159"/>
      <c r="JD99" s="159"/>
      <c r="JE99" s="159"/>
      <c r="JF99" s="159"/>
      <c r="JG99" s="159"/>
      <c r="JH99" s="159"/>
      <c r="JI99" s="159"/>
      <c r="JJ99" s="159"/>
      <c r="JK99" s="159"/>
      <c r="JL99" s="159"/>
      <c r="JM99" s="159"/>
      <c r="JN99" s="159"/>
      <c r="JO99" s="159"/>
      <c r="JP99" s="159"/>
      <c r="JQ99" s="159"/>
      <c r="JR99" s="159"/>
      <c r="JS99" s="159"/>
      <c r="JT99" s="159"/>
      <c r="JU99" s="159"/>
      <c r="JV99" s="159"/>
      <c r="JW99" s="159"/>
      <c r="JX99" s="159"/>
      <c r="JY99" s="159"/>
      <c r="JZ99" s="159"/>
      <c r="KA99" s="159"/>
      <c r="KB99" s="159"/>
      <c r="KC99" s="159"/>
      <c r="KD99" s="159"/>
      <c r="KE99" s="159"/>
      <c r="KF99" s="159"/>
      <c r="KG99" s="159"/>
      <c r="KH99" s="159"/>
      <c r="KI99" s="159"/>
      <c r="KJ99" s="159"/>
      <c r="KK99" s="159"/>
      <c r="KL99" s="159"/>
      <c r="KM99" s="159"/>
      <c r="KN99" s="159"/>
      <c r="KO99" s="159"/>
      <c r="KP99" s="159"/>
      <c r="KQ99" s="159"/>
      <c r="KR99" s="159"/>
      <c r="KS99" s="159"/>
      <c r="KT99" s="159"/>
      <c r="KU99" s="159"/>
      <c r="KV99" s="159"/>
      <c r="KW99" s="159"/>
      <c r="KX99" s="159"/>
      <c r="KY99" s="159"/>
      <c r="KZ99" s="159"/>
      <c r="LA99" s="159"/>
      <c r="LB99" s="159"/>
      <c r="LC99" s="159"/>
      <c r="LD99" s="159"/>
      <c r="LE99" s="159"/>
      <c r="LF99" s="159"/>
      <c r="LG99" s="159"/>
      <c r="LH99" s="159"/>
      <c r="LI99" s="159"/>
      <c r="LJ99" s="159"/>
      <c r="LK99" s="159"/>
      <c r="LL99" s="159"/>
      <c r="LM99" s="159"/>
      <c r="LN99" s="159"/>
      <c r="LO99" s="159"/>
      <c r="LP99" s="159"/>
      <c r="LQ99" s="159"/>
      <c r="LR99" s="159"/>
      <c r="LS99" s="159"/>
      <c r="LT99" s="159"/>
      <c r="LU99" s="159"/>
      <c r="LV99" s="159"/>
      <c r="LW99" s="159"/>
      <c r="LX99" s="159"/>
      <c r="LY99" s="159"/>
      <c r="LZ99" s="159"/>
      <c r="MA99" s="159"/>
      <c r="MB99" s="159"/>
      <c r="MC99" s="159"/>
      <c r="MD99" s="159"/>
      <c r="ME99" s="159"/>
      <c r="MF99" s="159"/>
      <c r="MG99" s="159"/>
      <c r="MH99" s="159"/>
      <c r="MI99" s="159"/>
      <c r="MJ99" s="159"/>
      <c r="MK99" s="159"/>
      <c r="ML99" s="159"/>
      <c r="MM99" s="159"/>
      <c r="MN99" s="159"/>
      <c r="MO99" s="159"/>
      <c r="MP99" s="159"/>
      <c r="MQ99" s="159"/>
      <c r="MR99" s="159"/>
      <c r="MS99" s="159"/>
      <c r="MT99" s="159"/>
      <c r="MU99" s="159"/>
      <c r="MV99" s="159"/>
      <c r="MW99" s="159"/>
      <c r="MX99" s="159"/>
      <c r="MY99" s="159"/>
      <c r="MZ99" s="159"/>
      <c r="NA99" s="159"/>
      <c r="NB99" s="159"/>
      <c r="NC99" s="159"/>
      <c r="ND99" s="159"/>
      <c r="NE99" s="159"/>
      <c r="NF99" s="159"/>
      <c r="NG99" s="159"/>
      <c r="NH99" s="159"/>
      <c r="NI99" s="159"/>
      <c r="NJ99" s="159"/>
      <c r="NK99" s="159"/>
      <c r="NL99" s="159"/>
      <c r="NM99" s="159"/>
      <c r="NN99" s="159"/>
      <c r="NO99" s="159"/>
      <c r="NP99" s="159"/>
      <c r="NQ99" s="159"/>
      <c r="NR99" s="159"/>
      <c r="NS99" s="159"/>
      <c r="NT99" s="159"/>
      <c r="NU99" s="159"/>
      <c r="NV99" s="159"/>
      <c r="NW99" s="159"/>
      <c r="NX99" s="159"/>
      <c r="NY99" s="159"/>
      <c r="NZ99" s="159"/>
      <c r="OA99" s="159"/>
      <c r="OB99" s="159"/>
      <c r="OC99" s="159"/>
      <c r="OD99" s="159"/>
      <c r="OE99" s="159"/>
      <c r="OF99" s="159"/>
      <c r="OG99" s="159"/>
      <c r="OH99" s="159"/>
      <c r="OI99" s="159"/>
      <c r="OJ99" s="159"/>
      <c r="OK99" s="159"/>
      <c r="OL99" s="159"/>
      <c r="OM99" s="159"/>
      <c r="ON99" s="159"/>
      <c r="OO99" s="159"/>
      <c r="OP99" s="159"/>
      <c r="OQ99" s="159"/>
      <c r="OR99" s="159"/>
      <c r="OS99" s="159"/>
      <c r="OT99" s="159"/>
      <c r="OU99" s="159"/>
      <c r="OV99" s="159"/>
      <c r="OW99" s="159"/>
      <c r="OX99" s="159"/>
      <c r="OY99" s="159"/>
      <c r="OZ99" s="159"/>
      <c r="PA99" s="159"/>
      <c r="PB99" s="159"/>
      <c r="PC99" s="159"/>
      <c r="PD99" s="159"/>
      <c r="PE99" s="159"/>
      <c r="PF99" s="159"/>
      <c r="PG99" s="159"/>
      <c r="PH99" s="159"/>
      <c r="PI99" s="159"/>
      <c r="PJ99" s="159"/>
      <c r="PK99" s="159"/>
      <c r="PL99" s="159"/>
      <c r="PM99" s="159"/>
      <c r="PN99" s="159"/>
      <c r="PO99" s="159"/>
      <c r="PP99" s="159"/>
      <c r="PQ99" s="159"/>
      <c r="PR99" s="159"/>
      <c r="PS99" s="159"/>
      <c r="PT99" s="159"/>
      <c r="PU99" s="159"/>
      <c r="PV99" s="159"/>
      <c r="PW99" s="159"/>
      <c r="PX99" s="159"/>
      <c r="PY99" s="159"/>
      <c r="PZ99" s="159"/>
      <c r="QA99" s="159"/>
      <c r="QB99" s="159"/>
      <c r="QC99" s="159"/>
      <c r="QD99" s="159"/>
      <c r="QE99" s="159"/>
      <c r="QF99" s="159"/>
      <c r="QG99" s="159"/>
      <c r="QH99" s="159"/>
      <c r="QI99" s="159"/>
      <c r="QJ99" s="159"/>
      <c r="QK99" s="159"/>
      <c r="QL99" s="159"/>
      <c r="QM99" s="159"/>
      <c r="QN99" s="159"/>
      <c r="QO99" s="159"/>
      <c r="QP99" s="159"/>
      <c r="QQ99" s="159"/>
      <c r="QR99" s="159"/>
      <c r="QS99" s="159"/>
      <c r="QT99" s="159"/>
      <c r="QU99" s="159"/>
      <c r="QV99" s="159"/>
      <c r="QW99" s="159"/>
      <c r="QX99" s="159"/>
      <c r="QY99" s="159"/>
      <c r="QZ99" s="159"/>
      <c r="RA99" s="159"/>
      <c r="RB99" s="159"/>
      <c r="RC99" s="159"/>
      <c r="RD99" s="159"/>
      <c r="RE99" s="159"/>
      <c r="RF99" s="159"/>
      <c r="RG99" s="159"/>
      <c r="RH99" s="159"/>
      <c r="RI99" s="159"/>
      <c r="RJ99" s="159"/>
      <c r="RK99" s="159"/>
      <c r="RL99" s="159"/>
      <c r="RM99" s="159"/>
      <c r="RN99" s="159"/>
      <c r="RO99" s="159"/>
      <c r="RP99" s="159"/>
      <c r="RQ99" s="159"/>
      <c r="RR99" s="159"/>
      <c r="RS99" s="159"/>
      <c r="RT99" s="159"/>
      <c r="RU99" s="159"/>
      <c r="RV99" s="159"/>
      <c r="RW99" s="159"/>
      <c r="RX99" s="159"/>
      <c r="RY99" s="159"/>
      <c r="RZ99" s="159"/>
      <c r="SA99" s="159"/>
      <c r="SB99" s="159"/>
      <c r="SC99" s="159"/>
      <c r="SD99" s="159"/>
      <c r="SE99" s="159"/>
      <c r="SF99" s="159"/>
      <c r="SG99" s="159"/>
      <c r="SH99" s="159"/>
      <c r="SI99" s="159"/>
      <c r="SJ99" s="159"/>
      <c r="SK99" s="159"/>
      <c r="SL99" s="159"/>
      <c r="SM99" s="159"/>
      <c r="SN99" s="159"/>
      <c r="SO99" s="159"/>
      <c r="SP99" s="159"/>
      <c r="SQ99" s="159"/>
      <c r="SR99" s="159"/>
      <c r="SS99" s="159"/>
      <c r="ST99" s="159"/>
      <c r="SU99" s="159"/>
      <c r="SV99" s="159"/>
      <c r="SW99" s="159"/>
      <c r="SX99" s="159"/>
      <c r="SY99" s="159"/>
      <c r="SZ99" s="159"/>
      <c r="TA99" s="159"/>
      <c r="TB99" s="159"/>
      <c r="TC99" s="159"/>
      <c r="TD99" s="159"/>
      <c r="TE99" s="159"/>
      <c r="TF99" s="159"/>
      <c r="TG99" s="159"/>
      <c r="TH99" s="159"/>
      <c r="TI99" s="159"/>
      <c r="TJ99" s="159"/>
      <c r="TK99" s="159"/>
      <c r="TL99" s="159"/>
      <c r="TM99" s="159"/>
      <c r="TN99" s="159"/>
      <c r="TO99" s="159"/>
      <c r="TP99" s="159"/>
      <c r="TQ99" s="159"/>
      <c r="TR99" s="159"/>
      <c r="TS99" s="159"/>
      <c r="TT99" s="159"/>
      <c r="TU99" s="159"/>
      <c r="TV99" s="159"/>
      <c r="TW99" s="159"/>
      <c r="TX99" s="159"/>
      <c r="TY99" s="159"/>
      <c r="TZ99" s="159"/>
      <c r="UA99" s="159"/>
      <c r="UB99" s="159"/>
      <c r="UC99" s="159"/>
      <c r="UD99" s="159"/>
      <c r="UE99" s="159"/>
      <c r="UF99" s="159"/>
      <c r="UG99" s="159"/>
      <c r="UH99" s="159"/>
      <c r="UI99" s="159"/>
      <c r="UJ99" s="159"/>
      <c r="UK99" s="159"/>
      <c r="UL99" s="159"/>
      <c r="UM99" s="159"/>
      <c r="UN99" s="159"/>
      <c r="UO99" s="159"/>
      <c r="UP99" s="159"/>
      <c r="UQ99" s="159"/>
      <c r="UR99" s="159"/>
      <c r="US99" s="159"/>
      <c r="UT99" s="159"/>
      <c r="UU99" s="159"/>
      <c r="UV99" s="159"/>
      <c r="UW99" s="159"/>
      <c r="UX99" s="159"/>
      <c r="UY99" s="159"/>
      <c r="UZ99" s="159"/>
      <c r="VA99" s="159"/>
      <c r="VB99" s="159"/>
      <c r="VC99" s="159"/>
      <c r="VD99" s="159"/>
      <c r="VE99" s="159"/>
      <c r="VF99" s="159"/>
      <c r="VG99" s="159"/>
      <c r="VH99" s="159"/>
      <c r="VI99" s="159"/>
      <c r="VJ99" s="159"/>
      <c r="VK99" s="159"/>
      <c r="VL99" s="159"/>
      <c r="VM99" s="159"/>
      <c r="VN99" s="159"/>
      <c r="VO99" s="159"/>
      <c r="VP99" s="159"/>
      <c r="VQ99" s="159"/>
      <c r="VR99" s="159"/>
      <c r="VS99" s="159"/>
      <c r="VT99" s="159"/>
      <c r="VU99" s="159"/>
      <c r="VV99" s="159"/>
      <c r="VW99" s="159"/>
      <c r="VX99" s="159"/>
      <c r="VY99" s="159"/>
      <c r="VZ99" s="159"/>
      <c r="WA99" s="159"/>
      <c r="WB99" s="159"/>
      <c r="WC99" s="159"/>
      <c r="WD99" s="159"/>
      <c r="WE99" s="159"/>
      <c r="WF99" s="159"/>
      <c r="WG99" s="159"/>
      <c r="WH99" s="159"/>
      <c r="WI99" s="159"/>
      <c r="WJ99" s="159"/>
      <c r="WK99" s="159"/>
      <c r="WL99" s="159"/>
      <c r="WM99" s="159"/>
      <c r="WN99" s="159"/>
      <c r="WO99" s="159"/>
      <c r="WP99" s="159"/>
      <c r="WQ99" s="159"/>
      <c r="WR99" s="159"/>
      <c r="WS99" s="159"/>
      <c r="WT99" s="159"/>
      <c r="WU99" s="159"/>
      <c r="WV99" s="159"/>
      <c r="WW99" s="159"/>
      <c r="WX99" s="159"/>
      <c r="WY99" s="159"/>
      <c r="WZ99" s="159"/>
      <c r="XA99" s="159"/>
      <c r="XB99" s="159"/>
      <c r="XC99" s="159"/>
      <c r="XD99" s="159"/>
      <c r="XE99" s="159"/>
      <c r="XF99" s="159"/>
      <c r="XG99" s="159"/>
      <c r="XH99" s="159"/>
      <c r="XI99" s="159"/>
      <c r="XJ99" s="159"/>
      <c r="XK99" s="159"/>
      <c r="XL99" s="159"/>
      <c r="XM99" s="159"/>
      <c r="XN99" s="159"/>
      <c r="XO99" s="159"/>
      <c r="XP99" s="159"/>
      <c r="XQ99" s="159"/>
      <c r="XR99" s="159"/>
      <c r="XS99" s="159"/>
      <c r="XT99" s="159"/>
      <c r="XU99" s="159"/>
      <c r="XV99" s="159"/>
      <c r="XW99" s="159"/>
      <c r="XX99" s="159"/>
      <c r="XY99" s="159"/>
      <c r="XZ99" s="159"/>
      <c r="YA99" s="159"/>
      <c r="YB99" s="159"/>
      <c r="YC99" s="159"/>
      <c r="YD99" s="159"/>
      <c r="YE99" s="159"/>
      <c r="YF99" s="159"/>
      <c r="YG99" s="159"/>
      <c r="YH99" s="159"/>
      <c r="YI99" s="159"/>
      <c r="YJ99" s="159"/>
      <c r="YK99" s="159"/>
      <c r="YL99" s="159"/>
      <c r="YM99" s="159"/>
      <c r="YN99" s="159"/>
      <c r="YO99" s="159"/>
      <c r="YP99" s="159"/>
      <c r="YQ99" s="159"/>
      <c r="YR99" s="159"/>
      <c r="YS99" s="159"/>
      <c r="YT99" s="159"/>
      <c r="YU99" s="159"/>
      <c r="YV99" s="159"/>
      <c r="YW99" s="159"/>
      <c r="YX99" s="159"/>
      <c r="YY99" s="159"/>
      <c r="YZ99" s="159"/>
      <c r="ZA99" s="159"/>
      <c r="ZB99" s="159"/>
      <c r="ZC99" s="159"/>
      <c r="ZD99" s="159"/>
      <c r="ZE99" s="159"/>
      <c r="ZF99" s="159"/>
      <c r="ZG99" s="159"/>
      <c r="ZH99" s="159"/>
      <c r="ZI99" s="159"/>
      <c r="ZJ99" s="159"/>
      <c r="ZK99" s="159"/>
      <c r="ZL99" s="159"/>
      <c r="ZM99" s="159"/>
      <c r="ZN99" s="159"/>
      <c r="ZO99" s="159"/>
      <c r="ZP99" s="159"/>
      <c r="ZQ99" s="159"/>
      <c r="ZR99" s="159"/>
      <c r="ZS99" s="159"/>
      <c r="ZT99" s="159"/>
      <c r="ZU99" s="159"/>
      <c r="ZV99" s="159"/>
      <c r="ZW99" s="159"/>
      <c r="ZX99" s="159"/>
      <c r="ZY99" s="159"/>
      <c r="ZZ99" s="159"/>
      <c r="AAA99" s="159"/>
      <c r="AAB99" s="159"/>
      <c r="AAC99" s="159"/>
      <c r="AAD99" s="159"/>
      <c r="AAE99" s="159"/>
      <c r="AAF99" s="159"/>
      <c r="AAG99" s="159"/>
      <c r="AAH99" s="159"/>
      <c r="AAI99" s="159"/>
      <c r="AAJ99" s="159"/>
      <c r="AAK99" s="159"/>
      <c r="AAL99" s="159"/>
      <c r="AAM99" s="159"/>
      <c r="AAN99" s="159"/>
      <c r="AAO99" s="159"/>
      <c r="AAP99" s="159"/>
      <c r="AAQ99" s="159"/>
      <c r="AAR99" s="159"/>
      <c r="AAS99" s="159"/>
      <c r="AAT99" s="159"/>
      <c r="AAU99" s="159"/>
      <c r="AAV99" s="159"/>
      <c r="AAW99" s="159"/>
      <c r="AAX99" s="159"/>
      <c r="AAY99" s="159"/>
      <c r="AAZ99" s="159"/>
      <c r="ABA99" s="159"/>
      <c r="ABB99" s="159"/>
      <c r="ABC99" s="159"/>
      <c r="ABD99" s="159"/>
      <c r="ABE99" s="159"/>
      <c r="ABF99" s="159"/>
      <c r="ABG99" s="159"/>
      <c r="ABH99" s="159"/>
      <c r="ABI99" s="159"/>
      <c r="ABJ99" s="159"/>
      <c r="ABK99" s="159"/>
      <c r="ABL99" s="159"/>
      <c r="ABM99" s="159"/>
      <c r="ABN99" s="159"/>
      <c r="ABO99" s="159"/>
      <c r="ABP99" s="159"/>
      <c r="ABQ99" s="159"/>
      <c r="ABR99" s="159"/>
      <c r="ABS99" s="159"/>
      <c r="ABT99" s="159"/>
      <c r="ABU99" s="159"/>
      <c r="ABV99" s="159"/>
      <c r="ABW99" s="159"/>
      <c r="ABX99" s="159"/>
      <c r="ABY99" s="159"/>
      <c r="ABZ99" s="159"/>
      <c r="ACA99" s="159"/>
      <c r="ACB99" s="159"/>
      <c r="ACC99" s="159"/>
      <c r="ACD99" s="159"/>
      <c r="ACE99" s="159"/>
      <c r="ACF99" s="159"/>
      <c r="ACG99" s="159"/>
      <c r="ACH99" s="159"/>
      <c r="ACI99" s="159"/>
      <c r="ACJ99" s="159"/>
      <c r="ACK99" s="159"/>
      <c r="ACL99" s="159"/>
      <c r="ACM99" s="159"/>
      <c r="ACN99" s="159"/>
      <c r="ACO99" s="159"/>
      <c r="ACP99" s="159"/>
      <c r="ACQ99" s="159"/>
      <c r="ACR99" s="159"/>
      <c r="ACS99" s="159"/>
      <c r="ACT99" s="159"/>
      <c r="ACU99" s="159"/>
      <c r="ACV99" s="159"/>
      <c r="ACW99" s="159"/>
      <c r="ACX99" s="159"/>
      <c r="ACY99" s="159"/>
      <c r="ACZ99" s="159"/>
      <c r="ADA99" s="159"/>
      <c r="ADB99" s="159"/>
      <c r="ADC99" s="159"/>
      <c r="ADD99" s="159"/>
      <c r="ADE99" s="159"/>
      <c r="ADF99" s="159"/>
      <c r="ADG99" s="159"/>
      <c r="ADH99" s="159"/>
      <c r="ADI99" s="159"/>
      <c r="ADJ99" s="159"/>
      <c r="ADK99" s="159"/>
      <c r="ADL99" s="159"/>
      <c r="ADM99" s="159"/>
      <c r="ADN99" s="159"/>
      <c r="ADO99" s="159"/>
      <c r="ADP99" s="159"/>
      <c r="ADQ99" s="159"/>
      <c r="ADR99" s="159"/>
      <c r="ADS99" s="159"/>
      <c r="ADT99" s="159"/>
      <c r="ADU99" s="159"/>
      <c r="ADV99" s="159"/>
      <c r="ADW99" s="159"/>
      <c r="ADX99" s="159"/>
      <c r="ADY99" s="159"/>
      <c r="ADZ99" s="159"/>
      <c r="AEA99" s="159"/>
      <c r="AEB99" s="159"/>
      <c r="AEC99" s="159"/>
      <c r="AED99" s="159"/>
      <c r="AEE99" s="159"/>
      <c r="AEF99" s="159"/>
      <c r="AEG99" s="159"/>
      <c r="AEH99" s="159"/>
      <c r="AEI99" s="159"/>
      <c r="AEJ99" s="159"/>
      <c r="AEK99" s="159"/>
      <c r="AEL99" s="159"/>
      <c r="AEM99" s="159"/>
      <c r="AEN99" s="159"/>
      <c r="AEO99" s="159"/>
      <c r="AEP99" s="159"/>
      <c r="AEQ99" s="159"/>
      <c r="AER99" s="159"/>
      <c r="AES99" s="159"/>
      <c r="AET99" s="159"/>
      <c r="AEU99" s="159"/>
      <c r="AEV99" s="159"/>
      <c r="AEW99" s="159"/>
      <c r="AEX99" s="159"/>
      <c r="AEY99" s="159"/>
      <c r="AEZ99" s="159"/>
      <c r="AFA99" s="159"/>
      <c r="AFB99" s="159"/>
      <c r="AFC99" s="159"/>
      <c r="AFD99" s="159"/>
      <c r="AFE99" s="159"/>
      <c r="AFF99" s="159"/>
      <c r="AFG99" s="159"/>
      <c r="AFH99" s="159"/>
      <c r="AFI99" s="159"/>
      <c r="AFJ99" s="159"/>
      <c r="AFK99" s="159"/>
      <c r="AFL99" s="159"/>
      <c r="AFM99" s="159"/>
      <c r="AFN99" s="159"/>
      <c r="AFO99" s="159"/>
      <c r="AFP99" s="159"/>
      <c r="AFQ99" s="159"/>
      <c r="AFR99" s="159"/>
      <c r="AFS99" s="159"/>
      <c r="AFT99" s="159"/>
      <c r="AFU99" s="159"/>
      <c r="AFV99" s="159"/>
      <c r="AFW99" s="159"/>
      <c r="AFX99" s="159"/>
      <c r="AFY99" s="159"/>
      <c r="AFZ99" s="159"/>
      <c r="AGA99" s="159"/>
      <c r="AGB99" s="159"/>
      <c r="AGC99" s="159"/>
      <c r="AGD99" s="159"/>
      <c r="AGE99" s="159"/>
      <c r="AGF99" s="159"/>
      <c r="AGG99" s="159"/>
      <c r="AGH99" s="159"/>
      <c r="AGI99" s="159"/>
      <c r="AGJ99" s="159"/>
      <c r="AGK99" s="159"/>
      <c r="AGL99" s="159"/>
      <c r="AGM99" s="159"/>
      <c r="AGN99" s="159"/>
      <c r="AGO99" s="159"/>
      <c r="AGP99" s="159"/>
      <c r="AGQ99" s="159"/>
      <c r="AGR99" s="159"/>
      <c r="AGS99" s="159"/>
      <c r="AGT99" s="159"/>
      <c r="AGU99" s="159"/>
      <c r="AGV99" s="159"/>
      <c r="AGW99" s="159"/>
      <c r="AGX99" s="159"/>
      <c r="AGY99" s="159"/>
      <c r="AGZ99" s="159"/>
      <c r="AHA99" s="159"/>
      <c r="AHB99" s="159"/>
      <c r="AHC99" s="159"/>
      <c r="AHD99" s="159"/>
      <c r="AHE99" s="159"/>
      <c r="AHF99" s="159"/>
      <c r="AHG99" s="159"/>
      <c r="AHH99" s="159"/>
      <c r="AHI99" s="159"/>
      <c r="AHJ99" s="159"/>
      <c r="AHK99" s="159"/>
      <c r="AHL99" s="159"/>
      <c r="AHM99" s="159"/>
      <c r="AHN99" s="159"/>
      <c r="AHO99" s="159"/>
      <c r="AHP99" s="159"/>
      <c r="AHQ99" s="159"/>
      <c r="AHR99" s="159"/>
      <c r="AHS99" s="159"/>
      <c r="AHT99" s="159"/>
      <c r="AHU99" s="159"/>
      <c r="AHV99" s="159"/>
      <c r="AHW99" s="159"/>
      <c r="AHX99" s="159"/>
      <c r="AHY99" s="159"/>
      <c r="AHZ99" s="159"/>
      <c r="AIA99" s="159"/>
      <c r="AIB99" s="159"/>
      <c r="AIC99" s="159"/>
      <c r="AID99" s="159"/>
      <c r="AIE99" s="159"/>
      <c r="AIF99" s="159"/>
      <c r="AIG99" s="159"/>
      <c r="AIH99" s="159"/>
      <c r="AII99" s="159"/>
      <c r="AIJ99" s="159"/>
      <c r="AIK99" s="159"/>
      <c r="AIL99" s="159"/>
      <c r="AIM99" s="159"/>
      <c r="AIN99" s="159"/>
      <c r="AIO99" s="159"/>
      <c r="AIP99" s="159"/>
      <c r="AIQ99" s="159"/>
      <c r="AIR99" s="159"/>
      <c r="AIS99" s="159"/>
      <c r="AIT99" s="159"/>
      <c r="AIU99" s="159"/>
      <c r="AIV99" s="159"/>
      <c r="AIW99" s="159"/>
      <c r="AIX99" s="159"/>
      <c r="AIY99" s="159"/>
      <c r="AIZ99" s="159"/>
      <c r="AJA99" s="159"/>
      <c r="AJB99" s="159"/>
      <c r="AJC99" s="159"/>
      <c r="AJD99" s="159"/>
      <c r="AJE99" s="159"/>
      <c r="AJF99" s="159"/>
      <c r="AJG99" s="159"/>
      <c r="AJH99" s="159"/>
      <c r="AJI99" s="159"/>
      <c r="AJJ99" s="159"/>
      <c r="AJK99" s="159"/>
      <c r="AJL99" s="159"/>
      <c r="AJM99" s="159"/>
      <c r="AJN99" s="159"/>
      <c r="AJO99" s="159"/>
      <c r="AJP99" s="159"/>
      <c r="AJQ99" s="159"/>
      <c r="AJR99" s="159"/>
      <c r="AJS99" s="159"/>
      <c r="AJT99" s="159"/>
      <c r="AJU99" s="159"/>
      <c r="AJV99" s="159"/>
      <c r="AJW99" s="159"/>
      <c r="AJX99" s="159"/>
      <c r="AJY99" s="159"/>
      <c r="AJZ99" s="159"/>
      <c r="AKA99" s="159"/>
      <c r="AKB99" s="159"/>
      <c r="AKC99" s="159"/>
      <c r="AKD99" s="159"/>
      <c r="AKE99" s="159"/>
      <c r="AKF99" s="159"/>
      <c r="AKG99" s="159"/>
      <c r="AKH99" s="159"/>
      <c r="AKI99" s="159"/>
      <c r="AKJ99" s="159"/>
      <c r="AKK99" s="159"/>
      <c r="AKL99" s="159"/>
      <c r="AKM99" s="159"/>
      <c r="AKN99" s="159"/>
      <c r="AKO99" s="159"/>
      <c r="AKP99" s="159"/>
      <c r="AKQ99" s="159"/>
      <c r="AKR99" s="159"/>
      <c r="AKS99" s="159"/>
      <c r="AKT99" s="159"/>
      <c r="AKU99" s="159"/>
      <c r="AKV99" s="159"/>
      <c r="AKW99" s="159"/>
      <c r="AKX99" s="159"/>
      <c r="AKY99" s="159"/>
      <c r="AKZ99" s="159"/>
      <c r="ALA99" s="159"/>
      <c r="ALB99" s="159"/>
      <c r="ALC99" s="159"/>
      <c r="ALD99" s="159"/>
      <c r="ALE99" s="159"/>
      <c r="ALF99" s="159"/>
      <c r="ALG99" s="159"/>
      <c r="ALH99" s="159"/>
      <c r="ALI99" s="159"/>
      <c r="ALJ99" s="159"/>
      <c r="ALK99" s="159"/>
      <c r="ALL99" s="159"/>
      <c r="ALM99" s="159"/>
      <c r="ALN99" s="159"/>
      <c r="ALO99" s="159"/>
      <c r="ALP99" s="159"/>
      <c r="ALQ99" s="159"/>
      <c r="ALR99" s="159"/>
      <c r="ALS99" s="159"/>
      <c r="ALT99" s="159"/>
      <c r="ALU99" s="159"/>
      <c r="ALV99" s="159"/>
      <c r="ALW99" s="159"/>
      <c r="ALX99" s="159"/>
      <c r="ALY99" s="159"/>
      <c r="ALZ99" s="159"/>
      <c r="AMA99" s="159"/>
      <c r="AMB99" s="159"/>
      <c r="AMC99" s="159"/>
      <c r="AMD99" s="159"/>
      <c r="AME99" s="159"/>
      <c r="AMF99" s="159"/>
      <c r="AMG99" s="159"/>
      <c r="AMH99" s="159"/>
      <c r="AMI99" s="159"/>
      <c r="AMJ99" s="159"/>
      <c r="AMK99" s="159"/>
      <c r="AML99" s="159"/>
      <c r="AMM99" s="159"/>
      <c r="AMN99" s="159"/>
      <c r="AMO99" s="159"/>
    </row>
    <row r="100" spans="1:1029" s="161" customFormat="1" ht="25.5" x14ac:dyDescent="0.25">
      <c r="A100" s="138">
        <v>46161</v>
      </c>
      <c r="B100" s="99" t="s">
        <v>105</v>
      </c>
      <c r="C100" s="99" t="s">
        <v>77</v>
      </c>
      <c r="D100" s="160" t="s">
        <v>13</v>
      </c>
      <c r="E100" s="118" t="s">
        <v>42</v>
      </c>
      <c r="F100" s="99" t="s">
        <v>130</v>
      </c>
      <c r="G100" s="99" t="s">
        <v>21</v>
      </c>
      <c r="H100" s="141" t="b">
        <f t="shared" si="8"/>
        <v>0</v>
      </c>
      <c r="I100" s="121" t="s">
        <v>35</v>
      </c>
      <c r="J100" s="121" t="s">
        <v>30</v>
      </c>
      <c r="K100" s="121" t="s">
        <v>31</v>
      </c>
      <c r="L100" s="141" t="b">
        <f t="shared" si="9"/>
        <v>0</v>
      </c>
      <c r="M100" s="121" t="s">
        <v>14</v>
      </c>
      <c r="N100" s="121" t="s">
        <v>82</v>
      </c>
      <c r="O100" s="121" t="s">
        <v>168</v>
      </c>
      <c r="P100" s="141" t="b">
        <f t="shared" si="10"/>
        <v>0</v>
      </c>
      <c r="Q100" s="149" t="s">
        <v>8</v>
      </c>
      <c r="R100" s="99" t="s">
        <v>38</v>
      </c>
      <c r="S100" s="99" t="s">
        <v>168</v>
      </c>
      <c r="T100" s="141" t="b">
        <f t="shared" si="11"/>
        <v>0</v>
      </c>
      <c r="U100" s="159"/>
      <c r="V100" s="159"/>
      <c r="W100" s="159"/>
      <c r="X100" s="159"/>
      <c r="Y100" s="159"/>
      <c r="Z100" s="159"/>
      <c r="AA100" s="159"/>
      <c r="AB100" s="159"/>
      <c r="AC100" s="159"/>
      <c r="AD100" s="159"/>
      <c r="AE100" s="159"/>
      <c r="AF100" s="159"/>
      <c r="AG100" s="159"/>
      <c r="AH100" s="159"/>
      <c r="AI100" s="159"/>
      <c r="AJ100" s="159"/>
      <c r="AK100" s="159"/>
      <c r="AL100" s="159"/>
      <c r="AM100" s="159"/>
      <c r="AN100" s="159"/>
      <c r="AO100" s="159"/>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c r="BP100" s="159"/>
      <c r="BQ100" s="159"/>
      <c r="BR100" s="159"/>
      <c r="BS100" s="159"/>
      <c r="BT100" s="159"/>
      <c r="BU100" s="159"/>
      <c r="BV100" s="159"/>
      <c r="BW100" s="159"/>
      <c r="BX100" s="159"/>
      <c r="BY100" s="159"/>
      <c r="BZ100" s="159"/>
      <c r="CA100" s="159"/>
      <c r="CB100" s="159"/>
      <c r="CC100" s="159"/>
      <c r="CD100" s="159"/>
      <c r="CE100" s="159"/>
      <c r="CF100" s="159"/>
      <c r="CG100" s="159"/>
      <c r="CH100" s="159"/>
      <c r="CI100" s="159"/>
      <c r="CJ100" s="159"/>
      <c r="CK100" s="159"/>
      <c r="CL100" s="159"/>
      <c r="CM100" s="159"/>
      <c r="CN100" s="159"/>
      <c r="CO100" s="159"/>
      <c r="CP100" s="159"/>
      <c r="CQ100" s="159"/>
      <c r="CR100" s="159"/>
      <c r="CS100" s="159"/>
      <c r="CT100" s="159"/>
      <c r="CU100" s="159"/>
      <c r="CV100" s="159"/>
      <c r="CW100" s="159"/>
      <c r="CX100" s="159"/>
      <c r="CY100" s="159"/>
      <c r="CZ100" s="159"/>
      <c r="DA100" s="159"/>
      <c r="DB100" s="159"/>
      <c r="DC100" s="159"/>
      <c r="DD100" s="159"/>
      <c r="DE100" s="159"/>
      <c r="DF100" s="159"/>
      <c r="DG100" s="159"/>
      <c r="DH100" s="159"/>
      <c r="DI100" s="159"/>
      <c r="DJ100" s="159"/>
      <c r="DK100" s="159"/>
      <c r="DL100" s="159"/>
      <c r="DM100" s="159"/>
      <c r="DN100" s="159"/>
      <c r="DO100" s="159"/>
      <c r="DP100" s="159"/>
      <c r="DQ100" s="159"/>
      <c r="DR100" s="159"/>
      <c r="DS100" s="159"/>
      <c r="DT100" s="159"/>
      <c r="DU100" s="159"/>
      <c r="DV100" s="159"/>
      <c r="DW100" s="159"/>
      <c r="DX100" s="159"/>
      <c r="DY100" s="159"/>
      <c r="DZ100" s="159"/>
      <c r="EA100" s="159"/>
      <c r="EB100" s="159"/>
      <c r="EC100" s="159"/>
      <c r="ED100" s="159"/>
      <c r="EE100" s="159"/>
      <c r="EF100" s="159"/>
      <c r="EG100" s="159"/>
      <c r="EH100" s="159"/>
      <c r="EI100" s="159"/>
      <c r="EJ100" s="159"/>
      <c r="EK100" s="159"/>
      <c r="EL100" s="159"/>
      <c r="EM100" s="159"/>
      <c r="EN100" s="159"/>
      <c r="EO100" s="159"/>
      <c r="EP100" s="159"/>
      <c r="EQ100" s="159"/>
      <c r="ER100" s="159"/>
      <c r="ES100" s="159"/>
      <c r="ET100" s="159"/>
      <c r="EU100" s="159"/>
      <c r="EV100" s="159"/>
      <c r="EW100" s="159"/>
      <c r="EX100" s="159"/>
      <c r="EY100" s="159"/>
      <c r="EZ100" s="159"/>
      <c r="FA100" s="159"/>
      <c r="FB100" s="159"/>
      <c r="FC100" s="159"/>
      <c r="FD100" s="159"/>
      <c r="FE100" s="159"/>
      <c r="FF100" s="159"/>
      <c r="FG100" s="159"/>
      <c r="FH100" s="159"/>
      <c r="FI100" s="159"/>
      <c r="FJ100" s="159"/>
      <c r="FK100" s="159"/>
      <c r="FL100" s="159"/>
      <c r="FM100" s="159"/>
      <c r="FN100" s="159"/>
      <c r="FO100" s="159"/>
      <c r="FP100" s="159"/>
      <c r="FQ100" s="159"/>
      <c r="FR100" s="159"/>
      <c r="FS100" s="159"/>
      <c r="FT100" s="159"/>
      <c r="FU100" s="159"/>
      <c r="FV100" s="159"/>
      <c r="FW100" s="159"/>
      <c r="FX100" s="159"/>
      <c r="FY100" s="159"/>
      <c r="FZ100" s="159"/>
      <c r="GA100" s="159"/>
      <c r="GB100" s="159"/>
      <c r="GC100" s="159"/>
      <c r="GD100" s="159"/>
      <c r="GE100" s="159"/>
      <c r="GF100" s="159"/>
      <c r="GG100" s="159"/>
      <c r="GH100" s="159"/>
      <c r="GI100" s="159"/>
      <c r="GJ100" s="159"/>
      <c r="GK100" s="159"/>
      <c r="GL100" s="159"/>
      <c r="GM100" s="159"/>
      <c r="GN100" s="159"/>
      <c r="GO100" s="159"/>
      <c r="GP100" s="159"/>
      <c r="GQ100" s="159"/>
      <c r="GR100" s="159"/>
      <c r="GS100" s="159"/>
      <c r="GT100" s="159"/>
      <c r="GU100" s="159"/>
      <c r="GV100" s="159"/>
      <c r="GW100" s="159"/>
      <c r="GX100" s="159"/>
      <c r="GY100" s="159"/>
      <c r="GZ100" s="159"/>
      <c r="HA100" s="159"/>
      <c r="HB100" s="159"/>
      <c r="HC100" s="159"/>
      <c r="HD100" s="159"/>
      <c r="HE100" s="159"/>
      <c r="HF100" s="159"/>
      <c r="HG100" s="159"/>
      <c r="HH100" s="159"/>
      <c r="HI100" s="159"/>
      <c r="HJ100" s="159"/>
      <c r="HK100" s="159"/>
      <c r="HL100" s="159"/>
      <c r="HM100" s="159"/>
      <c r="HN100" s="159"/>
      <c r="HO100" s="159"/>
      <c r="HP100" s="159"/>
      <c r="HQ100" s="159"/>
      <c r="HR100" s="159"/>
      <c r="HS100" s="159"/>
      <c r="HT100" s="159"/>
      <c r="HU100" s="159"/>
      <c r="HV100" s="159"/>
      <c r="HW100" s="159"/>
      <c r="HX100" s="159"/>
      <c r="HY100" s="159"/>
      <c r="HZ100" s="159"/>
      <c r="IA100" s="159"/>
      <c r="IB100" s="159"/>
      <c r="IC100" s="159"/>
      <c r="ID100" s="159"/>
      <c r="IE100" s="159"/>
      <c r="IF100" s="159"/>
      <c r="IG100" s="159"/>
      <c r="IH100" s="159"/>
      <c r="II100" s="159"/>
      <c r="IJ100" s="159"/>
      <c r="IK100" s="159"/>
      <c r="IL100" s="159"/>
      <c r="IM100" s="159"/>
      <c r="IN100" s="159"/>
      <c r="IO100" s="159"/>
      <c r="IP100" s="159"/>
      <c r="IQ100" s="159"/>
      <c r="IR100" s="159"/>
      <c r="IS100" s="159"/>
      <c r="IT100" s="159"/>
      <c r="IU100" s="159"/>
      <c r="IV100" s="159"/>
      <c r="IW100" s="159"/>
      <c r="IX100" s="159"/>
      <c r="IY100" s="159"/>
      <c r="IZ100" s="159"/>
      <c r="JA100" s="159"/>
      <c r="JB100" s="159"/>
      <c r="JC100" s="159"/>
      <c r="JD100" s="159"/>
      <c r="JE100" s="159"/>
      <c r="JF100" s="159"/>
      <c r="JG100" s="159"/>
      <c r="JH100" s="159"/>
      <c r="JI100" s="159"/>
      <c r="JJ100" s="159"/>
      <c r="JK100" s="159"/>
      <c r="JL100" s="159"/>
      <c r="JM100" s="159"/>
      <c r="JN100" s="159"/>
      <c r="JO100" s="159"/>
      <c r="JP100" s="159"/>
      <c r="JQ100" s="159"/>
      <c r="JR100" s="159"/>
      <c r="JS100" s="159"/>
      <c r="JT100" s="159"/>
      <c r="JU100" s="159"/>
      <c r="JV100" s="159"/>
      <c r="JW100" s="159"/>
      <c r="JX100" s="159"/>
      <c r="JY100" s="159"/>
      <c r="JZ100" s="159"/>
      <c r="KA100" s="159"/>
      <c r="KB100" s="159"/>
      <c r="KC100" s="159"/>
      <c r="KD100" s="159"/>
      <c r="KE100" s="159"/>
      <c r="KF100" s="159"/>
      <c r="KG100" s="159"/>
      <c r="KH100" s="159"/>
      <c r="KI100" s="159"/>
      <c r="KJ100" s="159"/>
      <c r="KK100" s="159"/>
      <c r="KL100" s="159"/>
      <c r="KM100" s="159"/>
      <c r="KN100" s="159"/>
      <c r="KO100" s="159"/>
      <c r="KP100" s="159"/>
      <c r="KQ100" s="159"/>
      <c r="KR100" s="159"/>
      <c r="KS100" s="159"/>
      <c r="KT100" s="159"/>
      <c r="KU100" s="159"/>
      <c r="KV100" s="159"/>
      <c r="KW100" s="159"/>
      <c r="KX100" s="159"/>
      <c r="KY100" s="159"/>
      <c r="KZ100" s="159"/>
      <c r="LA100" s="159"/>
      <c r="LB100" s="159"/>
      <c r="LC100" s="159"/>
      <c r="LD100" s="159"/>
      <c r="LE100" s="159"/>
      <c r="LF100" s="159"/>
      <c r="LG100" s="159"/>
      <c r="LH100" s="159"/>
      <c r="LI100" s="159"/>
      <c r="LJ100" s="159"/>
      <c r="LK100" s="159"/>
      <c r="LL100" s="159"/>
      <c r="LM100" s="159"/>
      <c r="LN100" s="159"/>
      <c r="LO100" s="159"/>
      <c r="LP100" s="159"/>
      <c r="LQ100" s="159"/>
      <c r="LR100" s="159"/>
      <c r="LS100" s="159"/>
      <c r="LT100" s="159"/>
      <c r="LU100" s="159"/>
      <c r="LV100" s="159"/>
      <c r="LW100" s="159"/>
      <c r="LX100" s="159"/>
      <c r="LY100" s="159"/>
      <c r="LZ100" s="159"/>
      <c r="MA100" s="159"/>
      <c r="MB100" s="159"/>
      <c r="MC100" s="159"/>
      <c r="MD100" s="159"/>
      <c r="ME100" s="159"/>
      <c r="MF100" s="159"/>
      <c r="MG100" s="159"/>
      <c r="MH100" s="159"/>
      <c r="MI100" s="159"/>
      <c r="MJ100" s="159"/>
      <c r="MK100" s="159"/>
      <c r="ML100" s="159"/>
      <c r="MM100" s="159"/>
      <c r="MN100" s="159"/>
      <c r="MO100" s="159"/>
      <c r="MP100" s="159"/>
      <c r="MQ100" s="159"/>
      <c r="MR100" s="159"/>
      <c r="MS100" s="159"/>
      <c r="MT100" s="159"/>
      <c r="MU100" s="159"/>
      <c r="MV100" s="159"/>
      <c r="MW100" s="159"/>
      <c r="MX100" s="159"/>
      <c r="MY100" s="159"/>
      <c r="MZ100" s="159"/>
      <c r="NA100" s="159"/>
      <c r="NB100" s="159"/>
      <c r="NC100" s="159"/>
      <c r="ND100" s="159"/>
      <c r="NE100" s="159"/>
      <c r="NF100" s="159"/>
      <c r="NG100" s="159"/>
      <c r="NH100" s="159"/>
      <c r="NI100" s="159"/>
      <c r="NJ100" s="159"/>
      <c r="NK100" s="159"/>
      <c r="NL100" s="159"/>
      <c r="NM100" s="159"/>
      <c r="NN100" s="159"/>
      <c r="NO100" s="159"/>
      <c r="NP100" s="159"/>
      <c r="NQ100" s="159"/>
      <c r="NR100" s="159"/>
      <c r="NS100" s="159"/>
      <c r="NT100" s="159"/>
      <c r="NU100" s="159"/>
      <c r="NV100" s="159"/>
      <c r="NW100" s="159"/>
      <c r="NX100" s="159"/>
      <c r="NY100" s="159"/>
      <c r="NZ100" s="159"/>
      <c r="OA100" s="159"/>
      <c r="OB100" s="159"/>
      <c r="OC100" s="159"/>
      <c r="OD100" s="159"/>
      <c r="OE100" s="159"/>
      <c r="OF100" s="159"/>
      <c r="OG100" s="159"/>
      <c r="OH100" s="159"/>
      <c r="OI100" s="159"/>
      <c r="OJ100" s="159"/>
      <c r="OK100" s="159"/>
      <c r="OL100" s="159"/>
      <c r="OM100" s="159"/>
      <c r="ON100" s="159"/>
      <c r="OO100" s="159"/>
      <c r="OP100" s="159"/>
      <c r="OQ100" s="159"/>
      <c r="OR100" s="159"/>
      <c r="OS100" s="159"/>
      <c r="OT100" s="159"/>
      <c r="OU100" s="159"/>
      <c r="OV100" s="159"/>
      <c r="OW100" s="159"/>
      <c r="OX100" s="159"/>
      <c r="OY100" s="159"/>
      <c r="OZ100" s="159"/>
      <c r="PA100" s="159"/>
      <c r="PB100" s="159"/>
      <c r="PC100" s="159"/>
      <c r="PD100" s="159"/>
      <c r="PE100" s="159"/>
      <c r="PF100" s="159"/>
      <c r="PG100" s="159"/>
      <c r="PH100" s="159"/>
      <c r="PI100" s="159"/>
      <c r="PJ100" s="159"/>
      <c r="PK100" s="159"/>
      <c r="PL100" s="159"/>
      <c r="PM100" s="159"/>
      <c r="PN100" s="159"/>
      <c r="PO100" s="159"/>
      <c r="PP100" s="159"/>
      <c r="PQ100" s="159"/>
      <c r="PR100" s="159"/>
      <c r="PS100" s="159"/>
      <c r="PT100" s="159"/>
      <c r="PU100" s="159"/>
      <c r="PV100" s="159"/>
      <c r="PW100" s="159"/>
      <c r="PX100" s="159"/>
      <c r="PY100" s="159"/>
      <c r="PZ100" s="159"/>
      <c r="QA100" s="159"/>
      <c r="QB100" s="159"/>
      <c r="QC100" s="159"/>
      <c r="QD100" s="159"/>
      <c r="QE100" s="159"/>
      <c r="QF100" s="159"/>
      <c r="QG100" s="159"/>
      <c r="QH100" s="159"/>
      <c r="QI100" s="159"/>
      <c r="QJ100" s="159"/>
      <c r="QK100" s="159"/>
      <c r="QL100" s="159"/>
      <c r="QM100" s="159"/>
      <c r="QN100" s="159"/>
      <c r="QO100" s="159"/>
      <c r="QP100" s="159"/>
      <c r="QQ100" s="159"/>
      <c r="QR100" s="159"/>
      <c r="QS100" s="159"/>
      <c r="QT100" s="159"/>
      <c r="QU100" s="159"/>
      <c r="QV100" s="159"/>
      <c r="QW100" s="159"/>
      <c r="QX100" s="159"/>
      <c r="QY100" s="159"/>
      <c r="QZ100" s="159"/>
      <c r="RA100" s="159"/>
      <c r="RB100" s="159"/>
      <c r="RC100" s="159"/>
      <c r="RD100" s="159"/>
      <c r="RE100" s="159"/>
      <c r="RF100" s="159"/>
      <c r="RG100" s="159"/>
      <c r="RH100" s="159"/>
      <c r="RI100" s="159"/>
      <c r="RJ100" s="159"/>
      <c r="RK100" s="159"/>
      <c r="RL100" s="159"/>
      <c r="RM100" s="159"/>
      <c r="RN100" s="159"/>
      <c r="RO100" s="159"/>
      <c r="RP100" s="159"/>
      <c r="RQ100" s="159"/>
      <c r="RR100" s="159"/>
      <c r="RS100" s="159"/>
      <c r="RT100" s="159"/>
      <c r="RU100" s="159"/>
      <c r="RV100" s="159"/>
      <c r="RW100" s="159"/>
      <c r="RX100" s="159"/>
      <c r="RY100" s="159"/>
      <c r="RZ100" s="159"/>
      <c r="SA100" s="159"/>
      <c r="SB100" s="159"/>
      <c r="SC100" s="159"/>
      <c r="SD100" s="159"/>
      <c r="SE100" s="159"/>
      <c r="SF100" s="159"/>
      <c r="SG100" s="159"/>
      <c r="SH100" s="159"/>
      <c r="SI100" s="159"/>
      <c r="SJ100" s="159"/>
      <c r="SK100" s="159"/>
      <c r="SL100" s="159"/>
      <c r="SM100" s="159"/>
      <c r="SN100" s="159"/>
      <c r="SO100" s="159"/>
      <c r="SP100" s="159"/>
      <c r="SQ100" s="159"/>
      <c r="SR100" s="159"/>
      <c r="SS100" s="159"/>
      <c r="ST100" s="159"/>
      <c r="SU100" s="159"/>
      <c r="SV100" s="159"/>
      <c r="SW100" s="159"/>
      <c r="SX100" s="159"/>
      <c r="SY100" s="159"/>
      <c r="SZ100" s="159"/>
      <c r="TA100" s="159"/>
      <c r="TB100" s="159"/>
      <c r="TC100" s="159"/>
      <c r="TD100" s="159"/>
      <c r="TE100" s="159"/>
      <c r="TF100" s="159"/>
      <c r="TG100" s="159"/>
      <c r="TH100" s="159"/>
      <c r="TI100" s="159"/>
      <c r="TJ100" s="159"/>
      <c r="TK100" s="159"/>
      <c r="TL100" s="159"/>
      <c r="TM100" s="159"/>
      <c r="TN100" s="159"/>
      <c r="TO100" s="159"/>
      <c r="TP100" s="159"/>
      <c r="TQ100" s="159"/>
      <c r="TR100" s="159"/>
      <c r="TS100" s="159"/>
      <c r="TT100" s="159"/>
      <c r="TU100" s="159"/>
      <c r="TV100" s="159"/>
      <c r="TW100" s="159"/>
      <c r="TX100" s="159"/>
      <c r="TY100" s="159"/>
      <c r="TZ100" s="159"/>
      <c r="UA100" s="159"/>
      <c r="UB100" s="159"/>
      <c r="UC100" s="159"/>
      <c r="UD100" s="159"/>
      <c r="UE100" s="159"/>
      <c r="UF100" s="159"/>
      <c r="UG100" s="159"/>
      <c r="UH100" s="159"/>
      <c r="UI100" s="159"/>
      <c r="UJ100" s="159"/>
      <c r="UK100" s="159"/>
      <c r="UL100" s="159"/>
      <c r="UM100" s="159"/>
      <c r="UN100" s="159"/>
      <c r="UO100" s="159"/>
      <c r="UP100" s="159"/>
      <c r="UQ100" s="159"/>
      <c r="UR100" s="159"/>
      <c r="US100" s="159"/>
      <c r="UT100" s="159"/>
      <c r="UU100" s="159"/>
      <c r="UV100" s="159"/>
      <c r="UW100" s="159"/>
      <c r="UX100" s="159"/>
      <c r="UY100" s="159"/>
      <c r="UZ100" s="159"/>
      <c r="VA100" s="159"/>
      <c r="VB100" s="159"/>
      <c r="VC100" s="159"/>
      <c r="VD100" s="159"/>
      <c r="VE100" s="159"/>
      <c r="VF100" s="159"/>
      <c r="VG100" s="159"/>
      <c r="VH100" s="159"/>
      <c r="VI100" s="159"/>
      <c r="VJ100" s="159"/>
      <c r="VK100" s="159"/>
      <c r="VL100" s="159"/>
      <c r="VM100" s="159"/>
      <c r="VN100" s="159"/>
      <c r="VO100" s="159"/>
      <c r="VP100" s="159"/>
      <c r="VQ100" s="159"/>
      <c r="VR100" s="159"/>
      <c r="VS100" s="159"/>
      <c r="VT100" s="159"/>
      <c r="VU100" s="159"/>
      <c r="VV100" s="159"/>
      <c r="VW100" s="159"/>
      <c r="VX100" s="159"/>
      <c r="VY100" s="159"/>
      <c r="VZ100" s="159"/>
      <c r="WA100" s="159"/>
      <c r="WB100" s="159"/>
      <c r="WC100" s="159"/>
      <c r="WD100" s="159"/>
      <c r="WE100" s="159"/>
      <c r="WF100" s="159"/>
      <c r="WG100" s="159"/>
      <c r="WH100" s="159"/>
      <c r="WI100" s="159"/>
      <c r="WJ100" s="159"/>
      <c r="WK100" s="159"/>
      <c r="WL100" s="159"/>
      <c r="WM100" s="159"/>
      <c r="WN100" s="159"/>
      <c r="WO100" s="159"/>
      <c r="WP100" s="159"/>
      <c r="WQ100" s="159"/>
      <c r="WR100" s="159"/>
      <c r="WS100" s="159"/>
      <c r="WT100" s="159"/>
      <c r="WU100" s="159"/>
      <c r="WV100" s="159"/>
      <c r="WW100" s="159"/>
      <c r="WX100" s="159"/>
      <c r="WY100" s="159"/>
      <c r="WZ100" s="159"/>
      <c r="XA100" s="159"/>
      <c r="XB100" s="159"/>
      <c r="XC100" s="159"/>
      <c r="XD100" s="159"/>
      <c r="XE100" s="159"/>
      <c r="XF100" s="159"/>
      <c r="XG100" s="159"/>
      <c r="XH100" s="159"/>
      <c r="XI100" s="159"/>
      <c r="XJ100" s="159"/>
      <c r="XK100" s="159"/>
      <c r="XL100" s="159"/>
      <c r="XM100" s="159"/>
      <c r="XN100" s="159"/>
      <c r="XO100" s="159"/>
      <c r="XP100" s="159"/>
      <c r="XQ100" s="159"/>
      <c r="XR100" s="159"/>
      <c r="XS100" s="159"/>
      <c r="XT100" s="159"/>
      <c r="XU100" s="159"/>
      <c r="XV100" s="159"/>
      <c r="XW100" s="159"/>
      <c r="XX100" s="159"/>
      <c r="XY100" s="159"/>
      <c r="XZ100" s="159"/>
      <c r="YA100" s="159"/>
      <c r="YB100" s="159"/>
      <c r="YC100" s="159"/>
      <c r="YD100" s="159"/>
      <c r="YE100" s="159"/>
      <c r="YF100" s="159"/>
      <c r="YG100" s="159"/>
      <c r="YH100" s="159"/>
      <c r="YI100" s="159"/>
      <c r="YJ100" s="159"/>
      <c r="YK100" s="159"/>
      <c r="YL100" s="159"/>
      <c r="YM100" s="159"/>
      <c r="YN100" s="159"/>
      <c r="YO100" s="159"/>
      <c r="YP100" s="159"/>
      <c r="YQ100" s="159"/>
      <c r="YR100" s="159"/>
      <c r="YS100" s="159"/>
      <c r="YT100" s="159"/>
      <c r="YU100" s="159"/>
      <c r="YV100" s="159"/>
      <c r="YW100" s="159"/>
      <c r="YX100" s="159"/>
      <c r="YY100" s="159"/>
      <c r="YZ100" s="159"/>
      <c r="ZA100" s="159"/>
      <c r="ZB100" s="159"/>
      <c r="ZC100" s="159"/>
      <c r="ZD100" s="159"/>
      <c r="ZE100" s="159"/>
      <c r="ZF100" s="159"/>
      <c r="ZG100" s="159"/>
      <c r="ZH100" s="159"/>
      <c r="ZI100" s="159"/>
      <c r="ZJ100" s="159"/>
      <c r="ZK100" s="159"/>
      <c r="ZL100" s="159"/>
      <c r="ZM100" s="159"/>
      <c r="ZN100" s="159"/>
      <c r="ZO100" s="159"/>
      <c r="ZP100" s="159"/>
      <c r="ZQ100" s="159"/>
      <c r="ZR100" s="159"/>
      <c r="ZS100" s="159"/>
      <c r="ZT100" s="159"/>
      <c r="ZU100" s="159"/>
      <c r="ZV100" s="159"/>
      <c r="ZW100" s="159"/>
      <c r="ZX100" s="159"/>
      <c r="ZY100" s="159"/>
      <c r="ZZ100" s="159"/>
      <c r="AAA100" s="159"/>
      <c r="AAB100" s="159"/>
      <c r="AAC100" s="159"/>
      <c r="AAD100" s="159"/>
      <c r="AAE100" s="159"/>
      <c r="AAF100" s="159"/>
      <c r="AAG100" s="159"/>
      <c r="AAH100" s="159"/>
      <c r="AAI100" s="159"/>
      <c r="AAJ100" s="159"/>
      <c r="AAK100" s="159"/>
      <c r="AAL100" s="159"/>
      <c r="AAM100" s="159"/>
      <c r="AAN100" s="159"/>
      <c r="AAO100" s="159"/>
      <c r="AAP100" s="159"/>
      <c r="AAQ100" s="159"/>
      <c r="AAR100" s="159"/>
      <c r="AAS100" s="159"/>
      <c r="AAT100" s="159"/>
      <c r="AAU100" s="159"/>
      <c r="AAV100" s="159"/>
      <c r="AAW100" s="159"/>
      <c r="AAX100" s="159"/>
      <c r="AAY100" s="159"/>
      <c r="AAZ100" s="159"/>
      <c r="ABA100" s="159"/>
      <c r="ABB100" s="159"/>
      <c r="ABC100" s="159"/>
      <c r="ABD100" s="159"/>
      <c r="ABE100" s="159"/>
      <c r="ABF100" s="159"/>
      <c r="ABG100" s="159"/>
      <c r="ABH100" s="159"/>
      <c r="ABI100" s="159"/>
      <c r="ABJ100" s="159"/>
      <c r="ABK100" s="159"/>
      <c r="ABL100" s="159"/>
      <c r="ABM100" s="159"/>
      <c r="ABN100" s="159"/>
      <c r="ABO100" s="159"/>
      <c r="ABP100" s="159"/>
      <c r="ABQ100" s="159"/>
      <c r="ABR100" s="159"/>
      <c r="ABS100" s="159"/>
      <c r="ABT100" s="159"/>
      <c r="ABU100" s="159"/>
      <c r="ABV100" s="159"/>
      <c r="ABW100" s="159"/>
      <c r="ABX100" s="159"/>
      <c r="ABY100" s="159"/>
      <c r="ABZ100" s="159"/>
      <c r="ACA100" s="159"/>
      <c r="ACB100" s="159"/>
      <c r="ACC100" s="159"/>
      <c r="ACD100" s="159"/>
      <c r="ACE100" s="159"/>
      <c r="ACF100" s="159"/>
      <c r="ACG100" s="159"/>
      <c r="ACH100" s="159"/>
      <c r="ACI100" s="159"/>
      <c r="ACJ100" s="159"/>
      <c r="ACK100" s="159"/>
      <c r="ACL100" s="159"/>
      <c r="ACM100" s="159"/>
      <c r="ACN100" s="159"/>
      <c r="ACO100" s="159"/>
      <c r="ACP100" s="159"/>
      <c r="ACQ100" s="159"/>
      <c r="ACR100" s="159"/>
      <c r="ACS100" s="159"/>
      <c r="ACT100" s="159"/>
      <c r="ACU100" s="159"/>
      <c r="ACV100" s="159"/>
      <c r="ACW100" s="159"/>
      <c r="ACX100" s="159"/>
      <c r="ACY100" s="159"/>
      <c r="ACZ100" s="159"/>
      <c r="ADA100" s="159"/>
      <c r="ADB100" s="159"/>
      <c r="ADC100" s="159"/>
      <c r="ADD100" s="159"/>
      <c r="ADE100" s="159"/>
      <c r="ADF100" s="159"/>
      <c r="ADG100" s="159"/>
      <c r="ADH100" s="159"/>
      <c r="ADI100" s="159"/>
      <c r="ADJ100" s="159"/>
      <c r="ADK100" s="159"/>
      <c r="ADL100" s="159"/>
      <c r="ADM100" s="159"/>
      <c r="ADN100" s="159"/>
      <c r="ADO100" s="159"/>
      <c r="ADP100" s="159"/>
      <c r="ADQ100" s="159"/>
      <c r="ADR100" s="159"/>
      <c r="ADS100" s="159"/>
      <c r="ADT100" s="159"/>
      <c r="ADU100" s="159"/>
      <c r="ADV100" s="159"/>
      <c r="ADW100" s="159"/>
      <c r="ADX100" s="159"/>
      <c r="ADY100" s="159"/>
      <c r="ADZ100" s="159"/>
      <c r="AEA100" s="159"/>
      <c r="AEB100" s="159"/>
      <c r="AEC100" s="159"/>
      <c r="AED100" s="159"/>
      <c r="AEE100" s="159"/>
      <c r="AEF100" s="159"/>
      <c r="AEG100" s="159"/>
      <c r="AEH100" s="159"/>
      <c r="AEI100" s="159"/>
      <c r="AEJ100" s="159"/>
      <c r="AEK100" s="159"/>
      <c r="AEL100" s="159"/>
      <c r="AEM100" s="159"/>
      <c r="AEN100" s="159"/>
      <c r="AEO100" s="159"/>
      <c r="AEP100" s="159"/>
      <c r="AEQ100" s="159"/>
      <c r="AER100" s="159"/>
      <c r="AES100" s="159"/>
      <c r="AET100" s="159"/>
      <c r="AEU100" s="159"/>
      <c r="AEV100" s="159"/>
      <c r="AEW100" s="159"/>
      <c r="AEX100" s="159"/>
      <c r="AEY100" s="159"/>
      <c r="AEZ100" s="159"/>
      <c r="AFA100" s="159"/>
      <c r="AFB100" s="159"/>
      <c r="AFC100" s="159"/>
      <c r="AFD100" s="159"/>
      <c r="AFE100" s="159"/>
      <c r="AFF100" s="159"/>
      <c r="AFG100" s="159"/>
      <c r="AFH100" s="159"/>
      <c r="AFI100" s="159"/>
      <c r="AFJ100" s="159"/>
      <c r="AFK100" s="159"/>
      <c r="AFL100" s="159"/>
      <c r="AFM100" s="159"/>
      <c r="AFN100" s="159"/>
      <c r="AFO100" s="159"/>
      <c r="AFP100" s="159"/>
      <c r="AFQ100" s="159"/>
      <c r="AFR100" s="159"/>
      <c r="AFS100" s="159"/>
      <c r="AFT100" s="159"/>
      <c r="AFU100" s="159"/>
      <c r="AFV100" s="159"/>
      <c r="AFW100" s="159"/>
      <c r="AFX100" s="159"/>
      <c r="AFY100" s="159"/>
      <c r="AFZ100" s="159"/>
      <c r="AGA100" s="159"/>
      <c r="AGB100" s="159"/>
      <c r="AGC100" s="159"/>
      <c r="AGD100" s="159"/>
      <c r="AGE100" s="159"/>
      <c r="AGF100" s="159"/>
      <c r="AGG100" s="159"/>
      <c r="AGH100" s="159"/>
      <c r="AGI100" s="159"/>
      <c r="AGJ100" s="159"/>
      <c r="AGK100" s="159"/>
      <c r="AGL100" s="159"/>
      <c r="AGM100" s="159"/>
      <c r="AGN100" s="159"/>
      <c r="AGO100" s="159"/>
      <c r="AGP100" s="159"/>
      <c r="AGQ100" s="159"/>
      <c r="AGR100" s="159"/>
      <c r="AGS100" s="159"/>
      <c r="AGT100" s="159"/>
      <c r="AGU100" s="159"/>
      <c r="AGV100" s="159"/>
      <c r="AGW100" s="159"/>
      <c r="AGX100" s="159"/>
      <c r="AGY100" s="159"/>
      <c r="AGZ100" s="159"/>
      <c r="AHA100" s="159"/>
      <c r="AHB100" s="159"/>
      <c r="AHC100" s="159"/>
      <c r="AHD100" s="159"/>
      <c r="AHE100" s="159"/>
      <c r="AHF100" s="159"/>
      <c r="AHG100" s="159"/>
      <c r="AHH100" s="159"/>
      <c r="AHI100" s="159"/>
      <c r="AHJ100" s="159"/>
      <c r="AHK100" s="159"/>
      <c r="AHL100" s="159"/>
      <c r="AHM100" s="159"/>
      <c r="AHN100" s="159"/>
      <c r="AHO100" s="159"/>
      <c r="AHP100" s="159"/>
      <c r="AHQ100" s="159"/>
      <c r="AHR100" s="159"/>
      <c r="AHS100" s="159"/>
      <c r="AHT100" s="159"/>
      <c r="AHU100" s="159"/>
      <c r="AHV100" s="159"/>
      <c r="AHW100" s="159"/>
      <c r="AHX100" s="159"/>
      <c r="AHY100" s="159"/>
      <c r="AHZ100" s="159"/>
      <c r="AIA100" s="159"/>
      <c r="AIB100" s="159"/>
      <c r="AIC100" s="159"/>
      <c r="AID100" s="159"/>
      <c r="AIE100" s="159"/>
      <c r="AIF100" s="159"/>
      <c r="AIG100" s="159"/>
      <c r="AIH100" s="159"/>
      <c r="AII100" s="159"/>
      <c r="AIJ100" s="159"/>
      <c r="AIK100" s="159"/>
      <c r="AIL100" s="159"/>
      <c r="AIM100" s="159"/>
      <c r="AIN100" s="159"/>
      <c r="AIO100" s="159"/>
      <c r="AIP100" s="159"/>
      <c r="AIQ100" s="159"/>
      <c r="AIR100" s="159"/>
      <c r="AIS100" s="159"/>
      <c r="AIT100" s="159"/>
      <c r="AIU100" s="159"/>
      <c r="AIV100" s="159"/>
      <c r="AIW100" s="159"/>
      <c r="AIX100" s="159"/>
      <c r="AIY100" s="159"/>
      <c r="AIZ100" s="159"/>
      <c r="AJA100" s="159"/>
      <c r="AJB100" s="159"/>
      <c r="AJC100" s="159"/>
      <c r="AJD100" s="159"/>
      <c r="AJE100" s="159"/>
      <c r="AJF100" s="159"/>
      <c r="AJG100" s="159"/>
      <c r="AJH100" s="159"/>
      <c r="AJI100" s="159"/>
      <c r="AJJ100" s="159"/>
      <c r="AJK100" s="159"/>
      <c r="AJL100" s="159"/>
      <c r="AJM100" s="159"/>
      <c r="AJN100" s="159"/>
      <c r="AJO100" s="159"/>
      <c r="AJP100" s="159"/>
      <c r="AJQ100" s="159"/>
      <c r="AJR100" s="159"/>
      <c r="AJS100" s="159"/>
      <c r="AJT100" s="159"/>
      <c r="AJU100" s="159"/>
      <c r="AJV100" s="159"/>
      <c r="AJW100" s="159"/>
      <c r="AJX100" s="159"/>
      <c r="AJY100" s="159"/>
      <c r="AJZ100" s="159"/>
      <c r="AKA100" s="159"/>
      <c r="AKB100" s="159"/>
      <c r="AKC100" s="159"/>
      <c r="AKD100" s="159"/>
      <c r="AKE100" s="159"/>
      <c r="AKF100" s="159"/>
      <c r="AKG100" s="159"/>
      <c r="AKH100" s="159"/>
      <c r="AKI100" s="159"/>
      <c r="AKJ100" s="159"/>
      <c r="AKK100" s="159"/>
      <c r="AKL100" s="159"/>
      <c r="AKM100" s="159"/>
      <c r="AKN100" s="159"/>
      <c r="AKO100" s="159"/>
      <c r="AKP100" s="159"/>
      <c r="AKQ100" s="159"/>
      <c r="AKR100" s="159"/>
      <c r="AKS100" s="159"/>
      <c r="AKT100" s="159"/>
      <c r="AKU100" s="159"/>
      <c r="AKV100" s="159"/>
      <c r="AKW100" s="159"/>
      <c r="AKX100" s="159"/>
      <c r="AKY100" s="159"/>
      <c r="AKZ100" s="159"/>
      <c r="ALA100" s="159"/>
      <c r="ALB100" s="159"/>
      <c r="ALC100" s="159"/>
      <c r="ALD100" s="159"/>
      <c r="ALE100" s="159"/>
      <c r="ALF100" s="159"/>
      <c r="ALG100" s="159"/>
      <c r="ALH100" s="159"/>
      <c r="ALI100" s="159"/>
      <c r="ALJ100" s="159"/>
      <c r="ALK100" s="159"/>
      <c r="ALL100" s="159"/>
      <c r="ALM100" s="159"/>
      <c r="ALN100" s="159"/>
      <c r="ALO100" s="159"/>
      <c r="ALP100" s="159"/>
      <c r="ALQ100" s="159"/>
      <c r="ALR100" s="159"/>
      <c r="ALS100" s="159"/>
      <c r="ALT100" s="159"/>
      <c r="ALU100" s="159"/>
      <c r="ALV100" s="159"/>
      <c r="ALW100" s="159"/>
      <c r="ALX100" s="159"/>
      <c r="ALY100" s="159"/>
      <c r="ALZ100" s="159"/>
      <c r="AMA100" s="159"/>
      <c r="AMB100" s="159"/>
      <c r="AMC100" s="159"/>
      <c r="AMD100" s="159"/>
      <c r="AME100" s="159"/>
      <c r="AMF100" s="159"/>
      <c r="AMG100" s="159"/>
      <c r="AMH100" s="159"/>
      <c r="AMI100" s="159"/>
      <c r="AMJ100" s="159"/>
      <c r="AMK100" s="159"/>
      <c r="AML100" s="159"/>
      <c r="AMM100" s="159"/>
      <c r="AMN100" s="159"/>
      <c r="AMO100" s="159"/>
    </row>
    <row r="101" spans="1:1029" s="161" customFormat="1" ht="25.5" x14ac:dyDescent="0.25">
      <c r="A101" s="138">
        <v>46162</v>
      </c>
      <c r="B101" s="99" t="s">
        <v>138</v>
      </c>
      <c r="C101" s="99" t="s">
        <v>10</v>
      </c>
      <c r="D101" s="160" t="s">
        <v>11</v>
      </c>
      <c r="E101" s="118" t="s">
        <v>47</v>
      </c>
      <c r="F101" s="99" t="s">
        <v>38</v>
      </c>
      <c r="G101" s="99" t="s">
        <v>31</v>
      </c>
      <c r="H101" s="141" t="b">
        <f t="shared" si="8"/>
        <v>0</v>
      </c>
      <c r="I101" s="121" t="s">
        <v>42</v>
      </c>
      <c r="J101" s="121" t="s">
        <v>163</v>
      </c>
      <c r="K101" s="121" t="s">
        <v>27</v>
      </c>
      <c r="L101" s="141" t="b">
        <f t="shared" si="9"/>
        <v>0</v>
      </c>
      <c r="M101" s="121" t="s">
        <v>87</v>
      </c>
      <c r="N101" s="121" t="s">
        <v>130</v>
      </c>
      <c r="O101" s="121" t="s">
        <v>21</v>
      </c>
      <c r="P101" s="141" t="b">
        <f t="shared" si="10"/>
        <v>0</v>
      </c>
      <c r="Q101" s="149" t="s">
        <v>42</v>
      </c>
      <c r="R101" s="99" t="s">
        <v>130</v>
      </c>
      <c r="S101" s="99" t="s">
        <v>16</v>
      </c>
      <c r="T101" s="141" t="b">
        <f t="shared" si="11"/>
        <v>0</v>
      </c>
      <c r="U101" s="159"/>
      <c r="V101" s="159"/>
      <c r="W101" s="159"/>
      <c r="X101" s="159"/>
      <c r="Y101" s="159"/>
      <c r="Z101" s="159"/>
      <c r="AA101" s="159"/>
      <c r="AB101" s="159"/>
      <c r="AC101" s="159"/>
      <c r="AD101" s="159"/>
      <c r="AE101" s="159"/>
      <c r="AF101" s="159"/>
      <c r="AG101" s="159"/>
      <c r="AH101" s="159"/>
      <c r="AI101" s="159"/>
      <c r="AJ101" s="159"/>
      <c r="AK101" s="159"/>
      <c r="AL101" s="159"/>
      <c r="AM101" s="159"/>
      <c r="AN101" s="159"/>
      <c r="AO101" s="159"/>
      <c r="AP101" s="159"/>
      <c r="AQ101" s="159"/>
      <c r="AR101" s="159"/>
      <c r="AS101" s="159"/>
      <c r="AT101" s="159"/>
      <c r="AU101" s="159"/>
      <c r="AV101" s="159"/>
      <c r="AW101" s="159"/>
      <c r="AX101" s="159"/>
      <c r="AY101" s="159"/>
      <c r="AZ101" s="159"/>
      <c r="BA101" s="159"/>
      <c r="BB101" s="159"/>
      <c r="BC101" s="159"/>
      <c r="BD101" s="159"/>
      <c r="BE101" s="159"/>
      <c r="BF101" s="159"/>
      <c r="BG101" s="159"/>
      <c r="BH101" s="159"/>
      <c r="BI101" s="159"/>
      <c r="BJ101" s="159"/>
      <c r="BK101" s="159"/>
      <c r="BL101" s="159"/>
      <c r="BM101" s="159"/>
      <c r="BN101" s="159"/>
      <c r="BO101" s="159"/>
      <c r="BP101" s="159"/>
      <c r="BQ101" s="159"/>
      <c r="BR101" s="159"/>
      <c r="BS101" s="159"/>
      <c r="BT101" s="159"/>
      <c r="BU101" s="159"/>
      <c r="BV101" s="159"/>
      <c r="BW101" s="159"/>
      <c r="BX101" s="159"/>
      <c r="BY101" s="159"/>
      <c r="BZ101" s="159"/>
      <c r="CA101" s="159"/>
      <c r="CB101" s="159"/>
      <c r="CC101" s="159"/>
      <c r="CD101" s="159"/>
      <c r="CE101" s="159"/>
      <c r="CF101" s="159"/>
      <c r="CG101" s="159"/>
      <c r="CH101" s="159"/>
      <c r="CI101" s="159"/>
      <c r="CJ101" s="159"/>
      <c r="CK101" s="159"/>
      <c r="CL101" s="159"/>
      <c r="CM101" s="159"/>
      <c r="CN101" s="159"/>
      <c r="CO101" s="159"/>
      <c r="CP101" s="159"/>
      <c r="CQ101" s="159"/>
      <c r="CR101" s="159"/>
      <c r="CS101" s="159"/>
      <c r="CT101" s="159"/>
      <c r="CU101" s="159"/>
      <c r="CV101" s="159"/>
      <c r="CW101" s="159"/>
      <c r="CX101" s="159"/>
      <c r="CY101" s="159"/>
      <c r="CZ101" s="159"/>
      <c r="DA101" s="159"/>
      <c r="DB101" s="159"/>
      <c r="DC101" s="159"/>
      <c r="DD101" s="159"/>
      <c r="DE101" s="159"/>
      <c r="DF101" s="159"/>
      <c r="DG101" s="159"/>
      <c r="DH101" s="159"/>
      <c r="DI101" s="159"/>
      <c r="DJ101" s="159"/>
      <c r="DK101" s="159"/>
      <c r="DL101" s="159"/>
      <c r="DM101" s="159"/>
      <c r="DN101" s="159"/>
      <c r="DO101" s="159"/>
      <c r="DP101" s="159"/>
      <c r="DQ101" s="159"/>
      <c r="DR101" s="159"/>
      <c r="DS101" s="159"/>
      <c r="DT101" s="159"/>
      <c r="DU101" s="159"/>
      <c r="DV101" s="159"/>
      <c r="DW101" s="159"/>
      <c r="DX101" s="159"/>
      <c r="DY101" s="159"/>
      <c r="DZ101" s="159"/>
      <c r="EA101" s="159"/>
      <c r="EB101" s="159"/>
      <c r="EC101" s="159"/>
      <c r="ED101" s="159"/>
      <c r="EE101" s="159"/>
      <c r="EF101" s="159"/>
      <c r="EG101" s="159"/>
      <c r="EH101" s="159"/>
      <c r="EI101" s="159"/>
      <c r="EJ101" s="159"/>
      <c r="EK101" s="159"/>
      <c r="EL101" s="159"/>
      <c r="EM101" s="159"/>
      <c r="EN101" s="159"/>
      <c r="EO101" s="159"/>
      <c r="EP101" s="159"/>
      <c r="EQ101" s="159"/>
      <c r="ER101" s="159"/>
      <c r="ES101" s="159"/>
      <c r="ET101" s="159"/>
      <c r="EU101" s="159"/>
      <c r="EV101" s="159"/>
      <c r="EW101" s="159"/>
      <c r="EX101" s="159"/>
      <c r="EY101" s="159"/>
      <c r="EZ101" s="159"/>
      <c r="FA101" s="159"/>
      <c r="FB101" s="159"/>
      <c r="FC101" s="159"/>
      <c r="FD101" s="159"/>
      <c r="FE101" s="159"/>
      <c r="FF101" s="159"/>
      <c r="FG101" s="159"/>
      <c r="FH101" s="159"/>
      <c r="FI101" s="159"/>
      <c r="FJ101" s="159"/>
      <c r="FK101" s="159"/>
      <c r="FL101" s="159"/>
      <c r="FM101" s="159"/>
      <c r="FN101" s="159"/>
      <c r="FO101" s="159"/>
      <c r="FP101" s="159"/>
      <c r="FQ101" s="159"/>
      <c r="FR101" s="159"/>
      <c r="FS101" s="159"/>
      <c r="FT101" s="159"/>
      <c r="FU101" s="159"/>
      <c r="FV101" s="159"/>
      <c r="FW101" s="159"/>
      <c r="FX101" s="159"/>
      <c r="FY101" s="159"/>
      <c r="FZ101" s="159"/>
      <c r="GA101" s="159"/>
      <c r="GB101" s="159"/>
      <c r="GC101" s="159"/>
      <c r="GD101" s="159"/>
      <c r="GE101" s="159"/>
      <c r="GF101" s="159"/>
      <c r="GG101" s="159"/>
      <c r="GH101" s="159"/>
      <c r="GI101" s="159"/>
      <c r="GJ101" s="159"/>
      <c r="GK101" s="159"/>
      <c r="GL101" s="159"/>
      <c r="GM101" s="159"/>
      <c r="GN101" s="159"/>
      <c r="GO101" s="159"/>
      <c r="GP101" s="159"/>
      <c r="GQ101" s="159"/>
      <c r="GR101" s="159"/>
      <c r="GS101" s="159"/>
      <c r="GT101" s="159"/>
      <c r="GU101" s="159"/>
      <c r="GV101" s="159"/>
      <c r="GW101" s="159"/>
      <c r="GX101" s="159"/>
      <c r="GY101" s="159"/>
      <c r="GZ101" s="159"/>
      <c r="HA101" s="159"/>
      <c r="HB101" s="159"/>
      <c r="HC101" s="159"/>
      <c r="HD101" s="159"/>
      <c r="HE101" s="159"/>
      <c r="HF101" s="159"/>
      <c r="HG101" s="159"/>
      <c r="HH101" s="159"/>
      <c r="HI101" s="159"/>
      <c r="HJ101" s="159"/>
      <c r="HK101" s="159"/>
      <c r="HL101" s="159"/>
      <c r="HM101" s="159"/>
      <c r="HN101" s="159"/>
      <c r="HO101" s="159"/>
      <c r="HP101" s="159"/>
      <c r="HQ101" s="159"/>
      <c r="HR101" s="159"/>
      <c r="HS101" s="159"/>
      <c r="HT101" s="159"/>
      <c r="HU101" s="159"/>
      <c r="HV101" s="159"/>
      <c r="HW101" s="159"/>
      <c r="HX101" s="159"/>
      <c r="HY101" s="159"/>
      <c r="HZ101" s="159"/>
      <c r="IA101" s="159"/>
      <c r="IB101" s="159"/>
      <c r="IC101" s="159"/>
      <c r="ID101" s="159"/>
      <c r="IE101" s="159"/>
      <c r="IF101" s="159"/>
      <c r="IG101" s="159"/>
      <c r="IH101" s="159"/>
      <c r="II101" s="159"/>
      <c r="IJ101" s="159"/>
      <c r="IK101" s="159"/>
      <c r="IL101" s="159"/>
      <c r="IM101" s="159"/>
      <c r="IN101" s="159"/>
      <c r="IO101" s="159"/>
      <c r="IP101" s="159"/>
      <c r="IQ101" s="159"/>
      <c r="IR101" s="159"/>
      <c r="IS101" s="159"/>
      <c r="IT101" s="159"/>
      <c r="IU101" s="159"/>
      <c r="IV101" s="159"/>
      <c r="IW101" s="159"/>
      <c r="IX101" s="159"/>
      <c r="IY101" s="159"/>
      <c r="IZ101" s="159"/>
      <c r="JA101" s="159"/>
      <c r="JB101" s="159"/>
      <c r="JC101" s="159"/>
      <c r="JD101" s="159"/>
      <c r="JE101" s="159"/>
      <c r="JF101" s="159"/>
      <c r="JG101" s="159"/>
      <c r="JH101" s="159"/>
      <c r="JI101" s="159"/>
      <c r="JJ101" s="159"/>
      <c r="JK101" s="159"/>
      <c r="JL101" s="159"/>
      <c r="JM101" s="159"/>
      <c r="JN101" s="159"/>
      <c r="JO101" s="159"/>
      <c r="JP101" s="159"/>
      <c r="JQ101" s="159"/>
      <c r="JR101" s="159"/>
      <c r="JS101" s="159"/>
      <c r="JT101" s="159"/>
      <c r="JU101" s="159"/>
      <c r="JV101" s="159"/>
      <c r="JW101" s="159"/>
      <c r="JX101" s="159"/>
      <c r="JY101" s="159"/>
      <c r="JZ101" s="159"/>
      <c r="KA101" s="159"/>
      <c r="KB101" s="159"/>
      <c r="KC101" s="159"/>
      <c r="KD101" s="159"/>
      <c r="KE101" s="159"/>
      <c r="KF101" s="159"/>
      <c r="KG101" s="159"/>
      <c r="KH101" s="159"/>
      <c r="KI101" s="159"/>
      <c r="KJ101" s="159"/>
      <c r="KK101" s="159"/>
      <c r="KL101" s="159"/>
      <c r="KM101" s="159"/>
      <c r="KN101" s="159"/>
      <c r="KO101" s="159"/>
      <c r="KP101" s="159"/>
      <c r="KQ101" s="159"/>
      <c r="KR101" s="159"/>
      <c r="KS101" s="159"/>
      <c r="KT101" s="159"/>
      <c r="KU101" s="159"/>
      <c r="KV101" s="159"/>
      <c r="KW101" s="159"/>
      <c r="KX101" s="159"/>
      <c r="KY101" s="159"/>
      <c r="KZ101" s="159"/>
      <c r="LA101" s="159"/>
      <c r="LB101" s="159"/>
      <c r="LC101" s="159"/>
      <c r="LD101" s="159"/>
      <c r="LE101" s="159"/>
      <c r="LF101" s="159"/>
      <c r="LG101" s="159"/>
      <c r="LH101" s="159"/>
      <c r="LI101" s="159"/>
      <c r="LJ101" s="159"/>
      <c r="LK101" s="159"/>
      <c r="LL101" s="159"/>
      <c r="LM101" s="159"/>
      <c r="LN101" s="159"/>
      <c r="LO101" s="159"/>
      <c r="LP101" s="159"/>
      <c r="LQ101" s="159"/>
      <c r="LR101" s="159"/>
      <c r="LS101" s="159"/>
      <c r="LT101" s="159"/>
      <c r="LU101" s="159"/>
      <c r="LV101" s="159"/>
      <c r="LW101" s="159"/>
      <c r="LX101" s="159"/>
      <c r="LY101" s="159"/>
      <c r="LZ101" s="159"/>
      <c r="MA101" s="159"/>
      <c r="MB101" s="159"/>
      <c r="MC101" s="159"/>
      <c r="MD101" s="159"/>
      <c r="ME101" s="159"/>
      <c r="MF101" s="159"/>
      <c r="MG101" s="159"/>
      <c r="MH101" s="159"/>
      <c r="MI101" s="159"/>
      <c r="MJ101" s="159"/>
      <c r="MK101" s="159"/>
      <c r="ML101" s="159"/>
      <c r="MM101" s="159"/>
      <c r="MN101" s="159"/>
      <c r="MO101" s="159"/>
      <c r="MP101" s="159"/>
      <c r="MQ101" s="159"/>
      <c r="MR101" s="159"/>
      <c r="MS101" s="159"/>
      <c r="MT101" s="159"/>
      <c r="MU101" s="159"/>
      <c r="MV101" s="159"/>
      <c r="MW101" s="159"/>
      <c r="MX101" s="159"/>
      <c r="MY101" s="159"/>
      <c r="MZ101" s="159"/>
      <c r="NA101" s="159"/>
      <c r="NB101" s="159"/>
      <c r="NC101" s="159"/>
      <c r="ND101" s="159"/>
      <c r="NE101" s="159"/>
      <c r="NF101" s="159"/>
      <c r="NG101" s="159"/>
      <c r="NH101" s="159"/>
      <c r="NI101" s="159"/>
      <c r="NJ101" s="159"/>
      <c r="NK101" s="159"/>
      <c r="NL101" s="159"/>
      <c r="NM101" s="159"/>
      <c r="NN101" s="159"/>
      <c r="NO101" s="159"/>
      <c r="NP101" s="159"/>
      <c r="NQ101" s="159"/>
      <c r="NR101" s="159"/>
      <c r="NS101" s="159"/>
      <c r="NT101" s="159"/>
      <c r="NU101" s="159"/>
      <c r="NV101" s="159"/>
      <c r="NW101" s="159"/>
      <c r="NX101" s="159"/>
      <c r="NY101" s="159"/>
      <c r="NZ101" s="159"/>
      <c r="OA101" s="159"/>
      <c r="OB101" s="159"/>
      <c r="OC101" s="159"/>
      <c r="OD101" s="159"/>
      <c r="OE101" s="159"/>
      <c r="OF101" s="159"/>
      <c r="OG101" s="159"/>
      <c r="OH101" s="159"/>
      <c r="OI101" s="159"/>
      <c r="OJ101" s="159"/>
      <c r="OK101" s="159"/>
      <c r="OL101" s="159"/>
      <c r="OM101" s="159"/>
      <c r="ON101" s="159"/>
      <c r="OO101" s="159"/>
      <c r="OP101" s="159"/>
      <c r="OQ101" s="159"/>
      <c r="OR101" s="159"/>
      <c r="OS101" s="159"/>
      <c r="OT101" s="159"/>
      <c r="OU101" s="159"/>
      <c r="OV101" s="159"/>
      <c r="OW101" s="159"/>
      <c r="OX101" s="159"/>
      <c r="OY101" s="159"/>
      <c r="OZ101" s="159"/>
      <c r="PA101" s="159"/>
      <c r="PB101" s="159"/>
      <c r="PC101" s="159"/>
      <c r="PD101" s="159"/>
      <c r="PE101" s="159"/>
      <c r="PF101" s="159"/>
      <c r="PG101" s="159"/>
      <c r="PH101" s="159"/>
      <c r="PI101" s="159"/>
      <c r="PJ101" s="159"/>
      <c r="PK101" s="159"/>
      <c r="PL101" s="159"/>
      <c r="PM101" s="159"/>
      <c r="PN101" s="159"/>
      <c r="PO101" s="159"/>
      <c r="PP101" s="159"/>
      <c r="PQ101" s="159"/>
      <c r="PR101" s="159"/>
      <c r="PS101" s="159"/>
      <c r="PT101" s="159"/>
      <c r="PU101" s="159"/>
      <c r="PV101" s="159"/>
      <c r="PW101" s="159"/>
      <c r="PX101" s="159"/>
      <c r="PY101" s="159"/>
      <c r="PZ101" s="159"/>
      <c r="QA101" s="159"/>
      <c r="QB101" s="159"/>
      <c r="QC101" s="159"/>
      <c r="QD101" s="159"/>
      <c r="QE101" s="159"/>
      <c r="QF101" s="159"/>
      <c r="QG101" s="159"/>
      <c r="QH101" s="159"/>
      <c r="QI101" s="159"/>
      <c r="QJ101" s="159"/>
      <c r="QK101" s="159"/>
      <c r="QL101" s="159"/>
      <c r="QM101" s="159"/>
      <c r="QN101" s="159"/>
      <c r="QO101" s="159"/>
      <c r="QP101" s="159"/>
      <c r="QQ101" s="159"/>
      <c r="QR101" s="159"/>
      <c r="QS101" s="159"/>
      <c r="QT101" s="159"/>
      <c r="QU101" s="159"/>
      <c r="QV101" s="159"/>
      <c r="QW101" s="159"/>
      <c r="QX101" s="159"/>
      <c r="QY101" s="159"/>
      <c r="QZ101" s="159"/>
      <c r="RA101" s="159"/>
      <c r="RB101" s="159"/>
      <c r="RC101" s="159"/>
      <c r="RD101" s="159"/>
      <c r="RE101" s="159"/>
      <c r="RF101" s="159"/>
      <c r="RG101" s="159"/>
      <c r="RH101" s="159"/>
      <c r="RI101" s="159"/>
      <c r="RJ101" s="159"/>
      <c r="RK101" s="159"/>
      <c r="RL101" s="159"/>
      <c r="RM101" s="159"/>
      <c r="RN101" s="159"/>
      <c r="RO101" s="159"/>
      <c r="RP101" s="159"/>
      <c r="RQ101" s="159"/>
      <c r="RR101" s="159"/>
      <c r="RS101" s="159"/>
      <c r="RT101" s="159"/>
      <c r="RU101" s="159"/>
      <c r="RV101" s="159"/>
      <c r="RW101" s="159"/>
      <c r="RX101" s="159"/>
      <c r="RY101" s="159"/>
      <c r="RZ101" s="159"/>
      <c r="SA101" s="159"/>
      <c r="SB101" s="159"/>
      <c r="SC101" s="159"/>
      <c r="SD101" s="159"/>
      <c r="SE101" s="159"/>
      <c r="SF101" s="159"/>
      <c r="SG101" s="159"/>
      <c r="SH101" s="159"/>
      <c r="SI101" s="159"/>
      <c r="SJ101" s="159"/>
      <c r="SK101" s="159"/>
      <c r="SL101" s="159"/>
      <c r="SM101" s="159"/>
      <c r="SN101" s="159"/>
      <c r="SO101" s="159"/>
      <c r="SP101" s="159"/>
      <c r="SQ101" s="159"/>
      <c r="SR101" s="159"/>
      <c r="SS101" s="159"/>
      <c r="ST101" s="159"/>
      <c r="SU101" s="159"/>
      <c r="SV101" s="159"/>
      <c r="SW101" s="159"/>
      <c r="SX101" s="159"/>
      <c r="SY101" s="159"/>
      <c r="SZ101" s="159"/>
      <c r="TA101" s="159"/>
      <c r="TB101" s="159"/>
      <c r="TC101" s="159"/>
      <c r="TD101" s="159"/>
      <c r="TE101" s="159"/>
      <c r="TF101" s="159"/>
      <c r="TG101" s="159"/>
      <c r="TH101" s="159"/>
      <c r="TI101" s="159"/>
      <c r="TJ101" s="159"/>
      <c r="TK101" s="159"/>
      <c r="TL101" s="159"/>
      <c r="TM101" s="159"/>
      <c r="TN101" s="159"/>
      <c r="TO101" s="159"/>
      <c r="TP101" s="159"/>
      <c r="TQ101" s="159"/>
      <c r="TR101" s="159"/>
      <c r="TS101" s="159"/>
      <c r="TT101" s="159"/>
      <c r="TU101" s="159"/>
      <c r="TV101" s="159"/>
      <c r="TW101" s="159"/>
      <c r="TX101" s="159"/>
      <c r="TY101" s="159"/>
      <c r="TZ101" s="159"/>
      <c r="UA101" s="159"/>
      <c r="UB101" s="159"/>
      <c r="UC101" s="159"/>
      <c r="UD101" s="159"/>
      <c r="UE101" s="159"/>
      <c r="UF101" s="159"/>
      <c r="UG101" s="159"/>
      <c r="UH101" s="159"/>
      <c r="UI101" s="159"/>
      <c r="UJ101" s="159"/>
      <c r="UK101" s="159"/>
      <c r="UL101" s="159"/>
      <c r="UM101" s="159"/>
      <c r="UN101" s="159"/>
      <c r="UO101" s="159"/>
      <c r="UP101" s="159"/>
      <c r="UQ101" s="159"/>
      <c r="UR101" s="159"/>
      <c r="US101" s="159"/>
      <c r="UT101" s="159"/>
      <c r="UU101" s="159"/>
      <c r="UV101" s="159"/>
      <c r="UW101" s="159"/>
      <c r="UX101" s="159"/>
      <c r="UY101" s="159"/>
      <c r="UZ101" s="159"/>
      <c r="VA101" s="159"/>
      <c r="VB101" s="159"/>
      <c r="VC101" s="159"/>
      <c r="VD101" s="159"/>
      <c r="VE101" s="159"/>
      <c r="VF101" s="159"/>
      <c r="VG101" s="159"/>
      <c r="VH101" s="159"/>
      <c r="VI101" s="159"/>
      <c r="VJ101" s="159"/>
      <c r="VK101" s="159"/>
      <c r="VL101" s="159"/>
      <c r="VM101" s="159"/>
      <c r="VN101" s="159"/>
      <c r="VO101" s="159"/>
      <c r="VP101" s="159"/>
      <c r="VQ101" s="159"/>
      <c r="VR101" s="159"/>
      <c r="VS101" s="159"/>
      <c r="VT101" s="159"/>
      <c r="VU101" s="159"/>
      <c r="VV101" s="159"/>
      <c r="VW101" s="159"/>
      <c r="VX101" s="159"/>
      <c r="VY101" s="159"/>
      <c r="VZ101" s="159"/>
      <c r="WA101" s="159"/>
      <c r="WB101" s="159"/>
      <c r="WC101" s="159"/>
      <c r="WD101" s="159"/>
      <c r="WE101" s="159"/>
      <c r="WF101" s="159"/>
      <c r="WG101" s="159"/>
      <c r="WH101" s="159"/>
      <c r="WI101" s="159"/>
      <c r="WJ101" s="159"/>
      <c r="WK101" s="159"/>
      <c r="WL101" s="159"/>
      <c r="WM101" s="159"/>
      <c r="WN101" s="159"/>
      <c r="WO101" s="159"/>
      <c r="WP101" s="159"/>
      <c r="WQ101" s="159"/>
      <c r="WR101" s="159"/>
      <c r="WS101" s="159"/>
      <c r="WT101" s="159"/>
      <c r="WU101" s="159"/>
      <c r="WV101" s="159"/>
      <c r="WW101" s="159"/>
      <c r="WX101" s="159"/>
      <c r="WY101" s="159"/>
      <c r="WZ101" s="159"/>
      <c r="XA101" s="159"/>
      <c r="XB101" s="159"/>
      <c r="XC101" s="159"/>
      <c r="XD101" s="159"/>
      <c r="XE101" s="159"/>
      <c r="XF101" s="159"/>
      <c r="XG101" s="159"/>
      <c r="XH101" s="159"/>
      <c r="XI101" s="159"/>
      <c r="XJ101" s="159"/>
      <c r="XK101" s="159"/>
      <c r="XL101" s="159"/>
      <c r="XM101" s="159"/>
      <c r="XN101" s="159"/>
      <c r="XO101" s="159"/>
      <c r="XP101" s="159"/>
      <c r="XQ101" s="159"/>
      <c r="XR101" s="159"/>
      <c r="XS101" s="159"/>
      <c r="XT101" s="159"/>
      <c r="XU101" s="159"/>
      <c r="XV101" s="159"/>
      <c r="XW101" s="159"/>
      <c r="XX101" s="159"/>
      <c r="XY101" s="159"/>
      <c r="XZ101" s="159"/>
      <c r="YA101" s="159"/>
      <c r="YB101" s="159"/>
      <c r="YC101" s="159"/>
      <c r="YD101" s="159"/>
      <c r="YE101" s="159"/>
      <c r="YF101" s="159"/>
      <c r="YG101" s="159"/>
      <c r="YH101" s="159"/>
      <c r="YI101" s="159"/>
      <c r="YJ101" s="159"/>
      <c r="YK101" s="159"/>
      <c r="YL101" s="159"/>
      <c r="YM101" s="159"/>
      <c r="YN101" s="159"/>
      <c r="YO101" s="159"/>
      <c r="YP101" s="159"/>
      <c r="YQ101" s="159"/>
      <c r="YR101" s="159"/>
      <c r="YS101" s="159"/>
      <c r="YT101" s="159"/>
      <c r="YU101" s="159"/>
      <c r="YV101" s="159"/>
      <c r="YW101" s="159"/>
      <c r="YX101" s="159"/>
      <c r="YY101" s="159"/>
      <c r="YZ101" s="159"/>
      <c r="ZA101" s="159"/>
      <c r="ZB101" s="159"/>
      <c r="ZC101" s="159"/>
      <c r="ZD101" s="159"/>
      <c r="ZE101" s="159"/>
      <c r="ZF101" s="159"/>
      <c r="ZG101" s="159"/>
      <c r="ZH101" s="159"/>
      <c r="ZI101" s="159"/>
      <c r="ZJ101" s="159"/>
      <c r="ZK101" s="159"/>
      <c r="ZL101" s="159"/>
      <c r="ZM101" s="159"/>
      <c r="ZN101" s="159"/>
      <c r="ZO101" s="159"/>
      <c r="ZP101" s="159"/>
      <c r="ZQ101" s="159"/>
      <c r="ZR101" s="159"/>
      <c r="ZS101" s="159"/>
      <c r="ZT101" s="159"/>
      <c r="ZU101" s="159"/>
      <c r="ZV101" s="159"/>
      <c r="ZW101" s="159"/>
      <c r="ZX101" s="159"/>
      <c r="ZY101" s="159"/>
      <c r="ZZ101" s="159"/>
      <c r="AAA101" s="159"/>
      <c r="AAB101" s="159"/>
      <c r="AAC101" s="159"/>
      <c r="AAD101" s="159"/>
      <c r="AAE101" s="159"/>
      <c r="AAF101" s="159"/>
      <c r="AAG101" s="159"/>
      <c r="AAH101" s="159"/>
      <c r="AAI101" s="159"/>
      <c r="AAJ101" s="159"/>
      <c r="AAK101" s="159"/>
      <c r="AAL101" s="159"/>
      <c r="AAM101" s="159"/>
      <c r="AAN101" s="159"/>
      <c r="AAO101" s="159"/>
      <c r="AAP101" s="159"/>
      <c r="AAQ101" s="159"/>
      <c r="AAR101" s="159"/>
      <c r="AAS101" s="159"/>
      <c r="AAT101" s="159"/>
      <c r="AAU101" s="159"/>
      <c r="AAV101" s="159"/>
      <c r="AAW101" s="159"/>
      <c r="AAX101" s="159"/>
      <c r="AAY101" s="159"/>
      <c r="AAZ101" s="159"/>
      <c r="ABA101" s="159"/>
      <c r="ABB101" s="159"/>
      <c r="ABC101" s="159"/>
      <c r="ABD101" s="159"/>
      <c r="ABE101" s="159"/>
      <c r="ABF101" s="159"/>
      <c r="ABG101" s="159"/>
      <c r="ABH101" s="159"/>
      <c r="ABI101" s="159"/>
      <c r="ABJ101" s="159"/>
      <c r="ABK101" s="159"/>
      <c r="ABL101" s="159"/>
      <c r="ABM101" s="159"/>
      <c r="ABN101" s="159"/>
      <c r="ABO101" s="159"/>
      <c r="ABP101" s="159"/>
      <c r="ABQ101" s="159"/>
      <c r="ABR101" s="159"/>
      <c r="ABS101" s="159"/>
      <c r="ABT101" s="159"/>
      <c r="ABU101" s="159"/>
      <c r="ABV101" s="159"/>
      <c r="ABW101" s="159"/>
      <c r="ABX101" s="159"/>
      <c r="ABY101" s="159"/>
      <c r="ABZ101" s="159"/>
      <c r="ACA101" s="159"/>
      <c r="ACB101" s="159"/>
      <c r="ACC101" s="159"/>
      <c r="ACD101" s="159"/>
      <c r="ACE101" s="159"/>
      <c r="ACF101" s="159"/>
      <c r="ACG101" s="159"/>
      <c r="ACH101" s="159"/>
      <c r="ACI101" s="159"/>
      <c r="ACJ101" s="159"/>
      <c r="ACK101" s="159"/>
      <c r="ACL101" s="159"/>
      <c r="ACM101" s="159"/>
      <c r="ACN101" s="159"/>
      <c r="ACO101" s="159"/>
      <c r="ACP101" s="159"/>
      <c r="ACQ101" s="159"/>
      <c r="ACR101" s="159"/>
      <c r="ACS101" s="159"/>
      <c r="ACT101" s="159"/>
      <c r="ACU101" s="159"/>
      <c r="ACV101" s="159"/>
      <c r="ACW101" s="159"/>
      <c r="ACX101" s="159"/>
      <c r="ACY101" s="159"/>
      <c r="ACZ101" s="159"/>
      <c r="ADA101" s="159"/>
      <c r="ADB101" s="159"/>
      <c r="ADC101" s="159"/>
      <c r="ADD101" s="159"/>
      <c r="ADE101" s="159"/>
      <c r="ADF101" s="159"/>
      <c r="ADG101" s="159"/>
      <c r="ADH101" s="159"/>
      <c r="ADI101" s="159"/>
      <c r="ADJ101" s="159"/>
      <c r="ADK101" s="159"/>
      <c r="ADL101" s="159"/>
      <c r="ADM101" s="159"/>
      <c r="ADN101" s="159"/>
      <c r="ADO101" s="159"/>
      <c r="ADP101" s="159"/>
      <c r="ADQ101" s="159"/>
      <c r="ADR101" s="159"/>
      <c r="ADS101" s="159"/>
      <c r="ADT101" s="159"/>
      <c r="ADU101" s="159"/>
      <c r="ADV101" s="159"/>
      <c r="ADW101" s="159"/>
      <c r="ADX101" s="159"/>
      <c r="ADY101" s="159"/>
      <c r="ADZ101" s="159"/>
      <c r="AEA101" s="159"/>
      <c r="AEB101" s="159"/>
      <c r="AEC101" s="159"/>
      <c r="AED101" s="159"/>
      <c r="AEE101" s="159"/>
      <c r="AEF101" s="159"/>
      <c r="AEG101" s="159"/>
      <c r="AEH101" s="159"/>
      <c r="AEI101" s="159"/>
      <c r="AEJ101" s="159"/>
      <c r="AEK101" s="159"/>
      <c r="AEL101" s="159"/>
      <c r="AEM101" s="159"/>
      <c r="AEN101" s="159"/>
      <c r="AEO101" s="159"/>
      <c r="AEP101" s="159"/>
      <c r="AEQ101" s="159"/>
      <c r="AER101" s="159"/>
      <c r="AES101" s="159"/>
      <c r="AET101" s="159"/>
      <c r="AEU101" s="159"/>
      <c r="AEV101" s="159"/>
      <c r="AEW101" s="159"/>
      <c r="AEX101" s="159"/>
      <c r="AEY101" s="159"/>
      <c r="AEZ101" s="159"/>
      <c r="AFA101" s="159"/>
      <c r="AFB101" s="159"/>
      <c r="AFC101" s="159"/>
      <c r="AFD101" s="159"/>
      <c r="AFE101" s="159"/>
      <c r="AFF101" s="159"/>
      <c r="AFG101" s="159"/>
      <c r="AFH101" s="159"/>
      <c r="AFI101" s="159"/>
      <c r="AFJ101" s="159"/>
      <c r="AFK101" s="159"/>
      <c r="AFL101" s="159"/>
      <c r="AFM101" s="159"/>
      <c r="AFN101" s="159"/>
      <c r="AFO101" s="159"/>
      <c r="AFP101" s="159"/>
      <c r="AFQ101" s="159"/>
      <c r="AFR101" s="159"/>
      <c r="AFS101" s="159"/>
      <c r="AFT101" s="159"/>
      <c r="AFU101" s="159"/>
      <c r="AFV101" s="159"/>
      <c r="AFW101" s="159"/>
      <c r="AFX101" s="159"/>
      <c r="AFY101" s="159"/>
      <c r="AFZ101" s="159"/>
      <c r="AGA101" s="159"/>
      <c r="AGB101" s="159"/>
      <c r="AGC101" s="159"/>
      <c r="AGD101" s="159"/>
      <c r="AGE101" s="159"/>
      <c r="AGF101" s="159"/>
      <c r="AGG101" s="159"/>
      <c r="AGH101" s="159"/>
      <c r="AGI101" s="159"/>
      <c r="AGJ101" s="159"/>
      <c r="AGK101" s="159"/>
      <c r="AGL101" s="159"/>
      <c r="AGM101" s="159"/>
      <c r="AGN101" s="159"/>
      <c r="AGO101" s="159"/>
      <c r="AGP101" s="159"/>
      <c r="AGQ101" s="159"/>
      <c r="AGR101" s="159"/>
      <c r="AGS101" s="159"/>
      <c r="AGT101" s="159"/>
      <c r="AGU101" s="159"/>
      <c r="AGV101" s="159"/>
      <c r="AGW101" s="159"/>
      <c r="AGX101" s="159"/>
      <c r="AGY101" s="159"/>
      <c r="AGZ101" s="159"/>
      <c r="AHA101" s="159"/>
      <c r="AHB101" s="159"/>
      <c r="AHC101" s="159"/>
      <c r="AHD101" s="159"/>
      <c r="AHE101" s="159"/>
      <c r="AHF101" s="159"/>
      <c r="AHG101" s="159"/>
      <c r="AHH101" s="159"/>
      <c r="AHI101" s="159"/>
      <c r="AHJ101" s="159"/>
      <c r="AHK101" s="159"/>
      <c r="AHL101" s="159"/>
      <c r="AHM101" s="159"/>
      <c r="AHN101" s="159"/>
      <c r="AHO101" s="159"/>
      <c r="AHP101" s="159"/>
      <c r="AHQ101" s="159"/>
      <c r="AHR101" s="159"/>
      <c r="AHS101" s="159"/>
      <c r="AHT101" s="159"/>
      <c r="AHU101" s="159"/>
      <c r="AHV101" s="159"/>
      <c r="AHW101" s="159"/>
      <c r="AHX101" s="159"/>
      <c r="AHY101" s="159"/>
      <c r="AHZ101" s="159"/>
      <c r="AIA101" s="159"/>
      <c r="AIB101" s="159"/>
      <c r="AIC101" s="159"/>
      <c r="AID101" s="159"/>
      <c r="AIE101" s="159"/>
      <c r="AIF101" s="159"/>
      <c r="AIG101" s="159"/>
      <c r="AIH101" s="159"/>
      <c r="AII101" s="159"/>
      <c r="AIJ101" s="159"/>
      <c r="AIK101" s="159"/>
      <c r="AIL101" s="159"/>
      <c r="AIM101" s="159"/>
      <c r="AIN101" s="159"/>
      <c r="AIO101" s="159"/>
      <c r="AIP101" s="159"/>
      <c r="AIQ101" s="159"/>
      <c r="AIR101" s="159"/>
      <c r="AIS101" s="159"/>
      <c r="AIT101" s="159"/>
      <c r="AIU101" s="159"/>
      <c r="AIV101" s="159"/>
      <c r="AIW101" s="159"/>
      <c r="AIX101" s="159"/>
      <c r="AIY101" s="159"/>
      <c r="AIZ101" s="159"/>
      <c r="AJA101" s="159"/>
      <c r="AJB101" s="159"/>
      <c r="AJC101" s="159"/>
      <c r="AJD101" s="159"/>
      <c r="AJE101" s="159"/>
      <c r="AJF101" s="159"/>
      <c r="AJG101" s="159"/>
      <c r="AJH101" s="159"/>
      <c r="AJI101" s="159"/>
      <c r="AJJ101" s="159"/>
      <c r="AJK101" s="159"/>
      <c r="AJL101" s="159"/>
      <c r="AJM101" s="159"/>
      <c r="AJN101" s="159"/>
      <c r="AJO101" s="159"/>
      <c r="AJP101" s="159"/>
      <c r="AJQ101" s="159"/>
      <c r="AJR101" s="159"/>
      <c r="AJS101" s="159"/>
      <c r="AJT101" s="159"/>
      <c r="AJU101" s="159"/>
      <c r="AJV101" s="159"/>
      <c r="AJW101" s="159"/>
      <c r="AJX101" s="159"/>
      <c r="AJY101" s="159"/>
      <c r="AJZ101" s="159"/>
      <c r="AKA101" s="159"/>
      <c r="AKB101" s="159"/>
      <c r="AKC101" s="159"/>
      <c r="AKD101" s="159"/>
      <c r="AKE101" s="159"/>
      <c r="AKF101" s="159"/>
      <c r="AKG101" s="159"/>
      <c r="AKH101" s="159"/>
      <c r="AKI101" s="159"/>
      <c r="AKJ101" s="159"/>
      <c r="AKK101" s="159"/>
      <c r="AKL101" s="159"/>
      <c r="AKM101" s="159"/>
      <c r="AKN101" s="159"/>
      <c r="AKO101" s="159"/>
      <c r="AKP101" s="159"/>
      <c r="AKQ101" s="159"/>
      <c r="AKR101" s="159"/>
      <c r="AKS101" s="159"/>
      <c r="AKT101" s="159"/>
      <c r="AKU101" s="159"/>
      <c r="AKV101" s="159"/>
      <c r="AKW101" s="159"/>
      <c r="AKX101" s="159"/>
      <c r="AKY101" s="159"/>
      <c r="AKZ101" s="159"/>
      <c r="ALA101" s="159"/>
      <c r="ALB101" s="159"/>
      <c r="ALC101" s="159"/>
      <c r="ALD101" s="159"/>
      <c r="ALE101" s="159"/>
      <c r="ALF101" s="159"/>
      <c r="ALG101" s="159"/>
      <c r="ALH101" s="159"/>
      <c r="ALI101" s="159"/>
      <c r="ALJ101" s="159"/>
      <c r="ALK101" s="159"/>
      <c r="ALL101" s="159"/>
      <c r="ALM101" s="159"/>
      <c r="ALN101" s="159"/>
      <c r="ALO101" s="159"/>
      <c r="ALP101" s="159"/>
      <c r="ALQ101" s="159"/>
      <c r="ALR101" s="159"/>
      <c r="ALS101" s="159"/>
      <c r="ALT101" s="159"/>
      <c r="ALU101" s="159"/>
      <c r="ALV101" s="159"/>
      <c r="ALW101" s="159"/>
      <c r="ALX101" s="159"/>
      <c r="ALY101" s="159"/>
      <c r="ALZ101" s="159"/>
      <c r="AMA101" s="159"/>
      <c r="AMB101" s="159"/>
      <c r="AMC101" s="159"/>
      <c r="AMD101" s="159"/>
      <c r="AME101" s="159"/>
      <c r="AMF101" s="159"/>
      <c r="AMG101" s="159"/>
      <c r="AMH101" s="159"/>
      <c r="AMI101" s="159"/>
      <c r="AMJ101" s="159"/>
      <c r="AMK101" s="159"/>
      <c r="AML101" s="159"/>
      <c r="AMM101" s="159"/>
      <c r="AMN101" s="159"/>
      <c r="AMO101" s="159"/>
    </row>
    <row r="102" spans="1:1029" s="161" customFormat="1" ht="25.5" x14ac:dyDescent="0.25">
      <c r="A102" s="138">
        <v>46163</v>
      </c>
      <c r="B102" s="99" t="s">
        <v>64</v>
      </c>
      <c r="C102" s="99" t="s">
        <v>130</v>
      </c>
      <c r="D102" s="160" t="s">
        <v>21</v>
      </c>
      <c r="E102" s="118" t="s">
        <v>8</v>
      </c>
      <c r="F102" s="99" t="s">
        <v>118</v>
      </c>
      <c r="G102" s="99" t="s">
        <v>21</v>
      </c>
      <c r="H102" s="141">
        <f t="shared" si="8"/>
        <v>0.5</v>
      </c>
      <c r="I102" s="121" t="s">
        <v>35</v>
      </c>
      <c r="J102" s="121" t="s">
        <v>106</v>
      </c>
      <c r="K102" s="121" t="s">
        <v>21</v>
      </c>
      <c r="L102" s="141">
        <f t="shared" si="9"/>
        <v>0.5</v>
      </c>
      <c r="M102" s="121" t="s">
        <v>42</v>
      </c>
      <c r="N102" s="121" t="s">
        <v>82</v>
      </c>
      <c r="O102" s="121" t="s">
        <v>168</v>
      </c>
      <c r="P102" s="141" t="b">
        <f t="shared" si="10"/>
        <v>0</v>
      </c>
      <c r="Q102" s="149" t="s">
        <v>29</v>
      </c>
      <c r="R102" s="99" t="s">
        <v>151</v>
      </c>
      <c r="S102" s="99" t="s">
        <v>21</v>
      </c>
      <c r="T102" s="141">
        <f t="shared" si="11"/>
        <v>0.5</v>
      </c>
      <c r="U102" s="159"/>
      <c r="V102" s="159"/>
      <c r="W102" s="159"/>
      <c r="X102" s="159"/>
      <c r="Y102" s="159"/>
      <c r="Z102" s="159"/>
      <c r="AA102" s="159"/>
      <c r="AB102" s="159"/>
      <c r="AC102" s="159"/>
      <c r="AD102" s="159"/>
      <c r="AE102" s="159"/>
      <c r="AF102" s="159"/>
      <c r="AG102" s="159"/>
      <c r="AH102" s="159"/>
      <c r="AI102" s="159"/>
      <c r="AJ102" s="159"/>
      <c r="AK102" s="159"/>
      <c r="AL102" s="159"/>
      <c r="AM102" s="159"/>
      <c r="AN102" s="159"/>
      <c r="AO102" s="159"/>
      <c r="AP102" s="159"/>
      <c r="AQ102" s="159"/>
      <c r="AR102" s="159"/>
      <c r="AS102" s="159"/>
      <c r="AT102" s="159"/>
      <c r="AU102" s="159"/>
      <c r="AV102" s="159"/>
      <c r="AW102" s="159"/>
      <c r="AX102" s="159"/>
      <c r="AY102" s="159"/>
      <c r="AZ102" s="159"/>
      <c r="BA102" s="159"/>
      <c r="BB102" s="159"/>
      <c r="BC102" s="159"/>
      <c r="BD102" s="159"/>
      <c r="BE102" s="159"/>
      <c r="BF102" s="159"/>
      <c r="BG102" s="159"/>
      <c r="BH102" s="159"/>
      <c r="BI102" s="159"/>
      <c r="BJ102" s="159"/>
      <c r="BK102" s="159"/>
      <c r="BL102" s="159"/>
      <c r="BM102" s="159"/>
      <c r="BN102" s="159"/>
      <c r="BO102" s="159"/>
      <c r="BP102" s="159"/>
      <c r="BQ102" s="159"/>
      <c r="BR102" s="159"/>
      <c r="BS102" s="159"/>
      <c r="BT102" s="159"/>
      <c r="BU102" s="159"/>
      <c r="BV102" s="159"/>
      <c r="BW102" s="159"/>
      <c r="BX102" s="159"/>
      <c r="BY102" s="159"/>
      <c r="BZ102" s="159"/>
      <c r="CA102" s="159"/>
      <c r="CB102" s="159"/>
      <c r="CC102" s="159"/>
      <c r="CD102" s="159"/>
      <c r="CE102" s="159"/>
      <c r="CF102" s="159"/>
      <c r="CG102" s="159"/>
      <c r="CH102" s="159"/>
      <c r="CI102" s="159"/>
      <c r="CJ102" s="159"/>
      <c r="CK102" s="159"/>
      <c r="CL102" s="159"/>
      <c r="CM102" s="159"/>
      <c r="CN102" s="159"/>
      <c r="CO102" s="159"/>
      <c r="CP102" s="159"/>
      <c r="CQ102" s="159"/>
      <c r="CR102" s="159"/>
      <c r="CS102" s="159"/>
      <c r="CT102" s="159"/>
      <c r="CU102" s="159"/>
      <c r="CV102" s="159"/>
      <c r="CW102" s="159"/>
      <c r="CX102" s="159"/>
      <c r="CY102" s="159"/>
      <c r="CZ102" s="159"/>
      <c r="DA102" s="159"/>
      <c r="DB102" s="159"/>
      <c r="DC102" s="159"/>
      <c r="DD102" s="159"/>
      <c r="DE102" s="159"/>
      <c r="DF102" s="159"/>
      <c r="DG102" s="159"/>
      <c r="DH102" s="159"/>
      <c r="DI102" s="159"/>
      <c r="DJ102" s="159"/>
      <c r="DK102" s="159"/>
      <c r="DL102" s="159"/>
      <c r="DM102" s="159"/>
      <c r="DN102" s="159"/>
      <c r="DO102" s="159"/>
      <c r="DP102" s="159"/>
      <c r="DQ102" s="159"/>
      <c r="DR102" s="159"/>
      <c r="DS102" s="159"/>
      <c r="DT102" s="159"/>
      <c r="DU102" s="159"/>
      <c r="DV102" s="159"/>
      <c r="DW102" s="159"/>
      <c r="DX102" s="159"/>
      <c r="DY102" s="159"/>
      <c r="DZ102" s="159"/>
      <c r="EA102" s="159"/>
      <c r="EB102" s="159"/>
      <c r="EC102" s="159"/>
      <c r="ED102" s="159"/>
      <c r="EE102" s="159"/>
      <c r="EF102" s="159"/>
      <c r="EG102" s="159"/>
      <c r="EH102" s="159"/>
      <c r="EI102" s="159"/>
      <c r="EJ102" s="159"/>
      <c r="EK102" s="159"/>
      <c r="EL102" s="159"/>
      <c r="EM102" s="159"/>
      <c r="EN102" s="159"/>
      <c r="EO102" s="159"/>
      <c r="EP102" s="159"/>
      <c r="EQ102" s="159"/>
      <c r="ER102" s="159"/>
      <c r="ES102" s="159"/>
      <c r="ET102" s="159"/>
      <c r="EU102" s="159"/>
      <c r="EV102" s="159"/>
      <c r="EW102" s="159"/>
      <c r="EX102" s="159"/>
      <c r="EY102" s="159"/>
      <c r="EZ102" s="159"/>
      <c r="FA102" s="159"/>
      <c r="FB102" s="159"/>
      <c r="FC102" s="159"/>
      <c r="FD102" s="159"/>
      <c r="FE102" s="159"/>
      <c r="FF102" s="159"/>
      <c r="FG102" s="159"/>
      <c r="FH102" s="159"/>
      <c r="FI102" s="159"/>
      <c r="FJ102" s="159"/>
      <c r="FK102" s="159"/>
      <c r="FL102" s="159"/>
      <c r="FM102" s="159"/>
      <c r="FN102" s="159"/>
      <c r="FO102" s="159"/>
      <c r="FP102" s="159"/>
      <c r="FQ102" s="159"/>
      <c r="FR102" s="159"/>
      <c r="FS102" s="159"/>
      <c r="FT102" s="159"/>
      <c r="FU102" s="159"/>
      <c r="FV102" s="159"/>
      <c r="FW102" s="159"/>
      <c r="FX102" s="159"/>
      <c r="FY102" s="159"/>
      <c r="FZ102" s="159"/>
      <c r="GA102" s="159"/>
      <c r="GB102" s="159"/>
      <c r="GC102" s="159"/>
      <c r="GD102" s="159"/>
      <c r="GE102" s="159"/>
      <c r="GF102" s="159"/>
      <c r="GG102" s="159"/>
      <c r="GH102" s="159"/>
      <c r="GI102" s="159"/>
      <c r="GJ102" s="159"/>
      <c r="GK102" s="159"/>
      <c r="GL102" s="159"/>
      <c r="GM102" s="159"/>
      <c r="GN102" s="159"/>
      <c r="GO102" s="159"/>
      <c r="GP102" s="159"/>
      <c r="GQ102" s="159"/>
      <c r="GR102" s="159"/>
      <c r="GS102" s="159"/>
      <c r="GT102" s="159"/>
      <c r="GU102" s="159"/>
      <c r="GV102" s="159"/>
      <c r="GW102" s="159"/>
      <c r="GX102" s="159"/>
      <c r="GY102" s="159"/>
      <c r="GZ102" s="159"/>
      <c r="HA102" s="159"/>
      <c r="HB102" s="159"/>
      <c r="HC102" s="159"/>
      <c r="HD102" s="159"/>
      <c r="HE102" s="159"/>
      <c r="HF102" s="159"/>
      <c r="HG102" s="159"/>
      <c r="HH102" s="159"/>
      <c r="HI102" s="159"/>
      <c r="HJ102" s="159"/>
      <c r="HK102" s="159"/>
      <c r="HL102" s="159"/>
      <c r="HM102" s="159"/>
      <c r="HN102" s="159"/>
      <c r="HO102" s="159"/>
      <c r="HP102" s="159"/>
      <c r="HQ102" s="159"/>
      <c r="HR102" s="159"/>
      <c r="HS102" s="159"/>
      <c r="HT102" s="159"/>
      <c r="HU102" s="159"/>
      <c r="HV102" s="159"/>
      <c r="HW102" s="159"/>
      <c r="HX102" s="159"/>
      <c r="HY102" s="159"/>
      <c r="HZ102" s="159"/>
      <c r="IA102" s="159"/>
      <c r="IB102" s="159"/>
      <c r="IC102" s="159"/>
      <c r="ID102" s="159"/>
      <c r="IE102" s="159"/>
      <c r="IF102" s="159"/>
      <c r="IG102" s="159"/>
      <c r="IH102" s="159"/>
      <c r="II102" s="159"/>
      <c r="IJ102" s="159"/>
      <c r="IK102" s="159"/>
      <c r="IL102" s="159"/>
      <c r="IM102" s="159"/>
      <c r="IN102" s="159"/>
      <c r="IO102" s="159"/>
      <c r="IP102" s="159"/>
      <c r="IQ102" s="159"/>
      <c r="IR102" s="159"/>
      <c r="IS102" s="159"/>
      <c r="IT102" s="159"/>
      <c r="IU102" s="159"/>
      <c r="IV102" s="159"/>
      <c r="IW102" s="159"/>
      <c r="IX102" s="159"/>
      <c r="IY102" s="159"/>
      <c r="IZ102" s="159"/>
      <c r="JA102" s="159"/>
      <c r="JB102" s="159"/>
      <c r="JC102" s="159"/>
      <c r="JD102" s="159"/>
      <c r="JE102" s="159"/>
      <c r="JF102" s="159"/>
      <c r="JG102" s="159"/>
      <c r="JH102" s="159"/>
      <c r="JI102" s="159"/>
      <c r="JJ102" s="159"/>
      <c r="JK102" s="159"/>
      <c r="JL102" s="159"/>
      <c r="JM102" s="159"/>
      <c r="JN102" s="159"/>
      <c r="JO102" s="159"/>
      <c r="JP102" s="159"/>
      <c r="JQ102" s="159"/>
      <c r="JR102" s="159"/>
      <c r="JS102" s="159"/>
      <c r="JT102" s="159"/>
      <c r="JU102" s="159"/>
      <c r="JV102" s="159"/>
      <c r="JW102" s="159"/>
      <c r="JX102" s="159"/>
      <c r="JY102" s="159"/>
      <c r="JZ102" s="159"/>
      <c r="KA102" s="159"/>
      <c r="KB102" s="159"/>
      <c r="KC102" s="159"/>
      <c r="KD102" s="159"/>
      <c r="KE102" s="159"/>
      <c r="KF102" s="159"/>
      <c r="KG102" s="159"/>
      <c r="KH102" s="159"/>
      <c r="KI102" s="159"/>
      <c r="KJ102" s="159"/>
      <c r="KK102" s="159"/>
      <c r="KL102" s="159"/>
      <c r="KM102" s="159"/>
      <c r="KN102" s="159"/>
      <c r="KO102" s="159"/>
      <c r="KP102" s="159"/>
      <c r="KQ102" s="159"/>
      <c r="KR102" s="159"/>
      <c r="KS102" s="159"/>
      <c r="KT102" s="159"/>
      <c r="KU102" s="159"/>
      <c r="KV102" s="159"/>
      <c r="KW102" s="159"/>
      <c r="KX102" s="159"/>
      <c r="KY102" s="159"/>
      <c r="KZ102" s="159"/>
      <c r="LA102" s="159"/>
      <c r="LB102" s="159"/>
      <c r="LC102" s="159"/>
      <c r="LD102" s="159"/>
      <c r="LE102" s="159"/>
      <c r="LF102" s="159"/>
      <c r="LG102" s="159"/>
      <c r="LH102" s="159"/>
      <c r="LI102" s="159"/>
      <c r="LJ102" s="159"/>
      <c r="LK102" s="159"/>
      <c r="LL102" s="159"/>
      <c r="LM102" s="159"/>
      <c r="LN102" s="159"/>
      <c r="LO102" s="159"/>
      <c r="LP102" s="159"/>
      <c r="LQ102" s="159"/>
      <c r="LR102" s="159"/>
      <c r="LS102" s="159"/>
      <c r="LT102" s="159"/>
      <c r="LU102" s="159"/>
      <c r="LV102" s="159"/>
      <c r="LW102" s="159"/>
      <c r="LX102" s="159"/>
      <c r="LY102" s="159"/>
      <c r="LZ102" s="159"/>
      <c r="MA102" s="159"/>
      <c r="MB102" s="159"/>
      <c r="MC102" s="159"/>
      <c r="MD102" s="159"/>
      <c r="ME102" s="159"/>
      <c r="MF102" s="159"/>
      <c r="MG102" s="159"/>
      <c r="MH102" s="159"/>
      <c r="MI102" s="159"/>
      <c r="MJ102" s="159"/>
      <c r="MK102" s="159"/>
      <c r="ML102" s="159"/>
      <c r="MM102" s="159"/>
      <c r="MN102" s="159"/>
      <c r="MO102" s="159"/>
      <c r="MP102" s="159"/>
      <c r="MQ102" s="159"/>
      <c r="MR102" s="159"/>
      <c r="MS102" s="159"/>
      <c r="MT102" s="159"/>
      <c r="MU102" s="159"/>
      <c r="MV102" s="159"/>
      <c r="MW102" s="159"/>
      <c r="MX102" s="159"/>
      <c r="MY102" s="159"/>
      <c r="MZ102" s="159"/>
      <c r="NA102" s="159"/>
      <c r="NB102" s="159"/>
      <c r="NC102" s="159"/>
      <c r="ND102" s="159"/>
      <c r="NE102" s="159"/>
      <c r="NF102" s="159"/>
      <c r="NG102" s="159"/>
      <c r="NH102" s="159"/>
      <c r="NI102" s="159"/>
      <c r="NJ102" s="159"/>
      <c r="NK102" s="159"/>
      <c r="NL102" s="159"/>
      <c r="NM102" s="159"/>
      <c r="NN102" s="159"/>
      <c r="NO102" s="159"/>
      <c r="NP102" s="159"/>
      <c r="NQ102" s="159"/>
      <c r="NR102" s="159"/>
      <c r="NS102" s="159"/>
      <c r="NT102" s="159"/>
      <c r="NU102" s="159"/>
      <c r="NV102" s="159"/>
      <c r="NW102" s="159"/>
      <c r="NX102" s="159"/>
      <c r="NY102" s="159"/>
      <c r="NZ102" s="159"/>
      <c r="OA102" s="159"/>
      <c r="OB102" s="159"/>
      <c r="OC102" s="159"/>
      <c r="OD102" s="159"/>
      <c r="OE102" s="159"/>
      <c r="OF102" s="159"/>
      <c r="OG102" s="159"/>
      <c r="OH102" s="159"/>
      <c r="OI102" s="159"/>
      <c r="OJ102" s="159"/>
      <c r="OK102" s="159"/>
      <c r="OL102" s="159"/>
      <c r="OM102" s="159"/>
      <c r="ON102" s="159"/>
      <c r="OO102" s="159"/>
      <c r="OP102" s="159"/>
      <c r="OQ102" s="159"/>
      <c r="OR102" s="159"/>
      <c r="OS102" s="159"/>
      <c r="OT102" s="159"/>
      <c r="OU102" s="159"/>
      <c r="OV102" s="159"/>
      <c r="OW102" s="159"/>
      <c r="OX102" s="159"/>
      <c r="OY102" s="159"/>
      <c r="OZ102" s="159"/>
      <c r="PA102" s="159"/>
      <c r="PB102" s="159"/>
      <c r="PC102" s="159"/>
      <c r="PD102" s="159"/>
      <c r="PE102" s="159"/>
      <c r="PF102" s="159"/>
      <c r="PG102" s="159"/>
      <c r="PH102" s="159"/>
      <c r="PI102" s="159"/>
      <c r="PJ102" s="159"/>
      <c r="PK102" s="159"/>
      <c r="PL102" s="159"/>
      <c r="PM102" s="159"/>
      <c r="PN102" s="159"/>
      <c r="PO102" s="159"/>
      <c r="PP102" s="159"/>
      <c r="PQ102" s="159"/>
      <c r="PR102" s="159"/>
      <c r="PS102" s="159"/>
      <c r="PT102" s="159"/>
      <c r="PU102" s="159"/>
      <c r="PV102" s="159"/>
      <c r="PW102" s="159"/>
      <c r="PX102" s="159"/>
      <c r="PY102" s="159"/>
      <c r="PZ102" s="159"/>
      <c r="QA102" s="159"/>
      <c r="QB102" s="159"/>
      <c r="QC102" s="159"/>
      <c r="QD102" s="159"/>
      <c r="QE102" s="159"/>
      <c r="QF102" s="159"/>
      <c r="QG102" s="159"/>
      <c r="QH102" s="159"/>
      <c r="QI102" s="159"/>
      <c r="QJ102" s="159"/>
      <c r="QK102" s="159"/>
      <c r="QL102" s="159"/>
      <c r="QM102" s="159"/>
      <c r="QN102" s="159"/>
      <c r="QO102" s="159"/>
      <c r="QP102" s="159"/>
      <c r="QQ102" s="159"/>
      <c r="QR102" s="159"/>
      <c r="QS102" s="159"/>
      <c r="QT102" s="159"/>
      <c r="QU102" s="159"/>
      <c r="QV102" s="159"/>
      <c r="QW102" s="159"/>
      <c r="QX102" s="159"/>
      <c r="QY102" s="159"/>
      <c r="QZ102" s="159"/>
      <c r="RA102" s="159"/>
      <c r="RB102" s="159"/>
      <c r="RC102" s="159"/>
      <c r="RD102" s="159"/>
      <c r="RE102" s="159"/>
      <c r="RF102" s="159"/>
      <c r="RG102" s="159"/>
      <c r="RH102" s="159"/>
      <c r="RI102" s="159"/>
      <c r="RJ102" s="159"/>
      <c r="RK102" s="159"/>
      <c r="RL102" s="159"/>
      <c r="RM102" s="159"/>
      <c r="RN102" s="159"/>
      <c r="RO102" s="159"/>
      <c r="RP102" s="159"/>
      <c r="RQ102" s="159"/>
      <c r="RR102" s="159"/>
      <c r="RS102" s="159"/>
      <c r="RT102" s="159"/>
      <c r="RU102" s="159"/>
      <c r="RV102" s="159"/>
      <c r="RW102" s="159"/>
      <c r="RX102" s="159"/>
      <c r="RY102" s="159"/>
      <c r="RZ102" s="159"/>
      <c r="SA102" s="159"/>
      <c r="SB102" s="159"/>
      <c r="SC102" s="159"/>
      <c r="SD102" s="159"/>
      <c r="SE102" s="159"/>
      <c r="SF102" s="159"/>
      <c r="SG102" s="159"/>
      <c r="SH102" s="159"/>
      <c r="SI102" s="159"/>
      <c r="SJ102" s="159"/>
      <c r="SK102" s="159"/>
      <c r="SL102" s="159"/>
      <c r="SM102" s="159"/>
      <c r="SN102" s="159"/>
      <c r="SO102" s="159"/>
      <c r="SP102" s="159"/>
      <c r="SQ102" s="159"/>
      <c r="SR102" s="159"/>
      <c r="SS102" s="159"/>
      <c r="ST102" s="159"/>
      <c r="SU102" s="159"/>
      <c r="SV102" s="159"/>
      <c r="SW102" s="159"/>
      <c r="SX102" s="159"/>
      <c r="SY102" s="159"/>
      <c r="SZ102" s="159"/>
      <c r="TA102" s="159"/>
      <c r="TB102" s="159"/>
      <c r="TC102" s="159"/>
      <c r="TD102" s="159"/>
      <c r="TE102" s="159"/>
      <c r="TF102" s="159"/>
      <c r="TG102" s="159"/>
      <c r="TH102" s="159"/>
      <c r="TI102" s="159"/>
      <c r="TJ102" s="159"/>
      <c r="TK102" s="159"/>
      <c r="TL102" s="159"/>
      <c r="TM102" s="159"/>
      <c r="TN102" s="159"/>
      <c r="TO102" s="159"/>
      <c r="TP102" s="159"/>
      <c r="TQ102" s="159"/>
      <c r="TR102" s="159"/>
      <c r="TS102" s="159"/>
      <c r="TT102" s="159"/>
      <c r="TU102" s="159"/>
      <c r="TV102" s="159"/>
      <c r="TW102" s="159"/>
      <c r="TX102" s="159"/>
      <c r="TY102" s="159"/>
      <c r="TZ102" s="159"/>
      <c r="UA102" s="159"/>
      <c r="UB102" s="159"/>
      <c r="UC102" s="159"/>
      <c r="UD102" s="159"/>
      <c r="UE102" s="159"/>
      <c r="UF102" s="159"/>
      <c r="UG102" s="159"/>
      <c r="UH102" s="159"/>
      <c r="UI102" s="159"/>
      <c r="UJ102" s="159"/>
      <c r="UK102" s="159"/>
      <c r="UL102" s="159"/>
      <c r="UM102" s="159"/>
      <c r="UN102" s="159"/>
      <c r="UO102" s="159"/>
      <c r="UP102" s="159"/>
      <c r="UQ102" s="159"/>
      <c r="UR102" s="159"/>
      <c r="US102" s="159"/>
      <c r="UT102" s="159"/>
      <c r="UU102" s="159"/>
      <c r="UV102" s="159"/>
      <c r="UW102" s="159"/>
      <c r="UX102" s="159"/>
      <c r="UY102" s="159"/>
      <c r="UZ102" s="159"/>
      <c r="VA102" s="159"/>
      <c r="VB102" s="159"/>
      <c r="VC102" s="159"/>
      <c r="VD102" s="159"/>
      <c r="VE102" s="159"/>
      <c r="VF102" s="159"/>
      <c r="VG102" s="159"/>
      <c r="VH102" s="159"/>
      <c r="VI102" s="159"/>
      <c r="VJ102" s="159"/>
      <c r="VK102" s="159"/>
      <c r="VL102" s="159"/>
      <c r="VM102" s="159"/>
      <c r="VN102" s="159"/>
      <c r="VO102" s="159"/>
      <c r="VP102" s="159"/>
      <c r="VQ102" s="159"/>
      <c r="VR102" s="159"/>
      <c r="VS102" s="159"/>
      <c r="VT102" s="159"/>
      <c r="VU102" s="159"/>
      <c r="VV102" s="159"/>
      <c r="VW102" s="159"/>
      <c r="VX102" s="159"/>
      <c r="VY102" s="159"/>
      <c r="VZ102" s="159"/>
      <c r="WA102" s="159"/>
      <c r="WB102" s="159"/>
      <c r="WC102" s="159"/>
      <c r="WD102" s="159"/>
      <c r="WE102" s="159"/>
      <c r="WF102" s="159"/>
      <c r="WG102" s="159"/>
      <c r="WH102" s="159"/>
      <c r="WI102" s="159"/>
      <c r="WJ102" s="159"/>
      <c r="WK102" s="159"/>
      <c r="WL102" s="159"/>
      <c r="WM102" s="159"/>
      <c r="WN102" s="159"/>
      <c r="WO102" s="159"/>
      <c r="WP102" s="159"/>
      <c r="WQ102" s="159"/>
      <c r="WR102" s="159"/>
      <c r="WS102" s="159"/>
      <c r="WT102" s="159"/>
      <c r="WU102" s="159"/>
      <c r="WV102" s="159"/>
      <c r="WW102" s="159"/>
      <c r="WX102" s="159"/>
      <c r="WY102" s="159"/>
      <c r="WZ102" s="159"/>
      <c r="XA102" s="159"/>
      <c r="XB102" s="159"/>
      <c r="XC102" s="159"/>
      <c r="XD102" s="159"/>
      <c r="XE102" s="159"/>
      <c r="XF102" s="159"/>
      <c r="XG102" s="159"/>
      <c r="XH102" s="159"/>
      <c r="XI102" s="159"/>
      <c r="XJ102" s="159"/>
      <c r="XK102" s="159"/>
      <c r="XL102" s="159"/>
      <c r="XM102" s="159"/>
      <c r="XN102" s="159"/>
      <c r="XO102" s="159"/>
      <c r="XP102" s="159"/>
      <c r="XQ102" s="159"/>
      <c r="XR102" s="159"/>
      <c r="XS102" s="159"/>
      <c r="XT102" s="159"/>
      <c r="XU102" s="159"/>
      <c r="XV102" s="159"/>
      <c r="XW102" s="159"/>
      <c r="XX102" s="159"/>
      <c r="XY102" s="159"/>
      <c r="XZ102" s="159"/>
      <c r="YA102" s="159"/>
      <c r="YB102" s="159"/>
      <c r="YC102" s="159"/>
      <c r="YD102" s="159"/>
      <c r="YE102" s="159"/>
      <c r="YF102" s="159"/>
      <c r="YG102" s="159"/>
      <c r="YH102" s="159"/>
      <c r="YI102" s="159"/>
      <c r="YJ102" s="159"/>
      <c r="YK102" s="159"/>
      <c r="YL102" s="159"/>
      <c r="YM102" s="159"/>
      <c r="YN102" s="159"/>
      <c r="YO102" s="159"/>
      <c r="YP102" s="159"/>
      <c r="YQ102" s="159"/>
      <c r="YR102" s="159"/>
      <c r="YS102" s="159"/>
      <c r="YT102" s="159"/>
      <c r="YU102" s="159"/>
      <c r="YV102" s="159"/>
      <c r="YW102" s="159"/>
      <c r="YX102" s="159"/>
      <c r="YY102" s="159"/>
      <c r="YZ102" s="159"/>
      <c r="ZA102" s="159"/>
      <c r="ZB102" s="159"/>
      <c r="ZC102" s="159"/>
      <c r="ZD102" s="159"/>
      <c r="ZE102" s="159"/>
      <c r="ZF102" s="159"/>
      <c r="ZG102" s="159"/>
      <c r="ZH102" s="159"/>
      <c r="ZI102" s="159"/>
      <c r="ZJ102" s="159"/>
      <c r="ZK102" s="159"/>
      <c r="ZL102" s="159"/>
      <c r="ZM102" s="159"/>
      <c r="ZN102" s="159"/>
      <c r="ZO102" s="159"/>
      <c r="ZP102" s="159"/>
      <c r="ZQ102" s="159"/>
      <c r="ZR102" s="159"/>
      <c r="ZS102" s="159"/>
      <c r="ZT102" s="159"/>
      <c r="ZU102" s="159"/>
      <c r="ZV102" s="159"/>
      <c r="ZW102" s="159"/>
      <c r="ZX102" s="159"/>
      <c r="ZY102" s="159"/>
      <c r="ZZ102" s="159"/>
      <c r="AAA102" s="159"/>
      <c r="AAB102" s="159"/>
      <c r="AAC102" s="159"/>
      <c r="AAD102" s="159"/>
      <c r="AAE102" s="159"/>
      <c r="AAF102" s="159"/>
      <c r="AAG102" s="159"/>
      <c r="AAH102" s="159"/>
      <c r="AAI102" s="159"/>
      <c r="AAJ102" s="159"/>
      <c r="AAK102" s="159"/>
      <c r="AAL102" s="159"/>
      <c r="AAM102" s="159"/>
      <c r="AAN102" s="159"/>
      <c r="AAO102" s="159"/>
      <c r="AAP102" s="159"/>
      <c r="AAQ102" s="159"/>
      <c r="AAR102" s="159"/>
      <c r="AAS102" s="159"/>
      <c r="AAT102" s="159"/>
      <c r="AAU102" s="159"/>
      <c r="AAV102" s="159"/>
      <c r="AAW102" s="159"/>
      <c r="AAX102" s="159"/>
      <c r="AAY102" s="159"/>
      <c r="AAZ102" s="159"/>
      <c r="ABA102" s="159"/>
      <c r="ABB102" s="159"/>
      <c r="ABC102" s="159"/>
      <c r="ABD102" s="159"/>
      <c r="ABE102" s="159"/>
      <c r="ABF102" s="159"/>
      <c r="ABG102" s="159"/>
      <c r="ABH102" s="159"/>
      <c r="ABI102" s="159"/>
      <c r="ABJ102" s="159"/>
      <c r="ABK102" s="159"/>
      <c r="ABL102" s="159"/>
      <c r="ABM102" s="159"/>
      <c r="ABN102" s="159"/>
      <c r="ABO102" s="159"/>
      <c r="ABP102" s="159"/>
      <c r="ABQ102" s="159"/>
      <c r="ABR102" s="159"/>
      <c r="ABS102" s="159"/>
      <c r="ABT102" s="159"/>
      <c r="ABU102" s="159"/>
      <c r="ABV102" s="159"/>
      <c r="ABW102" s="159"/>
      <c r="ABX102" s="159"/>
      <c r="ABY102" s="159"/>
      <c r="ABZ102" s="159"/>
      <c r="ACA102" s="159"/>
      <c r="ACB102" s="159"/>
      <c r="ACC102" s="159"/>
      <c r="ACD102" s="159"/>
      <c r="ACE102" s="159"/>
      <c r="ACF102" s="159"/>
      <c r="ACG102" s="159"/>
      <c r="ACH102" s="159"/>
      <c r="ACI102" s="159"/>
      <c r="ACJ102" s="159"/>
      <c r="ACK102" s="159"/>
      <c r="ACL102" s="159"/>
      <c r="ACM102" s="159"/>
      <c r="ACN102" s="159"/>
      <c r="ACO102" s="159"/>
      <c r="ACP102" s="159"/>
      <c r="ACQ102" s="159"/>
      <c r="ACR102" s="159"/>
      <c r="ACS102" s="159"/>
      <c r="ACT102" s="159"/>
      <c r="ACU102" s="159"/>
      <c r="ACV102" s="159"/>
      <c r="ACW102" s="159"/>
      <c r="ACX102" s="159"/>
      <c r="ACY102" s="159"/>
      <c r="ACZ102" s="159"/>
      <c r="ADA102" s="159"/>
      <c r="ADB102" s="159"/>
      <c r="ADC102" s="159"/>
      <c r="ADD102" s="159"/>
      <c r="ADE102" s="159"/>
      <c r="ADF102" s="159"/>
      <c r="ADG102" s="159"/>
      <c r="ADH102" s="159"/>
      <c r="ADI102" s="159"/>
      <c r="ADJ102" s="159"/>
      <c r="ADK102" s="159"/>
      <c r="ADL102" s="159"/>
      <c r="ADM102" s="159"/>
      <c r="ADN102" s="159"/>
      <c r="ADO102" s="159"/>
      <c r="ADP102" s="159"/>
      <c r="ADQ102" s="159"/>
      <c r="ADR102" s="159"/>
      <c r="ADS102" s="159"/>
      <c r="ADT102" s="159"/>
      <c r="ADU102" s="159"/>
      <c r="ADV102" s="159"/>
      <c r="ADW102" s="159"/>
      <c r="ADX102" s="159"/>
      <c r="ADY102" s="159"/>
      <c r="ADZ102" s="159"/>
      <c r="AEA102" s="159"/>
      <c r="AEB102" s="159"/>
      <c r="AEC102" s="159"/>
      <c r="AED102" s="159"/>
      <c r="AEE102" s="159"/>
      <c r="AEF102" s="159"/>
      <c r="AEG102" s="159"/>
      <c r="AEH102" s="159"/>
      <c r="AEI102" s="159"/>
      <c r="AEJ102" s="159"/>
      <c r="AEK102" s="159"/>
      <c r="AEL102" s="159"/>
      <c r="AEM102" s="159"/>
      <c r="AEN102" s="159"/>
      <c r="AEO102" s="159"/>
      <c r="AEP102" s="159"/>
      <c r="AEQ102" s="159"/>
      <c r="AER102" s="159"/>
      <c r="AES102" s="159"/>
      <c r="AET102" s="159"/>
      <c r="AEU102" s="159"/>
      <c r="AEV102" s="159"/>
      <c r="AEW102" s="159"/>
      <c r="AEX102" s="159"/>
      <c r="AEY102" s="159"/>
      <c r="AEZ102" s="159"/>
      <c r="AFA102" s="159"/>
      <c r="AFB102" s="159"/>
      <c r="AFC102" s="159"/>
      <c r="AFD102" s="159"/>
      <c r="AFE102" s="159"/>
      <c r="AFF102" s="159"/>
      <c r="AFG102" s="159"/>
      <c r="AFH102" s="159"/>
      <c r="AFI102" s="159"/>
      <c r="AFJ102" s="159"/>
      <c r="AFK102" s="159"/>
      <c r="AFL102" s="159"/>
      <c r="AFM102" s="159"/>
      <c r="AFN102" s="159"/>
      <c r="AFO102" s="159"/>
      <c r="AFP102" s="159"/>
      <c r="AFQ102" s="159"/>
      <c r="AFR102" s="159"/>
      <c r="AFS102" s="159"/>
      <c r="AFT102" s="159"/>
      <c r="AFU102" s="159"/>
      <c r="AFV102" s="159"/>
      <c r="AFW102" s="159"/>
      <c r="AFX102" s="159"/>
      <c r="AFY102" s="159"/>
      <c r="AFZ102" s="159"/>
      <c r="AGA102" s="159"/>
      <c r="AGB102" s="159"/>
      <c r="AGC102" s="159"/>
      <c r="AGD102" s="159"/>
      <c r="AGE102" s="159"/>
      <c r="AGF102" s="159"/>
      <c r="AGG102" s="159"/>
      <c r="AGH102" s="159"/>
      <c r="AGI102" s="159"/>
      <c r="AGJ102" s="159"/>
      <c r="AGK102" s="159"/>
      <c r="AGL102" s="159"/>
      <c r="AGM102" s="159"/>
      <c r="AGN102" s="159"/>
      <c r="AGO102" s="159"/>
      <c r="AGP102" s="159"/>
      <c r="AGQ102" s="159"/>
      <c r="AGR102" s="159"/>
      <c r="AGS102" s="159"/>
      <c r="AGT102" s="159"/>
      <c r="AGU102" s="159"/>
      <c r="AGV102" s="159"/>
      <c r="AGW102" s="159"/>
      <c r="AGX102" s="159"/>
      <c r="AGY102" s="159"/>
      <c r="AGZ102" s="159"/>
      <c r="AHA102" s="159"/>
      <c r="AHB102" s="159"/>
      <c r="AHC102" s="159"/>
      <c r="AHD102" s="159"/>
      <c r="AHE102" s="159"/>
      <c r="AHF102" s="159"/>
      <c r="AHG102" s="159"/>
      <c r="AHH102" s="159"/>
      <c r="AHI102" s="159"/>
      <c r="AHJ102" s="159"/>
      <c r="AHK102" s="159"/>
      <c r="AHL102" s="159"/>
      <c r="AHM102" s="159"/>
      <c r="AHN102" s="159"/>
      <c r="AHO102" s="159"/>
      <c r="AHP102" s="159"/>
      <c r="AHQ102" s="159"/>
      <c r="AHR102" s="159"/>
      <c r="AHS102" s="159"/>
      <c r="AHT102" s="159"/>
      <c r="AHU102" s="159"/>
      <c r="AHV102" s="159"/>
      <c r="AHW102" s="159"/>
      <c r="AHX102" s="159"/>
      <c r="AHY102" s="159"/>
      <c r="AHZ102" s="159"/>
      <c r="AIA102" s="159"/>
      <c r="AIB102" s="159"/>
      <c r="AIC102" s="159"/>
      <c r="AID102" s="159"/>
      <c r="AIE102" s="159"/>
      <c r="AIF102" s="159"/>
      <c r="AIG102" s="159"/>
      <c r="AIH102" s="159"/>
      <c r="AII102" s="159"/>
      <c r="AIJ102" s="159"/>
      <c r="AIK102" s="159"/>
      <c r="AIL102" s="159"/>
      <c r="AIM102" s="159"/>
      <c r="AIN102" s="159"/>
      <c r="AIO102" s="159"/>
      <c r="AIP102" s="159"/>
      <c r="AIQ102" s="159"/>
      <c r="AIR102" s="159"/>
      <c r="AIS102" s="159"/>
      <c r="AIT102" s="159"/>
      <c r="AIU102" s="159"/>
      <c r="AIV102" s="159"/>
      <c r="AIW102" s="159"/>
      <c r="AIX102" s="159"/>
      <c r="AIY102" s="159"/>
      <c r="AIZ102" s="159"/>
      <c r="AJA102" s="159"/>
      <c r="AJB102" s="159"/>
      <c r="AJC102" s="159"/>
      <c r="AJD102" s="159"/>
      <c r="AJE102" s="159"/>
      <c r="AJF102" s="159"/>
      <c r="AJG102" s="159"/>
      <c r="AJH102" s="159"/>
      <c r="AJI102" s="159"/>
      <c r="AJJ102" s="159"/>
      <c r="AJK102" s="159"/>
      <c r="AJL102" s="159"/>
      <c r="AJM102" s="159"/>
      <c r="AJN102" s="159"/>
      <c r="AJO102" s="159"/>
      <c r="AJP102" s="159"/>
      <c r="AJQ102" s="159"/>
      <c r="AJR102" s="159"/>
      <c r="AJS102" s="159"/>
      <c r="AJT102" s="159"/>
      <c r="AJU102" s="159"/>
      <c r="AJV102" s="159"/>
      <c r="AJW102" s="159"/>
      <c r="AJX102" s="159"/>
      <c r="AJY102" s="159"/>
      <c r="AJZ102" s="159"/>
      <c r="AKA102" s="159"/>
      <c r="AKB102" s="159"/>
      <c r="AKC102" s="159"/>
      <c r="AKD102" s="159"/>
      <c r="AKE102" s="159"/>
      <c r="AKF102" s="159"/>
      <c r="AKG102" s="159"/>
      <c r="AKH102" s="159"/>
      <c r="AKI102" s="159"/>
      <c r="AKJ102" s="159"/>
      <c r="AKK102" s="159"/>
      <c r="AKL102" s="159"/>
      <c r="AKM102" s="159"/>
      <c r="AKN102" s="159"/>
      <c r="AKO102" s="159"/>
      <c r="AKP102" s="159"/>
      <c r="AKQ102" s="159"/>
      <c r="AKR102" s="159"/>
      <c r="AKS102" s="159"/>
      <c r="AKT102" s="159"/>
      <c r="AKU102" s="159"/>
      <c r="AKV102" s="159"/>
      <c r="AKW102" s="159"/>
      <c r="AKX102" s="159"/>
      <c r="AKY102" s="159"/>
      <c r="AKZ102" s="159"/>
      <c r="ALA102" s="159"/>
      <c r="ALB102" s="159"/>
      <c r="ALC102" s="159"/>
      <c r="ALD102" s="159"/>
      <c r="ALE102" s="159"/>
      <c r="ALF102" s="159"/>
      <c r="ALG102" s="159"/>
      <c r="ALH102" s="159"/>
      <c r="ALI102" s="159"/>
      <c r="ALJ102" s="159"/>
      <c r="ALK102" s="159"/>
      <c r="ALL102" s="159"/>
      <c r="ALM102" s="159"/>
      <c r="ALN102" s="159"/>
      <c r="ALO102" s="159"/>
      <c r="ALP102" s="159"/>
      <c r="ALQ102" s="159"/>
      <c r="ALR102" s="159"/>
      <c r="ALS102" s="159"/>
      <c r="ALT102" s="159"/>
      <c r="ALU102" s="159"/>
      <c r="ALV102" s="159"/>
      <c r="ALW102" s="159"/>
      <c r="ALX102" s="159"/>
      <c r="ALY102" s="159"/>
      <c r="ALZ102" s="159"/>
      <c r="AMA102" s="159"/>
      <c r="AMB102" s="159"/>
      <c r="AMC102" s="159"/>
      <c r="AMD102" s="159"/>
      <c r="AME102" s="159"/>
      <c r="AMF102" s="159"/>
      <c r="AMG102" s="159"/>
      <c r="AMH102" s="159"/>
      <c r="AMI102" s="159"/>
      <c r="AMJ102" s="159"/>
      <c r="AMK102" s="159"/>
      <c r="AML102" s="159"/>
      <c r="AMM102" s="159"/>
      <c r="AMN102" s="159"/>
      <c r="AMO102" s="159"/>
    </row>
    <row r="103" spans="1:1029" ht="26.25" thickBot="1" x14ac:dyDescent="0.3">
      <c r="A103" s="107">
        <v>46164</v>
      </c>
      <c r="B103" s="69" t="s">
        <v>101</v>
      </c>
      <c r="C103" s="69" t="s">
        <v>82</v>
      </c>
      <c r="D103" s="108" t="s">
        <v>168</v>
      </c>
      <c r="E103" s="109" t="s">
        <v>35</v>
      </c>
      <c r="F103" s="69" t="s">
        <v>36</v>
      </c>
      <c r="G103" s="69" t="s">
        <v>34</v>
      </c>
      <c r="H103" s="148" t="b">
        <f t="shared" si="8"/>
        <v>0</v>
      </c>
      <c r="I103" s="116" t="s">
        <v>113</v>
      </c>
      <c r="J103" s="116" t="s">
        <v>36</v>
      </c>
      <c r="K103" s="116" t="s">
        <v>34</v>
      </c>
      <c r="L103" s="148" t="b">
        <f t="shared" si="9"/>
        <v>0</v>
      </c>
      <c r="M103" s="135" t="s">
        <v>35</v>
      </c>
      <c r="N103" s="135" t="s">
        <v>30</v>
      </c>
      <c r="O103" s="135" t="s">
        <v>31</v>
      </c>
      <c r="P103" s="148" t="b">
        <f t="shared" si="10"/>
        <v>0</v>
      </c>
      <c r="Q103" s="110" t="s">
        <v>73</v>
      </c>
      <c r="R103" s="69" t="s">
        <v>38</v>
      </c>
      <c r="S103" s="69" t="s">
        <v>16</v>
      </c>
      <c r="T103" s="148" t="b">
        <f t="shared" si="11"/>
        <v>0</v>
      </c>
    </row>
    <row r="104" spans="1:1029" ht="15.75" thickTop="1" x14ac:dyDescent="0.25">
      <c r="A104" s="33">
        <v>46167</v>
      </c>
      <c r="B104" s="34" t="s">
        <v>268</v>
      </c>
      <c r="C104" s="34" t="s">
        <v>268</v>
      </c>
      <c r="D104" s="106" t="s">
        <v>268</v>
      </c>
      <c r="E104" s="35"/>
      <c r="F104" s="34"/>
      <c r="G104" s="34"/>
      <c r="H104" s="140" t="b">
        <f t="shared" si="8"/>
        <v>0</v>
      </c>
      <c r="I104" s="35">
        <f>CHOOSE(MATCH(MAX(SUM(H$9:$H103), SUM(P$9:$P103), SUM(T$9:$T103)),CHOOSE({1;2;3}, SUM(H$9:$H103), SUM(P$9:$P103), SUM(T$9:$T103)),0),E104,M104,Q104)</f>
        <v>0</v>
      </c>
      <c r="J104" s="37">
        <f>CHOOSE(MATCH(MAX(SUM($H$9:H103), SUM($P$9:P103), SUM($T$9:T103)),CHOOSE({1;2;3}, SUM($H$9:H103), SUM($P$9:P103), SUM($T$9:T103)),0),F104,N104,R104)</f>
        <v>0</v>
      </c>
      <c r="K104" s="37">
        <f>CHOOSE(MATCH(MAX(SUM($H$9:H103), SUM($P$9:P103), SUM($T$9:T103)),CHOOSE({1;2;3}, SUM($H$9:H103), SUM($P$9:P103), SUM($T$9:T103)),0),G104,O104,S104)</f>
        <v>0</v>
      </c>
      <c r="L104" s="140" t="b">
        <f t="shared" si="9"/>
        <v>0</v>
      </c>
      <c r="M104" s="37">
        <f>CHOOSE(MATCH(MAX(SUM($H$9:H103), SUM($L$9:L103), SUM($T$9:T103)),CHOOSE({1;2;3}, SUM($H$9:H103), SUM($L$9:L103), SUM($T$9:T103)),0),E104,I104,Q104)</f>
        <v>0</v>
      </c>
      <c r="N104" s="37">
        <f>CHOOSE(MATCH(MAX(SUM($H$9:H103), SUM($L$9:L103), SUM($T$9:T103)),CHOOSE({1;2;3}, SUM($H$9:H103), SUM($L$9:L103), SUM($T$9:T103)),0),F104,J104,R104)</f>
        <v>0</v>
      </c>
      <c r="O104" s="37">
        <f>CHOOSE(MATCH(MAX(SUM($H$9:H103), SUM($L$9:L103), SUM($T$9:T103)),CHOOSE({1;2;3}, SUM($H$9:H103), SUM($L$9:L103), SUM($T$9:T103)),0),G104,K104,S104)</f>
        <v>0</v>
      </c>
      <c r="P104" s="140" t="b">
        <f t="shared" si="10"/>
        <v>0</v>
      </c>
      <c r="Q104" s="37"/>
      <c r="R104" s="34"/>
      <c r="S104" s="34"/>
      <c r="T104" s="140" t="b">
        <f t="shared" si="11"/>
        <v>0</v>
      </c>
    </row>
    <row r="105" spans="1:1029" x14ac:dyDescent="0.25">
      <c r="A105" s="8">
        <v>46168</v>
      </c>
      <c r="B105" s="16" t="s">
        <v>42</v>
      </c>
      <c r="C105" s="16" t="s">
        <v>77</v>
      </c>
      <c r="D105" s="105" t="s">
        <v>13</v>
      </c>
      <c r="E105" s="18" t="s">
        <v>28</v>
      </c>
      <c r="F105" s="16" t="s">
        <v>28</v>
      </c>
      <c r="G105" s="16" t="s">
        <v>28</v>
      </c>
      <c r="H105" s="17" t="b">
        <f t="shared" si="8"/>
        <v>0</v>
      </c>
      <c r="I105" s="11" t="s">
        <v>19</v>
      </c>
      <c r="J105" s="13" t="s">
        <v>270</v>
      </c>
      <c r="K105" s="13" t="s">
        <v>27</v>
      </c>
      <c r="L105" s="17" t="b">
        <f t="shared" si="9"/>
        <v>0</v>
      </c>
      <c r="M105" s="13" t="str">
        <f>CHOOSE(MATCH(MAX(SUM($H$9:H104), SUM($L$9:L104), SUM($T$9:T104)),CHOOSE({1;2;3}, SUM($H$9:H104), SUM($L$9:L104), SUM($T$9:T104)),0),E105,I105,Q105)</f>
        <v>Amatriciana</v>
      </c>
      <c r="N105" s="13" t="str">
        <f>CHOOSE(MATCH(MAX(SUM($H$9:H104), SUM($L$9:L104), SUM($T$9:T104)),CHOOSE({1;2;3}, SUM($H$9:H104), SUM($L$9:L104), SUM($T$9:T104)),0),F105,J105,R105)</f>
        <v>Schweinschopf</v>
      </c>
      <c r="O105" s="13" t="str">
        <f>CHOOSE(MATCH(MAX(SUM($H$9:H104), SUM($L$9:L104), SUM($T$9:T104)),CHOOSE({1;2;3}, SUM($H$9:H104), SUM($L$9:L104), SUM($T$9:T104)),0),G105,K105,S105)</f>
        <v>Ofenkartoffeln</v>
      </c>
      <c r="P105" s="17" t="b">
        <f t="shared" si="10"/>
        <v>0</v>
      </c>
      <c r="Q105" s="19" t="s">
        <v>42</v>
      </c>
      <c r="R105" s="16" t="s">
        <v>38</v>
      </c>
      <c r="S105" s="16" t="s">
        <v>16</v>
      </c>
      <c r="T105" s="17">
        <f t="shared" si="11"/>
        <v>1</v>
      </c>
    </row>
    <row r="106" spans="1:1029" ht="25.5" x14ac:dyDescent="0.25">
      <c r="A106" s="8">
        <v>46169</v>
      </c>
      <c r="B106" s="16" t="s">
        <v>29</v>
      </c>
      <c r="C106" s="16" t="s">
        <v>270</v>
      </c>
      <c r="D106" s="105" t="s">
        <v>31</v>
      </c>
      <c r="E106" s="118" t="s">
        <v>53</v>
      </c>
      <c r="F106" s="99" t="s">
        <v>125</v>
      </c>
      <c r="G106" s="99" t="s">
        <v>31</v>
      </c>
      <c r="H106" s="141">
        <f t="shared" si="8"/>
        <v>0.5</v>
      </c>
      <c r="I106" s="120" t="s">
        <v>8</v>
      </c>
      <c r="J106" s="121" t="s">
        <v>117</v>
      </c>
      <c r="K106" s="121" t="s">
        <v>21</v>
      </c>
      <c r="L106" s="141" t="b">
        <f t="shared" si="9"/>
        <v>0</v>
      </c>
      <c r="M106" s="121" t="str">
        <f>CHOOSE(MATCH(MAX(SUM($H$9:H105), SUM($L$9:L105), SUM($T$9:T105)),CHOOSE({1;2;3}, SUM($H$9:H105), SUM($L$9:L105), SUM($T$9:T105)),0),E106,I106,Q106)</f>
        <v>Lasagne</v>
      </c>
      <c r="N106" s="121" t="str">
        <f>CHOOSE(MATCH(MAX(SUM($H$9:H105), SUM($L$9:L105), SUM($T$9:T105)),CHOOSE({1;2;3}, SUM($H$9:H105), SUM($L$9:L105), SUM($T$9:T105)),0),F106,J106,R106)</f>
        <v>Zigeunerschnitzel</v>
      </c>
      <c r="O106" s="121" t="str">
        <f>CHOOSE(MATCH(MAX(SUM($H$9:H105), SUM($L$9:L105), SUM($T$9:T105)),CHOOSE({1;2;3}, SUM($H$9:H105), SUM($L$9:L105), SUM($T$9:T105)),0),G106,K106,S106)</f>
        <v>Reis</v>
      </c>
      <c r="P106" s="141" t="b">
        <f t="shared" si="10"/>
        <v>0</v>
      </c>
      <c r="Q106" s="149" t="s">
        <v>66</v>
      </c>
      <c r="R106" s="99" t="s">
        <v>151</v>
      </c>
      <c r="S106" s="99" t="s">
        <v>21</v>
      </c>
      <c r="T106" s="17" t="b">
        <f t="shared" si="11"/>
        <v>0</v>
      </c>
    </row>
    <row r="107" spans="1:1029" ht="27.75" customHeight="1" x14ac:dyDescent="0.25">
      <c r="A107" s="8">
        <v>46170</v>
      </c>
      <c r="B107" s="16" t="s">
        <v>149</v>
      </c>
      <c r="C107" s="16" t="s">
        <v>121</v>
      </c>
      <c r="D107" s="105" t="s">
        <v>104</v>
      </c>
      <c r="E107" s="18" t="s">
        <v>113</v>
      </c>
      <c r="F107" s="16" t="s">
        <v>57</v>
      </c>
      <c r="G107" s="16" t="s">
        <v>21</v>
      </c>
      <c r="H107" s="17" t="b">
        <f t="shared" si="8"/>
        <v>0</v>
      </c>
      <c r="I107" s="11" t="s">
        <v>101</v>
      </c>
      <c r="J107" s="13" t="s">
        <v>121</v>
      </c>
      <c r="K107" s="13" t="s">
        <v>69</v>
      </c>
      <c r="L107" s="17">
        <f t="shared" si="9"/>
        <v>0.5</v>
      </c>
      <c r="M107" s="13" t="str">
        <f>CHOOSE(MATCH(MAX(SUM($H$9:H106), SUM($L$9:L106), SUM($T$9:T106)),CHOOSE({1;2;3}, SUM($H$9:H106), SUM($L$9:L106), SUM($T$9:T106)),0),E107,I107,Q107)</f>
        <v>Nudel mit Käsesoße</v>
      </c>
      <c r="N107" s="13" t="str">
        <f>CHOOSE(MATCH(MAX(SUM($H$9:H106), SUM($L$9:L106), SUM($T$9:T106)),CHOOSE({1;2;3}, SUM($H$9:H106), SUM($L$9:L106), SUM($T$9:T106)),0),F107,J107,R107)</f>
        <v>Vitello tonnato</v>
      </c>
      <c r="O107" s="13" t="str">
        <f>CHOOSE(MATCH(MAX(SUM($H$9:H106), SUM($L$9:L106), SUM($T$9:T106)),CHOOSE({1;2;3}, SUM($H$9:H106), SUM($L$9:L106), SUM($T$9:T106)),0),G107,K107,S107)</f>
        <v>Salzkartoffeln</v>
      </c>
      <c r="P107" s="17">
        <f t="shared" si="10"/>
        <v>0.5</v>
      </c>
      <c r="Q107" s="19" t="str">
        <f>E107</f>
        <v>Nudel Mammarosa</v>
      </c>
      <c r="R107" s="16" t="str">
        <f>F107</f>
        <v>Truthahnschnitzel</v>
      </c>
      <c r="S107" s="16" t="str">
        <f>K107</f>
        <v>Salzkartoffeln</v>
      </c>
      <c r="T107" s="17" t="b">
        <f t="shared" si="11"/>
        <v>0</v>
      </c>
    </row>
    <row r="108" spans="1:1029" ht="26.25" thickBot="1" x14ac:dyDescent="0.3">
      <c r="A108" s="39">
        <v>46171</v>
      </c>
      <c r="B108" s="55" t="s">
        <v>35</v>
      </c>
      <c r="C108" s="55" t="s">
        <v>30</v>
      </c>
      <c r="D108" s="111" t="s">
        <v>199</v>
      </c>
      <c r="E108" s="150" t="s">
        <v>87</v>
      </c>
      <c r="F108" s="151" t="s">
        <v>38</v>
      </c>
      <c r="G108" s="151" t="s">
        <v>16</v>
      </c>
      <c r="H108" s="142" t="b">
        <f t="shared" si="8"/>
        <v>0</v>
      </c>
      <c r="I108" s="104" t="s">
        <v>73</v>
      </c>
      <c r="J108" s="103" t="s">
        <v>151</v>
      </c>
      <c r="K108" s="103" t="s">
        <v>31</v>
      </c>
      <c r="L108" s="142" t="b">
        <f t="shared" si="9"/>
        <v>0</v>
      </c>
      <c r="M108" s="103" t="str">
        <f>CHOOSE(MATCH(MAX(SUM($H$9:H107), SUM($L$9:L107), SUM($T$9:T107)),CHOOSE({1;2;3}, SUM($H$9:H107), SUM($L$9:L107), SUM($T$9:T107)),0),E108,I108,Q108)</f>
        <v>Nudel mit Thunfischsoße</v>
      </c>
      <c r="N108" s="103" t="str">
        <f>CHOOSE(MATCH(MAX(SUM($H$9:H107), SUM($L$9:L107), SUM($T$9:T107)),CHOOSE({1;2;3}, SUM($H$9:H107), SUM($L$9:L107), SUM($T$9:T107)),0),F108,J108,R108)</f>
        <v>Cordon Bleu</v>
      </c>
      <c r="O108" s="103" t="str">
        <f>CHOOSE(MATCH(MAX(SUM($H$9:H107), SUM($L$9:L107), SUM($T$9:T107)),CHOOSE({1;2;3}, SUM($H$9:H107), SUM($L$9:L107), SUM($T$9:T107)),0),G108,K108,S108)</f>
        <v>Pommes</v>
      </c>
      <c r="P108" s="142" t="b">
        <f t="shared" si="10"/>
        <v>0</v>
      </c>
      <c r="Q108" s="44" t="s">
        <v>28</v>
      </c>
      <c r="R108" s="55" t="s">
        <v>28</v>
      </c>
      <c r="S108" s="55" t="s">
        <v>28</v>
      </c>
      <c r="T108" s="142" t="b">
        <f t="shared" si="11"/>
        <v>0</v>
      </c>
    </row>
    <row r="109" spans="1:1029" ht="15.75" thickTop="1" x14ac:dyDescent="0.25">
      <c r="A109" s="8">
        <v>46174</v>
      </c>
      <c r="B109" s="9" t="s">
        <v>268</v>
      </c>
      <c r="C109" s="9" t="s">
        <v>268</v>
      </c>
      <c r="D109" s="101" t="s">
        <v>268</v>
      </c>
      <c r="E109" s="11"/>
      <c r="F109" s="9"/>
      <c r="G109" s="9"/>
      <c r="H109" s="10" t="b">
        <f t="shared" si="8"/>
        <v>0</v>
      </c>
      <c r="I109" s="13">
        <f>CHOOSE(MATCH(MAX(SUM(H$9:$H108), SUM(P$9:$P108), SUM(T$9:$T108)),CHOOSE({1;2;3}, SUM(H$9:$H108), SUM(P$9:$P108), SUM(T$9:$T108)),0),E109,M109,Q109)</f>
        <v>0</v>
      </c>
      <c r="J109" s="13">
        <f>CHOOSE(MATCH(MAX(SUM($H$9:H108), SUM($P$9:P108), SUM($T$9:T108)),CHOOSE({1;2;3}, SUM($H$9:H108), SUM($P$9:P108), SUM($T$9:T108)),0),F109,N109,R109)</f>
        <v>0</v>
      </c>
      <c r="K109" s="13">
        <f>CHOOSE(MATCH(MAX(SUM($H$9:H108), SUM($P$9:P108), SUM($T$9:T108)),CHOOSE({1;2;3}, SUM($H$9:H108), SUM($P$9:P108), SUM($T$9:T108)),0),G109,O109,S109)</f>
        <v>0</v>
      </c>
      <c r="L109" s="10" t="b">
        <f t="shared" si="9"/>
        <v>0</v>
      </c>
      <c r="M109" s="13">
        <f>CHOOSE(MATCH(MAX(SUM($H$9:H108), SUM($L$9:L108), SUM($T$9:T108)),CHOOSE({1;2;3}, SUM($H$9:H108), SUM($L$9:L108), SUM($T$9:T108)),0),E109,I109,Q109)</f>
        <v>0</v>
      </c>
      <c r="N109" s="13">
        <f>CHOOSE(MATCH(MAX(SUM($H$9:H108), SUM($L$9:L108), SUM($T$9:T108)),CHOOSE({1;2;3}, SUM($H$9:H108), SUM($L$9:L108), SUM($T$9:T108)),0),F109,J109,R109)</f>
        <v>0</v>
      </c>
      <c r="O109" s="13">
        <f>CHOOSE(MATCH(MAX(SUM($H$9:H108), SUM($L$9:L108), SUM($T$9:T108)),CHOOSE({1;2;3}, SUM($H$9:H108), SUM($L$9:L108), SUM($T$9:T108)),0),G109,K109,S109)</f>
        <v>0</v>
      </c>
      <c r="P109" s="10" t="b">
        <f t="shared" si="10"/>
        <v>0</v>
      </c>
      <c r="Q109" s="13"/>
      <c r="R109" s="9"/>
      <c r="S109" s="9"/>
      <c r="T109" s="10" t="b">
        <f t="shared" si="11"/>
        <v>0</v>
      </c>
    </row>
    <row r="110" spans="1:1029" x14ac:dyDescent="0.25">
      <c r="A110" s="8">
        <v>46175</v>
      </c>
      <c r="B110" s="16" t="s">
        <v>268</v>
      </c>
      <c r="C110" s="16" t="s">
        <v>268</v>
      </c>
      <c r="D110" s="105" t="s">
        <v>268</v>
      </c>
      <c r="E110" s="18"/>
      <c r="F110" s="16"/>
      <c r="G110" s="16"/>
      <c r="H110" s="17" t="b">
        <f t="shared" si="8"/>
        <v>0</v>
      </c>
      <c r="I110" s="13">
        <f>CHOOSE(MATCH(MAX(SUM(H$9:$H109), SUM(P$9:$P109), SUM(T$9:$T109)),CHOOSE({1;2;3}, SUM(H$9:$H109), SUM(P$9:$P109), SUM(T$9:$T109)),0),E110,M110,Q110)</f>
        <v>0</v>
      </c>
      <c r="J110" s="13">
        <f>CHOOSE(MATCH(MAX(SUM($H$9:H109), SUM($P$9:P109), SUM($T$9:T109)),CHOOSE({1;2;3}, SUM($H$9:H109), SUM($P$9:P109), SUM($T$9:T109)),0),F110,N110,R110)</f>
        <v>0</v>
      </c>
      <c r="K110" s="13">
        <f>CHOOSE(MATCH(MAX(SUM($H$9:H109), SUM($P$9:P109), SUM($T$9:T109)),CHOOSE({1;2;3}, SUM($H$9:H109), SUM($P$9:P109), SUM($T$9:T109)),0),G110,O110,S110)</f>
        <v>0</v>
      </c>
      <c r="L110" s="17" t="b">
        <f t="shared" si="9"/>
        <v>0</v>
      </c>
      <c r="M110" s="13">
        <f>CHOOSE(MATCH(MAX(SUM($H$9:H109), SUM($L$9:L109), SUM($T$9:T109)),CHOOSE({1;2;3}, SUM($H$9:H109), SUM($L$9:L109), SUM($T$9:T109)),0),E110,I110,Q110)</f>
        <v>0</v>
      </c>
      <c r="N110" s="13">
        <f>CHOOSE(MATCH(MAX(SUM($H$9:H109), SUM($L$9:L109), SUM($T$9:T109)),CHOOSE({1;2;3}, SUM($H$9:H109), SUM($L$9:L109), SUM($T$9:T109)),0),F110,J110,R110)</f>
        <v>0</v>
      </c>
      <c r="O110" s="13">
        <f>CHOOSE(MATCH(MAX(SUM($H$9:H109), SUM($L$9:L109), SUM($T$9:T109)),CHOOSE({1;2;3}, SUM($H$9:H109), SUM($L$9:L109), SUM($T$9:T109)),0),G110,K110,S110)</f>
        <v>0</v>
      </c>
      <c r="P110" s="17" t="b">
        <f t="shared" si="10"/>
        <v>0</v>
      </c>
      <c r="Q110" s="19"/>
      <c r="R110" s="16"/>
      <c r="S110" s="16"/>
      <c r="T110" s="17" t="b">
        <f t="shared" si="11"/>
        <v>0</v>
      </c>
    </row>
    <row r="111" spans="1:1029" ht="25.5" x14ac:dyDescent="0.25">
      <c r="A111" s="8">
        <v>46176</v>
      </c>
      <c r="B111" s="16" t="s">
        <v>101</v>
      </c>
      <c r="C111" s="16" t="s">
        <v>57</v>
      </c>
      <c r="D111" s="105" t="s">
        <v>27</v>
      </c>
      <c r="E111" s="18" t="s">
        <v>19</v>
      </c>
      <c r="F111" s="16" t="s">
        <v>38</v>
      </c>
      <c r="G111" s="16" t="s">
        <v>31</v>
      </c>
      <c r="H111" s="17" t="b">
        <f t="shared" si="8"/>
        <v>0</v>
      </c>
      <c r="I111" s="13" t="s">
        <v>19</v>
      </c>
      <c r="J111" s="13" t="s">
        <v>271</v>
      </c>
      <c r="K111" s="13" t="s">
        <v>21</v>
      </c>
      <c r="L111" s="17" t="b">
        <f t="shared" si="9"/>
        <v>0</v>
      </c>
      <c r="M111" s="13" t="str">
        <f>CHOOSE(MATCH(MAX(SUM($H$9:H110), SUM($L$9:L110), SUM($T$9:T110)),CHOOSE({1;2;3}, SUM($H$9:H110), SUM($L$9:L110), SUM($T$9:T110)),0),E111,I111,Q111)</f>
        <v>Amatriciana</v>
      </c>
      <c r="N111" s="13" t="str">
        <f>CHOOSE(MATCH(MAX(SUM($H$9:H110), SUM($L$9:L110), SUM($T$9:T110)),CHOOSE({1;2;3}, SUM($H$9:H110), SUM($L$9:L110), SUM($T$9:T110)),0),F111,J111,R111)</f>
        <v>Chmpignonschnitzel</v>
      </c>
      <c r="O111" s="13" t="str">
        <f>CHOOSE(MATCH(MAX(SUM($H$9:H110), SUM($L$9:L110), SUM($T$9:T110)),CHOOSE({1;2;3}, SUM($H$9:H110), SUM($L$9:L110), SUM($T$9:T110)),0),G111,K111,S111)</f>
        <v>Reis</v>
      </c>
      <c r="P111" s="17" t="b">
        <f t="shared" si="10"/>
        <v>0</v>
      </c>
      <c r="Q111" s="19" t="s">
        <v>28</v>
      </c>
      <c r="R111" s="16" t="s">
        <v>28</v>
      </c>
      <c r="S111" s="16" t="s">
        <v>28</v>
      </c>
      <c r="T111" s="17" t="b">
        <f t="shared" si="11"/>
        <v>0</v>
      </c>
    </row>
    <row r="112" spans="1:1029" ht="25.5" x14ac:dyDescent="0.25">
      <c r="A112" s="8">
        <v>46177</v>
      </c>
      <c r="B112" s="16" t="s">
        <v>113</v>
      </c>
      <c r="C112" s="16" t="s">
        <v>118</v>
      </c>
      <c r="D112" s="105" t="s">
        <v>21</v>
      </c>
      <c r="E112" s="18" t="s">
        <v>8</v>
      </c>
      <c r="F112" s="16" t="s">
        <v>130</v>
      </c>
      <c r="G112" s="16" t="s">
        <v>21</v>
      </c>
      <c r="H112" s="17">
        <f t="shared" si="8"/>
        <v>0.5</v>
      </c>
      <c r="I112" s="13" t="str">
        <f>CHOOSE(MATCH(MAX(SUM(H$9:$H111), SUM(P$9:$P111), SUM(T$9:$T111)),CHOOSE({1;2;3}, SUM(H$9:$H111), SUM(P$9:$P111), SUM(T$9:$T111)),0),E112,M112,Q112)</f>
        <v>-</v>
      </c>
      <c r="J112" s="13" t="str">
        <f>CHOOSE(MATCH(MAX(SUM($H$9:H111), SUM($P$9:P111), SUM($T$9:T111)),CHOOSE({1;2;3}, SUM($H$9:H111), SUM($P$9:P111), SUM($T$9:T111)),0),F112,N112,R112)</f>
        <v>-</v>
      </c>
      <c r="K112" s="13" t="str">
        <f>CHOOSE(MATCH(MAX(SUM($H$9:H111), SUM($P$9:P111), SUM($T$9:T111)),CHOOSE({1;2;3}, SUM($H$9:H111), SUM($P$9:P111), SUM($T$9:T111)),0),G112,O112,S112)</f>
        <v>-</v>
      </c>
      <c r="L112" s="17" t="b">
        <f t="shared" si="9"/>
        <v>0</v>
      </c>
      <c r="M112" s="13" t="str">
        <f>CHOOSE(MATCH(MAX(SUM($H$9:H111), SUM($L$9:L111), SUM($T$9:T111)),CHOOSE({1;2;3}, SUM($H$9:H111), SUM($L$9:L111), SUM($T$9:T111)),0),E112,I112,Q112)</f>
        <v>-</v>
      </c>
      <c r="N112" s="13" t="str">
        <f>CHOOSE(MATCH(MAX(SUM($H$9:H111), SUM($L$9:L111), SUM($T$9:T111)),CHOOSE({1;2;3}, SUM($H$9:H111), SUM($L$9:L111), SUM($T$9:T111)),0),F112,J112,R112)</f>
        <v>-</v>
      </c>
      <c r="O112" s="13" t="str">
        <f>CHOOSE(MATCH(MAX(SUM($H$9:H111), SUM($L$9:L111), SUM($T$9:T111)),CHOOSE({1;2;3}, SUM($H$9:H111), SUM($L$9:L111), SUM($T$9:T111)),0),G112,K112,S112)</f>
        <v>-</v>
      </c>
      <c r="P112" s="17" t="b">
        <f t="shared" si="10"/>
        <v>0</v>
      </c>
      <c r="Q112" s="19" t="s">
        <v>28</v>
      </c>
      <c r="R112" s="16" t="s">
        <v>28</v>
      </c>
      <c r="S112" s="16" t="s">
        <v>28</v>
      </c>
      <c r="T112" s="17" t="b">
        <f t="shared" si="11"/>
        <v>0</v>
      </c>
    </row>
    <row r="113" spans="1:1029" ht="26.25" thickBot="1" x14ac:dyDescent="0.3">
      <c r="A113" s="107">
        <v>46178</v>
      </c>
      <c r="B113" s="69" t="s">
        <v>73</v>
      </c>
      <c r="C113" s="69" t="s">
        <v>54</v>
      </c>
      <c r="D113" s="108" t="s">
        <v>31</v>
      </c>
      <c r="E113" s="109" t="s">
        <v>73</v>
      </c>
      <c r="F113" s="69" t="s">
        <v>125</v>
      </c>
      <c r="G113" s="69" t="s">
        <v>31</v>
      </c>
      <c r="H113" s="148">
        <f t="shared" si="8"/>
        <v>1.5</v>
      </c>
      <c r="I113" s="116" t="s">
        <v>272</v>
      </c>
      <c r="J113" s="116" t="s">
        <v>151</v>
      </c>
      <c r="K113" s="116" t="s">
        <v>31</v>
      </c>
      <c r="L113" s="148">
        <f t="shared" si="9"/>
        <v>0.5</v>
      </c>
      <c r="M113" s="116" t="str">
        <f>CHOOSE(MATCH(MAX(SUM($H$9:H112), SUM($L$9:L112), SUM($T$9:T112)),CHOOSE({1;2;3}, SUM($H$9:H112), SUM($L$9:L112), SUM($T$9:T112)),0),E113,I113,Q113)</f>
        <v>Nudel mit Lachssoße</v>
      </c>
      <c r="N113" s="116" t="str">
        <f>CHOOSE(MATCH(MAX(SUM($H$9:H112), SUM($L$9:L112), SUM($T$9:T112)),CHOOSE({1;2;3}, SUM($H$9:H112), SUM($L$9:L112), SUM($T$9:T112)),0),F113,J113,R113)</f>
        <v>Cordon Bleu</v>
      </c>
      <c r="O113" s="116" t="str">
        <f>CHOOSE(MATCH(MAX(SUM($H$9:H112), SUM($L$9:L112), SUM($T$9:T112)),CHOOSE({1;2;3}, SUM($H$9:H112), SUM($L$9:L112), SUM($T$9:T112)),0),G113,K113,S113)</f>
        <v>Pommes</v>
      </c>
      <c r="P113" s="148">
        <f t="shared" si="10"/>
        <v>0.5</v>
      </c>
      <c r="Q113" s="110" t="s">
        <v>76</v>
      </c>
      <c r="R113" s="69" t="s">
        <v>36</v>
      </c>
      <c r="S113" s="69" t="s">
        <v>34</v>
      </c>
      <c r="T113" s="148" t="b">
        <f t="shared" si="11"/>
        <v>0</v>
      </c>
    </row>
    <row r="114" spans="1:1029" ht="26.25" thickTop="1" x14ac:dyDescent="0.25">
      <c r="A114" s="33">
        <v>46181</v>
      </c>
      <c r="B114" s="34" t="s">
        <v>22</v>
      </c>
      <c r="C114" s="34" t="s">
        <v>130</v>
      </c>
      <c r="D114" s="106" t="s">
        <v>21</v>
      </c>
      <c r="E114" s="35" t="s">
        <v>22</v>
      </c>
      <c r="F114" s="34" t="s">
        <v>77</v>
      </c>
      <c r="G114" s="34" t="s">
        <v>52</v>
      </c>
      <c r="H114" s="140">
        <f t="shared" si="8"/>
        <v>1</v>
      </c>
      <c r="I114" s="35" t="s">
        <v>157</v>
      </c>
      <c r="J114" s="37" t="s">
        <v>82</v>
      </c>
      <c r="K114" s="37" t="s">
        <v>21</v>
      </c>
      <c r="L114" s="140">
        <f t="shared" si="9"/>
        <v>0.5</v>
      </c>
      <c r="M114" s="37" t="str">
        <f>CHOOSE(MATCH(MAX(SUM($H$9:H113), SUM($L$9:L113), SUM($T$9:T113)),CHOOSE({1;2;3}, SUM($H$9:H113), SUM($L$9:L113), SUM($T$9:T113)),0),E114,I114,Q114)</f>
        <v>Arrabbiata</v>
      </c>
      <c r="N114" s="37" t="str">
        <f>CHOOSE(MATCH(MAX(SUM($H$9:H113), SUM($L$9:L113), SUM($T$9:T113)),CHOOSE({1;2;3}, SUM($H$9:H113), SUM($L$9:L113), SUM($T$9:T113)),0),F114,J114,R114)</f>
        <v>Hühnerbrust</v>
      </c>
      <c r="O114" s="37" t="str">
        <f>CHOOSE(MATCH(MAX(SUM($H$9:H113), SUM($L$9:L113), SUM($T$9:T113)),CHOOSE({1;2;3}, SUM($H$9:H113), SUM($L$9:L113), SUM($T$9:T113)),0),G114,K114,S114)</f>
        <v>Kroketten</v>
      </c>
      <c r="P114" s="140">
        <f t="shared" si="10"/>
        <v>1</v>
      </c>
      <c r="Q114" s="37" t="str">
        <f>I114</f>
        <v>Nudelsalat</v>
      </c>
      <c r="R114" s="34" t="str">
        <f>J114</f>
        <v>Truthahngeschnetzeltes</v>
      </c>
      <c r="S114" s="34" t="str">
        <f>K114</f>
        <v>Reis</v>
      </c>
      <c r="T114" s="140">
        <f t="shared" si="11"/>
        <v>0.5</v>
      </c>
    </row>
    <row r="115" spans="1:1029" s="161" customFormat="1" ht="25.5" x14ac:dyDescent="0.25">
      <c r="A115" s="138">
        <v>46182</v>
      </c>
      <c r="B115" s="99" t="s">
        <v>105</v>
      </c>
      <c r="C115" s="99" t="s">
        <v>77</v>
      </c>
      <c r="D115" s="160" t="s">
        <v>13</v>
      </c>
      <c r="E115" s="118" t="s">
        <v>105</v>
      </c>
      <c r="F115" s="99" t="s">
        <v>125</v>
      </c>
      <c r="G115" s="99" t="s">
        <v>31</v>
      </c>
      <c r="H115" s="141">
        <f t="shared" si="8"/>
        <v>1</v>
      </c>
      <c r="I115" s="120" t="s">
        <v>35</v>
      </c>
      <c r="J115" s="121" t="s">
        <v>30</v>
      </c>
      <c r="K115" s="121" t="s">
        <v>27</v>
      </c>
      <c r="L115" s="141" t="b">
        <f t="shared" si="9"/>
        <v>0</v>
      </c>
      <c r="M115" s="121" t="s">
        <v>8</v>
      </c>
      <c r="N115" s="121" t="s">
        <v>82</v>
      </c>
      <c r="O115" s="121" t="s">
        <v>168</v>
      </c>
      <c r="P115" s="141" t="b">
        <f t="shared" si="10"/>
        <v>0</v>
      </c>
      <c r="Q115" s="149" t="s">
        <v>42</v>
      </c>
      <c r="R115" s="99" t="s">
        <v>77</v>
      </c>
      <c r="S115" s="99" t="s">
        <v>168</v>
      </c>
      <c r="T115" s="141">
        <f t="shared" si="11"/>
        <v>0.5</v>
      </c>
      <c r="U115" s="159"/>
      <c r="V115" s="159"/>
      <c r="W115" s="159"/>
      <c r="X115" s="159"/>
      <c r="Y115" s="159"/>
      <c r="Z115" s="159"/>
      <c r="AA115" s="159"/>
      <c r="AB115" s="159"/>
      <c r="AC115" s="159"/>
      <c r="AD115" s="159"/>
      <c r="AE115" s="159"/>
      <c r="AF115" s="159"/>
      <c r="AG115" s="159"/>
      <c r="AH115" s="159"/>
      <c r="AI115" s="159"/>
      <c r="AJ115" s="159"/>
      <c r="AK115" s="159"/>
      <c r="AL115" s="159"/>
      <c r="AM115" s="159"/>
      <c r="AN115" s="159"/>
      <c r="AO115" s="159"/>
      <c r="AP115" s="159"/>
      <c r="AQ115" s="159"/>
      <c r="AR115" s="159"/>
      <c r="AS115" s="159"/>
      <c r="AT115" s="159"/>
      <c r="AU115" s="159"/>
      <c r="AV115" s="159"/>
      <c r="AW115" s="159"/>
      <c r="AX115" s="159"/>
      <c r="AY115" s="159"/>
      <c r="AZ115" s="159"/>
      <c r="BA115" s="159"/>
      <c r="BB115" s="159"/>
      <c r="BC115" s="159"/>
      <c r="BD115" s="159"/>
      <c r="BE115" s="159"/>
      <c r="BF115" s="159"/>
      <c r="BG115" s="159"/>
      <c r="BH115" s="159"/>
      <c r="BI115" s="159"/>
      <c r="BJ115" s="159"/>
      <c r="BK115" s="159"/>
      <c r="BL115" s="159"/>
      <c r="BM115" s="159"/>
      <c r="BN115" s="159"/>
      <c r="BO115" s="159"/>
      <c r="BP115" s="159"/>
      <c r="BQ115" s="159"/>
      <c r="BR115" s="159"/>
      <c r="BS115" s="159"/>
      <c r="BT115" s="159"/>
      <c r="BU115" s="159"/>
      <c r="BV115" s="159"/>
      <c r="BW115" s="159"/>
      <c r="BX115" s="159"/>
      <c r="BY115" s="159"/>
      <c r="BZ115" s="159"/>
      <c r="CA115" s="159"/>
      <c r="CB115" s="159"/>
      <c r="CC115" s="159"/>
      <c r="CD115" s="159"/>
      <c r="CE115" s="159"/>
      <c r="CF115" s="159"/>
      <c r="CG115" s="159"/>
      <c r="CH115" s="159"/>
      <c r="CI115" s="159"/>
      <c r="CJ115" s="159"/>
      <c r="CK115" s="159"/>
      <c r="CL115" s="159"/>
      <c r="CM115" s="159"/>
      <c r="CN115" s="159"/>
      <c r="CO115" s="159"/>
      <c r="CP115" s="159"/>
      <c r="CQ115" s="159"/>
      <c r="CR115" s="159"/>
      <c r="CS115" s="159"/>
      <c r="CT115" s="159"/>
      <c r="CU115" s="159"/>
      <c r="CV115" s="159"/>
      <c r="CW115" s="159"/>
      <c r="CX115" s="159"/>
      <c r="CY115" s="159"/>
      <c r="CZ115" s="159"/>
      <c r="DA115" s="159"/>
      <c r="DB115" s="159"/>
      <c r="DC115" s="159"/>
      <c r="DD115" s="159"/>
      <c r="DE115" s="159"/>
      <c r="DF115" s="159"/>
      <c r="DG115" s="159"/>
      <c r="DH115" s="159"/>
      <c r="DI115" s="159"/>
      <c r="DJ115" s="159"/>
      <c r="DK115" s="159"/>
      <c r="DL115" s="159"/>
      <c r="DM115" s="159"/>
      <c r="DN115" s="159"/>
      <c r="DO115" s="159"/>
      <c r="DP115" s="159"/>
      <c r="DQ115" s="159"/>
      <c r="DR115" s="159"/>
      <c r="DS115" s="159"/>
      <c r="DT115" s="159"/>
      <c r="DU115" s="159"/>
      <c r="DV115" s="159"/>
      <c r="DW115" s="159"/>
      <c r="DX115" s="159"/>
      <c r="DY115" s="159"/>
      <c r="DZ115" s="159"/>
      <c r="EA115" s="159"/>
      <c r="EB115" s="159"/>
      <c r="EC115" s="159"/>
      <c r="ED115" s="159"/>
      <c r="EE115" s="159"/>
      <c r="EF115" s="159"/>
      <c r="EG115" s="159"/>
      <c r="EH115" s="159"/>
      <c r="EI115" s="159"/>
      <c r="EJ115" s="159"/>
      <c r="EK115" s="159"/>
      <c r="EL115" s="159"/>
      <c r="EM115" s="159"/>
      <c r="EN115" s="159"/>
      <c r="EO115" s="159"/>
      <c r="EP115" s="159"/>
      <c r="EQ115" s="159"/>
      <c r="ER115" s="159"/>
      <c r="ES115" s="159"/>
      <c r="ET115" s="159"/>
      <c r="EU115" s="159"/>
      <c r="EV115" s="159"/>
      <c r="EW115" s="159"/>
      <c r="EX115" s="159"/>
      <c r="EY115" s="159"/>
      <c r="EZ115" s="159"/>
      <c r="FA115" s="159"/>
      <c r="FB115" s="159"/>
      <c r="FC115" s="159"/>
      <c r="FD115" s="159"/>
      <c r="FE115" s="159"/>
      <c r="FF115" s="159"/>
      <c r="FG115" s="159"/>
      <c r="FH115" s="159"/>
      <c r="FI115" s="159"/>
      <c r="FJ115" s="159"/>
      <c r="FK115" s="159"/>
      <c r="FL115" s="159"/>
      <c r="FM115" s="159"/>
      <c r="FN115" s="159"/>
      <c r="FO115" s="159"/>
      <c r="FP115" s="159"/>
      <c r="FQ115" s="159"/>
      <c r="FR115" s="159"/>
      <c r="FS115" s="159"/>
      <c r="FT115" s="159"/>
      <c r="FU115" s="159"/>
      <c r="FV115" s="159"/>
      <c r="FW115" s="159"/>
      <c r="FX115" s="159"/>
      <c r="FY115" s="159"/>
      <c r="FZ115" s="159"/>
      <c r="GA115" s="159"/>
      <c r="GB115" s="159"/>
      <c r="GC115" s="159"/>
      <c r="GD115" s="159"/>
      <c r="GE115" s="159"/>
      <c r="GF115" s="159"/>
      <c r="GG115" s="159"/>
      <c r="GH115" s="159"/>
      <c r="GI115" s="159"/>
      <c r="GJ115" s="159"/>
      <c r="GK115" s="159"/>
      <c r="GL115" s="159"/>
      <c r="GM115" s="159"/>
      <c r="GN115" s="159"/>
      <c r="GO115" s="159"/>
      <c r="GP115" s="159"/>
      <c r="GQ115" s="159"/>
      <c r="GR115" s="159"/>
      <c r="GS115" s="159"/>
      <c r="GT115" s="159"/>
      <c r="GU115" s="159"/>
      <c r="GV115" s="159"/>
      <c r="GW115" s="159"/>
      <c r="GX115" s="159"/>
      <c r="GY115" s="159"/>
      <c r="GZ115" s="159"/>
      <c r="HA115" s="159"/>
      <c r="HB115" s="159"/>
      <c r="HC115" s="159"/>
      <c r="HD115" s="159"/>
      <c r="HE115" s="159"/>
      <c r="HF115" s="159"/>
      <c r="HG115" s="159"/>
      <c r="HH115" s="159"/>
      <c r="HI115" s="159"/>
      <c r="HJ115" s="159"/>
      <c r="HK115" s="159"/>
      <c r="HL115" s="159"/>
      <c r="HM115" s="159"/>
      <c r="HN115" s="159"/>
      <c r="HO115" s="159"/>
      <c r="HP115" s="159"/>
      <c r="HQ115" s="159"/>
      <c r="HR115" s="159"/>
      <c r="HS115" s="159"/>
      <c r="HT115" s="159"/>
      <c r="HU115" s="159"/>
      <c r="HV115" s="159"/>
      <c r="HW115" s="159"/>
      <c r="HX115" s="159"/>
      <c r="HY115" s="159"/>
      <c r="HZ115" s="159"/>
      <c r="IA115" s="159"/>
      <c r="IB115" s="159"/>
      <c r="IC115" s="159"/>
      <c r="ID115" s="159"/>
      <c r="IE115" s="159"/>
      <c r="IF115" s="159"/>
      <c r="IG115" s="159"/>
      <c r="IH115" s="159"/>
      <c r="II115" s="159"/>
      <c r="IJ115" s="159"/>
      <c r="IK115" s="159"/>
      <c r="IL115" s="159"/>
      <c r="IM115" s="159"/>
      <c r="IN115" s="159"/>
      <c r="IO115" s="159"/>
      <c r="IP115" s="159"/>
      <c r="IQ115" s="159"/>
      <c r="IR115" s="159"/>
      <c r="IS115" s="159"/>
      <c r="IT115" s="159"/>
      <c r="IU115" s="159"/>
      <c r="IV115" s="159"/>
      <c r="IW115" s="159"/>
      <c r="IX115" s="159"/>
      <c r="IY115" s="159"/>
      <c r="IZ115" s="159"/>
      <c r="JA115" s="159"/>
      <c r="JB115" s="159"/>
      <c r="JC115" s="159"/>
      <c r="JD115" s="159"/>
      <c r="JE115" s="159"/>
      <c r="JF115" s="159"/>
      <c r="JG115" s="159"/>
      <c r="JH115" s="159"/>
      <c r="JI115" s="159"/>
      <c r="JJ115" s="159"/>
      <c r="JK115" s="159"/>
      <c r="JL115" s="159"/>
      <c r="JM115" s="159"/>
      <c r="JN115" s="159"/>
      <c r="JO115" s="159"/>
      <c r="JP115" s="159"/>
      <c r="JQ115" s="159"/>
      <c r="JR115" s="159"/>
      <c r="JS115" s="159"/>
      <c r="JT115" s="159"/>
      <c r="JU115" s="159"/>
      <c r="JV115" s="159"/>
      <c r="JW115" s="159"/>
      <c r="JX115" s="159"/>
      <c r="JY115" s="159"/>
      <c r="JZ115" s="159"/>
      <c r="KA115" s="159"/>
      <c r="KB115" s="159"/>
      <c r="KC115" s="159"/>
      <c r="KD115" s="159"/>
      <c r="KE115" s="159"/>
      <c r="KF115" s="159"/>
      <c r="KG115" s="159"/>
      <c r="KH115" s="159"/>
      <c r="KI115" s="159"/>
      <c r="KJ115" s="159"/>
      <c r="KK115" s="159"/>
      <c r="KL115" s="159"/>
      <c r="KM115" s="159"/>
      <c r="KN115" s="159"/>
      <c r="KO115" s="159"/>
      <c r="KP115" s="159"/>
      <c r="KQ115" s="159"/>
      <c r="KR115" s="159"/>
      <c r="KS115" s="159"/>
      <c r="KT115" s="159"/>
      <c r="KU115" s="159"/>
      <c r="KV115" s="159"/>
      <c r="KW115" s="159"/>
      <c r="KX115" s="159"/>
      <c r="KY115" s="159"/>
      <c r="KZ115" s="159"/>
      <c r="LA115" s="159"/>
      <c r="LB115" s="159"/>
      <c r="LC115" s="159"/>
      <c r="LD115" s="159"/>
      <c r="LE115" s="159"/>
      <c r="LF115" s="159"/>
      <c r="LG115" s="159"/>
      <c r="LH115" s="159"/>
      <c r="LI115" s="159"/>
      <c r="LJ115" s="159"/>
      <c r="LK115" s="159"/>
      <c r="LL115" s="159"/>
      <c r="LM115" s="159"/>
      <c r="LN115" s="159"/>
      <c r="LO115" s="159"/>
      <c r="LP115" s="159"/>
      <c r="LQ115" s="159"/>
      <c r="LR115" s="159"/>
      <c r="LS115" s="159"/>
      <c r="LT115" s="159"/>
      <c r="LU115" s="159"/>
      <c r="LV115" s="159"/>
      <c r="LW115" s="159"/>
      <c r="LX115" s="159"/>
      <c r="LY115" s="159"/>
      <c r="LZ115" s="159"/>
      <c r="MA115" s="159"/>
      <c r="MB115" s="159"/>
      <c r="MC115" s="159"/>
      <c r="MD115" s="159"/>
      <c r="ME115" s="159"/>
      <c r="MF115" s="159"/>
      <c r="MG115" s="159"/>
      <c r="MH115" s="159"/>
      <c r="MI115" s="159"/>
      <c r="MJ115" s="159"/>
      <c r="MK115" s="159"/>
      <c r="ML115" s="159"/>
      <c r="MM115" s="159"/>
      <c r="MN115" s="159"/>
      <c r="MO115" s="159"/>
      <c r="MP115" s="159"/>
      <c r="MQ115" s="159"/>
      <c r="MR115" s="159"/>
      <c r="MS115" s="159"/>
      <c r="MT115" s="159"/>
      <c r="MU115" s="159"/>
      <c r="MV115" s="159"/>
      <c r="MW115" s="159"/>
      <c r="MX115" s="159"/>
      <c r="MY115" s="159"/>
      <c r="MZ115" s="159"/>
      <c r="NA115" s="159"/>
      <c r="NB115" s="159"/>
      <c r="NC115" s="159"/>
      <c r="ND115" s="159"/>
      <c r="NE115" s="159"/>
      <c r="NF115" s="159"/>
      <c r="NG115" s="159"/>
      <c r="NH115" s="159"/>
      <c r="NI115" s="159"/>
      <c r="NJ115" s="159"/>
      <c r="NK115" s="159"/>
      <c r="NL115" s="159"/>
      <c r="NM115" s="159"/>
      <c r="NN115" s="159"/>
      <c r="NO115" s="159"/>
      <c r="NP115" s="159"/>
      <c r="NQ115" s="159"/>
      <c r="NR115" s="159"/>
      <c r="NS115" s="159"/>
      <c r="NT115" s="159"/>
      <c r="NU115" s="159"/>
      <c r="NV115" s="159"/>
      <c r="NW115" s="159"/>
      <c r="NX115" s="159"/>
      <c r="NY115" s="159"/>
      <c r="NZ115" s="159"/>
      <c r="OA115" s="159"/>
      <c r="OB115" s="159"/>
      <c r="OC115" s="159"/>
      <c r="OD115" s="159"/>
      <c r="OE115" s="159"/>
      <c r="OF115" s="159"/>
      <c r="OG115" s="159"/>
      <c r="OH115" s="159"/>
      <c r="OI115" s="159"/>
      <c r="OJ115" s="159"/>
      <c r="OK115" s="159"/>
      <c r="OL115" s="159"/>
      <c r="OM115" s="159"/>
      <c r="ON115" s="159"/>
      <c r="OO115" s="159"/>
      <c r="OP115" s="159"/>
      <c r="OQ115" s="159"/>
      <c r="OR115" s="159"/>
      <c r="OS115" s="159"/>
      <c r="OT115" s="159"/>
      <c r="OU115" s="159"/>
      <c r="OV115" s="159"/>
      <c r="OW115" s="159"/>
      <c r="OX115" s="159"/>
      <c r="OY115" s="159"/>
      <c r="OZ115" s="159"/>
      <c r="PA115" s="159"/>
      <c r="PB115" s="159"/>
      <c r="PC115" s="159"/>
      <c r="PD115" s="159"/>
      <c r="PE115" s="159"/>
      <c r="PF115" s="159"/>
      <c r="PG115" s="159"/>
      <c r="PH115" s="159"/>
      <c r="PI115" s="159"/>
      <c r="PJ115" s="159"/>
      <c r="PK115" s="159"/>
      <c r="PL115" s="159"/>
      <c r="PM115" s="159"/>
      <c r="PN115" s="159"/>
      <c r="PO115" s="159"/>
      <c r="PP115" s="159"/>
      <c r="PQ115" s="159"/>
      <c r="PR115" s="159"/>
      <c r="PS115" s="159"/>
      <c r="PT115" s="159"/>
      <c r="PU115" s="159"/>
      <c r="PV115" s="159"/>
      <c r="PW115" s="159"/>
      <c r="PX115" s="159"/>
      <c r="PY115" s="159"/>
      <c r="PZ115" s="159"/>
      <c r="QA115" s="159"/>
      <c r="QB115" s="159"/>
      <c r="QC115" s="159"/>
      <c r="QD115" s="159"/>
      <c r="QE115" s="159"/>
      <c r="QF115" s="159"/>
      <c r="QG115" s="159"/>
      <c r="QH115" s="159"/>
      <c r="QI115" s="159"/>
      <c r="QJ115" s="159"/>
      <c r="QK115" s="159"/>
      <c r="QL115" s="159"/>
      <c r="QM115" s="159"/>
      <c r="QN115" s="159"/>
      <c r="QO115" s="159"/>
      <c r="QP115" s="159"/>
      <c r="QQ115" s="159"/>
      <c r="QR115" s="159"/>
      <c r="QS115" s="159"/>
      <c r="QT115" s="159"/>
      <c r="QU115" s="159"/>
      <c r="QV115" s="159"/>
      <c r="QW115" s="159"/>
      <c r="QX115" s="159"/>
      <c r="QY115" s="159"/>
      <c r="QZ115" s="159"/>
      <c r="RA115" s="159"/>
      <c r="RB115" s="159"/>
      <c r="RC115" s="159"/>
      <c r="RD115" s="159"/>
      <c r="RE115" s="159"/>
      <c r="RF115" s="159"/>
      <c r="RG115" s="159"/>
      <c r="RH115" s="159"/>
      <c r="RI115" s="159"/>
      <c r="RJ115" s="159"/>
      <c r="RK115" s="159"/>
      <c r="RL115" s="159"/>
      <c r="RM115" s="159"/>
      <c r="RN115" s="159"/>
      <c r="RO115" s="159"/>
      <c r="RP115" s="159"/>
      <c r="RQ115" s="159"/>
      <c r="RR115" s="159"/>
      <c r="RS115" s="159"/>
      <c r="RT115" s="159"/>
      <c r="RU115" s="159"/>
      <c r="RV115" s="159"/>
      <c r="RW115" s="159"/>
      <c r="RX115" s="159"/>
      <c r="RY115" s="159"/>
      <c r="RZ115" s="159"/>
      <c r="SA115" s="159"/>
      <c r="SB115" s="159"/>
      <c r="SC115" s="159"/>
      <c r="SD115" s="159"/>
      <c r="SE115" s="159"/>
      <c r="SF115" s="159"/>
      <c r="SG115" s="159"/>
      <c r="SH115" s="159"/>
      <c r="SI115" s="159"/>
      <c r="SJ115" s="159"/>
      <c r="SK115" s="159"/>
      <c r="SL115" s="159"/>
      <c r="SM115" s="159"/>
      <c r="SN115" s="159"/>
      <c r="SO115" s="159"/>
      <c r="SP115" s="159"/>
      <c r="SQ115" s="159"/>
      <c r="SR115" s="159"/>
      <c r="SS115" s="159"/>
      <c r="ST115" s="159"/>
      <c r="SU115" s="159"/>
      <c r="SV115" s="159"/>
      <c r="SW115" s="159"/>
      <c r="SX115" s="159"/>
      <c r="SY115" s="159"/>
      <c r="SZ115" s="159"/>
      <c r="TA115" s="159"/>
      <c r="TB115" s="159"/>
      <c r="TC115" s="159"/>
      <c r="TD115" s="159"/>
      <c r="TE115" s="159"/>
      <c r="TF115" s="159"/>
      <c r="TG115" s="159"/>
      <c r="TH115" s="159"/>
      <c r="TI115" s="159"/>
      <c r="TJ115" s="159"/>
      <c r="TK115" s="159"/>
      <c r="TL115" s="159"/>
      <c r="TM115" s="159"/>
      <c r="TN115" s="159"/>
      <c r="TO115" s="159"/>
      <c r="TP115" s="159"/>
      <c r="TQ115" s="159"/>
      <c r="TR115" s="159"/>
      <c r="TS115" s="159"/>
      <c r="TT115" s="159"/>
      <c r="TU115" s="159"/>
      <c r="TV115" s="159"/>
      <c r="TW115" s="159"/>
      <c r="TX115" s="159"/>
      <c r="TY115" s="159"/>
      <c r="TZ115" s="159"/>
      <c r="UA115" s="159"/>
      <c r="UB115" s="159"/>
      <c r="UC115" s="159"/>
      <c r="UD115" s="159"/>
      <c r="UE115" s="159"/>
      <c r="UF115" s="159"/>
      <c r="UG115" s="159"/>
      <c r="UH115" s="159"/>
      <c r="UI115" s="159"/>
      <c r="UJ115" s="159"/>
      <c r="UK115" s="159"/>
      <c r="UL115" s="159"/>
      <c r="UM115" s="159"/>
      <c r="UN115" s="159"/>
      <c r="UO115" s="159"/>
      <c r="UP115" s="159"/>
      <c r="UQ115" s="159"/>
      <c r="UR115" s="159"/>
      <c r="US115" s="159"/>
      <c r="UT115" s="159"/>
      <c r="UU115" s="159"/>
      <c r="UV115" s="159"/>
      <c r="UW115" s="159"/>
      <c r="UX115" s="159"/>
      <c r="UY115" s="159"/>
      <c r="UZ115" s="159"/>
      <c r="VA115" s="159"/>
      <c r="VB115" s="159"/>
      <c r="VC115" s="159"/>
      <c r="VD115" s="159"/>
      <c r="VE115" s="159"/>
      <c r="VF115" s="159"/>
      <c r="VG115" s="159"/>
      <c r="VH115" s="159"/>
      <c r="VI115" s="159"/>
      <c r="VJ115" s="159"/>
      <c r="VK115" s="159"/>
      <c r="VL115" s="159"/>
      <c r="VM115" s="159"/>
      <c r="VN115" s="159"/>
      <c r="VO115" s="159"/>
      <c r="VP115" s="159"/>
      <c r="VQ115" s="159"/>
      <c r="VR115" s="159"/>
      <c r="VS115" s="159"/>
      <c r="VT115" s="159"/>
      <c r="VU115" s="159"/>
      <c r="VV115" s="159"/>
      <c r="VW115" s="159"/>
      <c r="VX115" s="159"/>
      <c r="VY115" s="159"/>
      <c r="VZ115" s="159"/>
      <c r="WA115" s="159"/>
      <c r="WB115" s="159"/>
      <c r="WC115" s="159"/>
      <c r="WD115" s="159"/>
      <c r="WE115" s="159"/>
      <c r="WF115" s="159"/>
      <c r="WG115" s="159"/>
      <c r="WH115" s="159"/>
      <c r="WI115" s="159"/>
      <c r="WJ115" s="159"/>
      <c r="WK115" s="159"/>
      <c r="WL115" s="159"/>
      <c r="WM115" s="159"/>
      <c r="WN115" s="159"/>
      <c r="WO115" s="159"/>
      <c r="WP115" s="159"/>
      <c r="WQ115" s="159"/>
      <c r="WR115" s="159"/>
      <c r="WS115" s="159"/>
      <c r="WT115" s="159"/>
      <c r="WU115" s="159"/>
      <c r="WV115" s="159"/>
      <c r="WW115" s="159"/>
      <c r="WX115" s="159"/>
      <c r="WY115" s="159"/>
      <c r="WZ115" s="159"/>
      <c r="XA115" s="159"/>
      <c r="XB115" s="159"/>
      <c r="XC115" s="159"/>
      <c r="XD115" s="159"/>
      <c r="XE115" s="159"/>
      <c r="XF115" s="159"/>
      <c r="XG115" s="159"/>
      <c r="XH115" s="159"/>
      <c r="XI115" s="159"/>
      <c r="XJ115" s="159"/>
      <c r="XK115" s="159"/>
      <c r="XL115" s="159"/>
      <c r="XM115" s="159"/>
      <c r="XN115" s="159"/>
      <c r="XO115" s="159"/>
      <c r="XP115" s="159"/>
      <c r="XQ115" s="159"/>
      <c r="XR115" s="159"/>
      <c r="XS115" s="159"/>
      <c r="XT115" s="159"/>
      <c r="XU115" s="159"/>
      <c r="XV115" s="159"/>
      <c r="XW115" s="159"/>
      <c r="XX115" s="159"/>
      <c r="XY115" s="159"/>
      <c r="XZ115" s="159"/>
      <c r="YA115" s="159"/>
      <c r="YB115" s="159"/>
      <c r="YC115" s="159"/>
      <c r="YD115" s="159"/>
      <c r="YE115" s="159"/>
      <c r="YF115" s="159"/>
      <c r="YG115" s="159"/>
      <c r="YH115" s="159"/>
      <c r="YI115" s="159"/>
      <c r="YJ115" s="159"/>
      <c r="YK115" s="159"/>
      <c r="YL115" s="159"/>
      <c r="YM115" s="159"/>
      <c r="YN115" s="159"/>
      <c r="YO115" s="159"/>
      <c r="YP115" s="159"/>
      <c r="YQ115" s="159"/>
      <c r="YR115" s="159"/>
      <c r="YS115" s="159"/>
      <c r="YT115" s="159"/>
      <c r="YU115" s="159"/>
      <c r="YV115" s="159"/>
      <c r="YW115" s="159"/>
      <c r="YX115" s="159"/>
      <c r="YY115" s="159"/>
      <c r="YZ115" s="159"/>
      <c r="ZA115" s="159"/>
      <c r="ZB115" s="159"/>
      <c r="ZC115" s="159"/>
      <c r="ZD115" s="159"/>
      <c r="ZE115" s="159"/>
      <c r="ZF115" s="159"/>
      <c r="ZG115" s="159"/>
      <c r="ZH115" s="159"/>
      <c r="ZI115" s="159"/>
      <c r="ZJ115" s="159"/>
      <c r="ZK115" s="159"/>
      <c r="ZL115" s="159"/>
      <c r="ZM115" s="159"/>
      <c r="ZN115" s="159"/>
      <c r="ZO115" s="159"/>
      <c r="ZP115" s="159"/>
      <c r="ZQ115" s="159"/>
      <c r="ZR115" s="159"/>
      <c r="ZS115" s="159"/>
      <c r="ZT115" s="159"/>
      <c r="ZU115" s="159"/>
      <c r="ZV115" s="159"/>
      <c r="ZW115" s="159"/>
      <c r="ZX115" s="159"/>
      <c r="ZY115" s="159"/>
      <c r="ZZ115" s="159"/>
      <c r="AAA115" s="159"/>
      <c r="AAB115" s="159"/>
      <c r="AAC115" s="159"/>
      <c r="AAD115" s="159"/>
      <c r="AAE115" s="159"/>
      <c r="AAF115" s="159"/>
      <c r="AAG115" s="159"/>
      <c r="AAH115" s="159"/>
      <c r="AAI115" s="159"/>
      <c r="AAJ115" s="159"/>
      <c r="AAK115" s="159"/>
      <c r="AAL115" s="159"/>
      <c r="AAM115" s="159"/>
      <c r="AAN115" s="159"/>
      <c r="AAO115" s="159"/>
      <c r="AAP115" s="159"/>
      <c r="AAQ115" s="159"/>
      <c r="AAR115" s="159"/>
      <c r="AAS115" s="159"/>
      <c r="AAT115" s="159"/>
      <c r="AAU115" s="159"/>
      <c r="AAV115" s="159"/>
      <c r="AAW115" s="159"/>
      <c r="AAX115" s="159"/>
      <c r="AAY115" s="159"/>
      <c r="AAZ115" s="159"/>
      <c r="ABA115" s="159"/>
      <c r="ABB115" s="159"/>
      <c r="ABC115" s="159"/>
      <c r="ABD115" s="159"/>
      <c r="ABE115" s="159"/>
      <c r="ABF115" s="159"/>
      <c r="ABG115" s="159"/>
      <c r="ABH115" s="159"/>
      <c r="ABI115" s="159"/>
      <c r="ABJ115" s="159"/>
      <c r="ABK115" s="159"/>
      <c r="ABL115" s="159"/>
      <c r="ABM115" s="159"/>
      <c r="ABN115" s="159"/>
      <c r="ABO115" s="159"/>
      <c r="ABP115" s="159"/>
      <c r="ABQ115" s="159"/>
      <c r="ABR115" s="159"/>
      <c r="ABS115" s="159"/>
      <c r="ABT115" s="159"/>
      <c r="ABU115" s="159"/>
      <c r="ABV115" s="159"/>
      <c r="ABW115" s="159"/>
      <c r="ABX115" s="159"/>
      <c r="ABY115" s="159"/>
      <c r="ABZ115" s="159"/>
      <c r="ACA115" s="159"/>
      <c r="ACB115" s="159"/>
      <c r="ACC115" s="159"/>
      <c r="ACD115" s="159"/>
      <c r="ACE115" s="159"/>
      <c r="ACF115" s="159"/>
      <c r="ACG115" s="159"/>
      <c r="ACH115" s="159"/>
      <c r="ACI115" s="159"/>
      <c r="ACJ115" s="159"/>
      <c r="ACK115" s="159"/>
      <c r="ACL115" s="159"/>
      <c r="ACM115" s="159"/>
      <c r="ACN115" s="159"/>
      <c r="ACO115" s="159"/>
      <c r="ACP115" s="159"/>
      <c r="ACQ115" s="159"/>
      <c r="ACR115" s="159"/>
      <c r="ACS115" s="159"/>
      <c r="ACT115" s="159"/>
      <c r="ACU115" s="159"/>
      <c r="ACV115" s="159"/>
      <c r="ACW115" s="159"/>
      <c r="ACX115" s="159"/>
      <c r="ACY115" s="159"/>
      <c r="ACZ115" s="159"/>
      <c r="ADA115" s="159"/>
      <c r="ADB115" s="159"/>
      <c r="ADC115" s="159"/>
      <c r="ADD115" s="159"/>
      <c r="ADE115" s="159"/>
      <c r="ADF115" s="159"/>
      <c r="ADG115" s="159"/>
      <c r="ADH115" s="159"/>
      <c r="ADI115" s="159"/>
      <c r="ADJ115" s="159"/>
      <c r="ADK115" s="159"/>
      <c r="ADL115" s="159"/>
      <c r="ADM115" s="159"/>
      <c r="ADN115" s="159"/>
      <c r="ADO115" s="159"/>
      <c r="ADP115" s="159"/>
      <c r="ADQ115" s="159"/>
      <c r="ADR115" s="159"/>
      <c r="ADS115" s="159"/>
      <c r="ADT115" s="159"/>
      <c r="ADU115" s="159"/>
      <c r="ADV115" s="159"/>
      <c r="ADW115" s="159"/>
      <c r="ADX115" s="159"/>
      <c r="ADY115" s="159"/>
      <c r="ADZ115" s="159"/>
      <c r="AEA115" s="159"/>
      <c r="AEB115" s="159"/>
      <c r="AEC115" s="159"/>
      <c r="AED115" s="159"/>
      <c r="AEE115" s="159"/>
      <c r="AEF115" s="159"/>
      <c r="AEG115" s="159"/>
      <c r="AEH115" s="159"/>
      <c r="AEI115" s="159"/>
      <c r="AEJ115" s="159"/>
      <c r="AEK115" s="159"/>
      <c r="AEL115" s="159"/>
      <c r="AEM115" s="159"/>
      <c r="AEN115" s="159"/>
      <c r="AEO115" s="159"/>
      <c r="AEP115" s="159"/>
      <c r="AEQ115" s="159"/>
      <c r="AER115" s="159"/>
      <c r="AES115" s="159"/>
      <c r="AET115" s="159"/>
      <c r="AEU115" s="159"/>
      <c r="AEV115" s="159"/>
      <c r="AEW115" s="159"/>
      <c r="AEX115" s="159"/>
      <c r="AEY115" s="159"/>
      <c r="AEZ115" s="159"/>
      <c r="AFA115" s="159"/>
      <c r="AFB115" s="159"/>
      <c r="AFC115" s="159"/>
      <c r="AFD115" s="159"/>
      <c r="AFE115" s="159"/>
      <c r="AFF115" s="159"/>
      <c r="AFG115" s="159"/>
      <c r="AFH115" s="159"/>
      <c r="AFI115" s="159"/>
      <c r="AFJ115" s="159"/>
      <c r="AFK115" s="159"/>
      <c r="AFL115" s="159"/>
      <c r="AFM115" s="159"/>
      <c r="AFN115" s="159"/>
      <c r="AFO115" s="159"/>
      <c r="AFP115" s="159"/>
      <c r="AFQ115" s="159"/>
      <c r="AFR115" s="159"/>
      <c r="AFS115" s="159"/>
      <c r="AFT115" s="159"/>
      <c r="AFU115" s="159"/>
      <c r="AFV115" s="159"/>
      <c r="AFW115" s="159"/>
      <c r="AFX115" s="159"/>
      <c r="AFY115" s="159"/>
      <c r="AFZ115" s="159"/>
      <c r="AGA115" s="159"/>
      <c r="AGB115" s="159"/>
      <c r="AGC115" s="159"/>
      <c r="AGD115" s="159"/>
      <c r="AGE115" s="159"/>
      <c r="AGF115" s="159"/>
      <c r="AGG115" s="159"/>
      <c r="AGH115" s="159"/>
      <c r="AGI115" s="159"/>
      <c r="AGJ115" s="159"/>
      <c r="AGK115" s="159"/>
      <c r="AGL115" s="159"/>
      <c r="AGM115" s="159"/>
      <c r="AGN115" s="159"/>
      <c r="AGO115" s="159"/>
      <c r="AGP115" s="159"/>
      <c r="AGQ115" s="159"/>
      <c r="AGR115" s="159"/>
      <c r="AGS115" s="159"/>
      <c r="AGT115" s="159"/>
      <c r="AGU115" s="159"/>
      <c r="AGV115" s="159"/>
      <c r="AGW115" s="159"/>
      <c r="AGX115" s="159"/>
      <c r="AGY115" s="159"/>
      <c r="AGZ115" s="159"/>
      <c r="AHA115" s="159"/>
      <c r="AHB115" s="159"/>
      <c r="AHC115" s="159"/>
      <c r="AHD115" s="159"/>
      <c r="AHE115" s="159"/>
      <c r="AHF115" s="159"/>
      <c r="AHG115" s="159"/>
      <c r="AHH115" s="159"/>
      <c r="AHI115" s="159"/>
      <c r="AHJ115" s="159"/>
      <c r="AHK115" s="159"/>
      <c r="AHL115" s="159"/>
      <c r="AHM115" s="159"/>
      <c r="AHN115" s="159"/>
      <c r="AHO115" s="159"/>
      <c r="AHP115" s="159"/>
      <c r="AHQ115" s="159"/>
      <c r="AHR115" s="159"/>
      <c r="AHS115" s="159"/>
      <c r="AHT115" s="159"/>
      <c r="AHU115" s="159"/>
      <c r="AHV115" s="159"/>
      <c r="AHW115" s="159"/>
      <c r="AHX115" s="159"/>
      <c r="AHY115" s="159"/>
      <c r="AHZ115" s="159"/>
      <c r="AIA115" s="159"/>
      <c r="AIB115" s="159"/>
      <c r="AIC115" s="159"/>
      <c r="AID115" s="159"/>
      <c r="AIE115" s="159"/>
      <c r="AIF115" s="159"/>
      <c r="AIG115" s="159"/>
      <c r="AIH115" s="159"/>
      <c r="AII115" s="159"/>
      <c r="AIJ115" s="159"/>
      <c r="AIK115" s="159"/>
      <c r="AIL115" s="159"/>
      <c r="AIM115" s="159"/>
      <c r="AIN115" s="159"/>
      <c r="AIO115" s="159"/>
      <c r="AIP115" s="159"/>
      <c r="AIQ115" s="159"/>
      <c r="AIR115" s="159"/>
      <c r="AIS115" s="159"/>
      <c r="AIT115" s="159"/>
      <c r="AIU115" s="159"/>
      <c r="AIV115" s="159"/>
      <c r="AIW115" s="159"/>
      <c r="AIX115" s="159"/>
      <c r="AIY115" s="159"/>
      <c r="AIZ115" s="159"/>
      <c r="AJA115" s="159"/>
      <c r="AJB115" s="159"/>
      <c r="AJC115" s="159"/>
      <c r="AJD115" s="159"/>
      <c r="AJE115" s="159"/>
      <c r="AJF115" s="159"/>
      <c r="AJG115" s="159"/>
      <c r="AJH115" s="159"/>
      <c r="AJI115" s="159"/>
      <c r="AJJ115" s="159"/>
      <c r="AJK115" s="159"/>
      <c r="AJL115" s="159"/>
      <c r="AJM115" s="159"/>
      <c r="AJN115" s="159"/>
      <c r="AJO115" s="159"/>
      <c r="AJP115" s="159"/>
      <c r="AJQ115" s="159"/>
      <c r="AJR115" s="159"/>
      <c r="AJS115" s="159"/>
      <c r="AJT115" s="159"/>
      <c r="AJU115" s="159"/>
      <c r="AJV115" s="159"/>
      <c r="AJW115" s="159"/>
      <c r="AJX115" s="159"/>
      <c r="AJY115" s="159"/>
      <c r="AJZ115" s="159"/>
      <c r="AKA115" s="159"/>
      <c r="AKB115" s="159"/>
      <c r="AKC115" s="159"/>
      <c r="AKD115" s="159"/>
      <c r="AKE115" s="159"/>
      <c r="AKF115" s="159"/>
      <c r="AKG115" s="159"/>
      <c r="AKH115" s="159"/>
      <c r="AKI115" s="159"/>
      <c r="AKJ115" s="159"/>
      <c r="AKK115" s="159"/>
      <c r="AKL115" s="159"/>
      <c r="AKM115" s="159"/>
      <c r="AKN115" s="159"/>
      <c r="AKO115" s="159"/>
      <c r="AKP115" s="159"/>
      <c r="AKQ115" s="159"/>
      <c r="AKR115" s="159"/>
      <c r="AKS115" s="159"/>
      <c r="AKT115" s="159"/>
      <c r="AKU115" s="159"/>
      <c r="AKV115" s="159"/>
      <c r="AKW115" s="159"/>
      <c r="AKX115" s="159"/>
      <c r="AKY115" s="159"/>
      <c r="AKZ115" s="159"/>
      <c r="ALA115" s="159"/>
      <c r="ALB115" s="159"/>
      <c r="ALC115" s="159"/>
      <c r="ALD115" s="159"/>
      <c r="ALE115" s="159"/>
      <c r="ALF115" s="159"/>
      <c r="ALG115" s="159"/>
      <c r="ALH115" s="159"/>
      <c r="ALI115" s="159"/>
      <c r="ALJ115" s="159"/>
      <c r="ALK115" s="159"/>
      <c r="ALL115" s="159"/>
      <c r="ALM115" s="159"/>
      <c r="ALN115" s="159"/>
      <c r="ALO115" s="159"/>
      <c r="ALP115" s="159"/>
      <c r="ALQ115" s="159"/>
      <c r="ALR115" s="159"/>
      <c r="ALS115" s="159"/>
      <c r="ALT115" s="159"/>
      <c r="ALU115" s="159"/>
      <c r="ALV115" s="159"/>
      <c r="ALW115" s="159"/>
      <c r="ALX115" s="159"/>
      <c r="ALY115" s="159"/>
      <c r="ALZ115" s="159"/>
      <c r="AMA115" s="159"/>
      <c r="AMB115" s="159"/>
      <c r="AMC115" s="159"/>
      <c r="AMD115" s="159"/>
      <c r="AME115" s="159"/>
      <c r="AMF115" s="159"/>
      <c r="AMG115" s="159"/>
      <c r="AMH115" s="159"/>
      <c r="AMI115" s="159"/>
      <c r="AMJ115" s="159"/>
      <c r="AMK115" s="159"/>
      <c r="AML115" s="159"/>
      <c r="AMM115" s="159"/>
      <c r="AMN115" s="159"/>
      <c r="AMO115" s="159"/>
    </row>
    <row r="116" spans="1:1029" s="161" customFormat="1" ht="25.5" x14ac:dyDescent="0.25">
      <c r="A116" s="138">
        <v>46183</v>
      </c>
      <c r="B116" s="99" t="s">
        <v>193</v>
      </c>
      <c r="C116" s="99" t="s">
        <v>45</v>
      </c>
      <c r="D116" s="160" t="s">
        <v>90</v>
      </c>
      <c r="E116" s="118" t="s">
        <v>138</v>
      </c>
      <c r="F116" s="99" t="s">
        <v>38</v>
      </c>
      <c r="G116" s="99" t="s">
        <v>16</v>
      </c>
      <c r="H116" s="141" t="b">
        <f t="shared" si="8"/>
        <v>0</v>
      </c>
      <c r="I116" s="120" t="s">
        <v>42</v>
      </c>
      <c r="J116" s="121" t="s">
        <v>82</v>
      </c>
      <c r="K116" s="121" t="s">
        <v>168</v>
      </c>
      <c r="L116" s="141" t="b">
        <f t="shared" si="9"/>
        <v>0</v>
      </c>
      <c r="M116" s="121" t="s">
        <v>35</v>
      </c>
      <c r="N116" s="121" t="s">
        <v>51</v>
      </c>
      <c r="O116" s="121" t="s">
        <v>273</v>
      </c>
      <c r="P116" s="141" t="b">
        <f t="shared" si="10"/>
        <v>0</v>
      </c>
      <c r="Q116" s="149" t="s">
        <v>66</v>
      </c>
      <c r="R116" s="99" t="s">
        <v>57</v>
      </c>
      <c r="S116" s="99" t="s">
        <v>274</v>
      </c>
      <c r="T116" s="141" t="b">
        <f t="shared" si="11"/>
        <v>0</v>
      </c>
      <c r="U116" s="159"/>
      <c r="V116" s="159"/>
      <c r="W116" s="159"/>
      <c r="X116" s="159"/>
      <c r="Y116" s="159"/>
      <c r="Z116" s="159"/>
      <c r="AA116" s="159"/>
      <c r="AB116" s="159"/>
      <c r="AC116" s="159"/>
      <c r="AD116" s="159"/>
      <c r="AE116" s="159"/>
      <c r="AF116" s="159"/>
      <c r="AG116" s="159"/>
      <c r="AH116" s="159"/>
      <c r="AI116" s="159"/>
      <c r="AJ116" s="159"/>
      <c r="AK116" s="159"/>
      <c r="AL116" s="159"/>
      <c r="AM116" s="159"/>
      <c r="AN116" s="159"/>
      <c r="AO116" s="159"/>
      <c r="AP116" s="159"/>
      <c r="AQ116" s="159"/>
      <c r="AR116" s="159"/>
      <c r="AS116" s="159"/>
      <c r="AT116" s="159"/>
      <c r="AU116" s="159"/>
      <c r="AV116" s="159"/>
      <c r="AW116" s="159"/>
      <c r="AX116" s="159"/>
      <c r="AY116" s="159"/>
      <c r="AZ116" s="159"/>
      <c r="BA116" s="159"/>
      <c r="BB116" s="159"/>
      <c r="BC116" s="159"/>
      <c r="BD116" s="159"/>
      <c r="BE116" s="159"/>
      <c r="BF116" s="159"/>
      <c r="BG116" s="159"/>
      <c r="BH116" s="159"/>
      <c r="BI116" s="159"/>
      <c r="BJ116" s="159"/>
      <c r="BK116" s="159"/>
      <c r="BL116" s="159"/>
      <c r="BM116" s="159"/>
      <c r="BN116" s="159"/>
      <c r="BO116" s="159"/>
      <c r="BP116" s="159"/>
      <c r="BQ116" s="159"/>
      <c r="BR116" s="159"/>
      <c r="BS116" s="159"/>
      <c r="BT116" s="159"/>
      <c r="BU116" s="159"/>
      <c r="BV116" s="159"/>
      <c r="BW116" s="159"/>
      <c r="BX116" s="159"/>
      <c r="BY116" s="159"/>
      <c r="BZ116" s="159"/>
      <c r="CA116" s="159"/>
      <c r="CB116" s="159"/>
      <c r="CC116" s="159"/>
      <c r="CD116" s="159"/>
      <c r="CE116" s="159"/>
      <c r="CF116" s="159"/>
      <c r="CG116" s="159"/>
      <c r="CH116" s="159"/>
      <c r="CI116" s="159"/>
      <c r="CJ116" s="159"/>
      <c r="CK116" s="159"/>
      <c r="CL116" s="159"/>
      <c r="CM116" s="159"/>
      <c r="CN116" s="159"/>
      <c r="CO116" s="159"/>
      <c r="CP116" s="159"/>
      <c r="CQ116" s="159"/>
      <c r="CR116" s="159"/>
      <c r="CS116" s="159"/>
      <c r="CT116" s="159"/>
      <c r="CU116" s="159"/>
      <c r="CV116" s="159"/>
      <c r="CW116" s="159"/>
      <c r="CX116" s="159"/>
      <c r="CY116" s="159"/>
      <c r="CZ116" s="159"/>
      <c r="DA116" s="159"/>
      <c r="DB116" s="159"/>
      <c r="DC116" s="159"/>
      <c r="DD116" s="159"/>
      <c r="DE116" s="159"/>
      <c r="DF116" s="159"/>
      <c r="DG116" s="159"/>
      <c r="DH116" s="159"/>
      <c r="DI116" s="159"/>
      <c r="DJ116" s="159"/>
      <c r="DK116" s="159"/>
      <c r="DL116" s="159"/>
      <c r="DM116" s="159"/>
      <c r="DN116" s="159"/>
      <c r="DO116" s="159"/>
      <c r="DP116" s="159"/>
      <c r="DQ116" s="159"/>
      <c r="DR116" s="159"/>
      <c r="DS116" s="159"/>
      <c r="DT116" s="159"/>
      <c r="DU116" s="159"/>
      <c r="DV116" s="159"/>
      <c r="DW116" s="159"/>
      <c r="DX116" s="159"/>
      <c r="DY116" s="159"/>
      <c r="DZ116" s="159"/>
      <c r="EA116" s="159"/>
      <c r="EB116" s="159"/>
      <c r="EC116" s="159"/>
      <c r="ED116" s="159"/>
      <c r="EE116" s="159"/>
      <c r="EF116" s="159"/>
      <c r="EG116" s="159"/>
      <c r="EH116" s="159"/>
      <c r="EI116" s="159"/>
      <c r="EJ116" s="159"/>
      <c r="EK116" s="159"/>
      <c r="EL116" s="159"/>
      <c r="EM116" s="159"/>
      <c r="EN116" s="159"/>
      <c r="EO116" s="159"/>
      <c r="EP116" s="159"/>
      <c r="EQ116" s="159"/>
      <c r="ER116" s="159"/>
      <c r="ES116" s="159"/>
      <c r="ET116" s="159"/>
      <c r="EU116" s="159"/>
      <c r="EV116" s="159"/>
      <c r="EW116" s="159"/>
      <c r="EX116" s="159"/>
      <c r="EY116" s="159"/>
      <c r="EZ116" s="159"/>
      <c r="FA116" s="159"/>
      <c r="FB116" s="159"/>
      <c r="FC116" s="159"/>
      <c r="FD116" s="159"/>
      <c r="FE116" s="159"/>
      <c r="FF116" s="159"/>
      <c r="FG116" s="159"/>
      <c r="FH116" s="159"/>
      <c r="FI116" s="159"/>
      <c r="FJ116" s="159"/>
      <c r="FK116" s="159"/>
      <c r="FL116" s="159"/>
      <c r="FM116" s="159"/>
      <c r="FN116" s="159"/>
      <c r="FO116" s="159"/>
      <c r="FP116" s="159"/>
      <c r="FQ116" s="159"/>
      <c r="FR116" s="159"/>
      <c r="FS116" s="159"/>
      <c r="FT116" s="159"/>
      <c r="FU116" s="159"/>
      <c r="FV116" s="159"/>
      <c r="FW116" s="159"/>
      <c r="FX116" s="159"/>
      <c r="FY116" s="159"/>
      <c r="FZ116" s="159"/>
      <c r="GA116" s="159"/>
      <c r="GB116" s="159"/>
      <c r="GC116" s="159"/>
      <c r="GD116" s="159"/>
      <c r="GE116" s="159"/>
      <c r="GF116" s="159"/>
      <c r="GG116" s="159"/>
      <c r="GH116" s="159"/>
      <c r="GI116" s="159"/>
      <c r="GJ116" s="159"/>
      <c r="GK116" s="159"/>
      <c r="GL116" s="159"/>
      <c r="GM116" s="159"/>
      <c r="GN116" s="159"/>
      <c r="GO116" s="159"/>
      <c r="GP116" s="159"/>
      <c r="GQ116" s="159"/>
      <c r="GR116" s="159"/>
      <c r="GS116" s="159"/>
      <c r="GT116" s="159"/>
      <c r="GU116" s="159"/>
      <c r="GV116" s="159"/>
      <c r="GW116" s="159"/>
      <c r="GX116" s="159"/>
      <c r="GY116" s="159"/>
      <c r="GZ116" s="159"/>
      <c r="HA116" s="159"/>
      <c r="HB116" s="159"/>
      <c r="HC116" s="159"/>
      <c r="HD116" s="159"/>
      <c r="HE116" s="159"/>
      <c r="HF116" s="159"/>
      <c r="HG116" s="159"/>
      <c r="HH116" s="159"/>
      <c r="HI116" s="159"/>
      <c r="HJ116" s="159"/>
      <c r="HK116" s="159"/>
      <c r="HL116" s="159"/>
      <c r="HM116" s="159"/>
      <c r="HN116" s="159"/>
      <c r="HO116" s="159"/>
      <c r="HP116" s="159"/>
      <c r="HQ116" s="159"/>
      <c r="HR116" s="159"/>
      <c r="HS116" s="159"/>
      <c r="HT116" s="159"/>
      <c r="HU116" s="159"/>
      <c r="HV116" s="159"/>
      <c r="HW116" s="159"/>
      <c r="HX116" s="159"/>
      <c r="HY116" s="159"/>
      <c r="HZ116" s="159"/>
      <c r="IA116" s="159"/>
      <c r="IB116" s="159"/>
      <c r="IC116" s="159"/>
      <c r="ID116" s="159"/>
      <c r="IE116" s="159"/>
      <c r="IF116" s="159"/>
      <c r="IG116" s="159"/>
      <c r="IH116" s="159"/>
      <c r="II116" s="159"/>
      <c r="IJ116" s="159"/>
      <c r="IK116" s="159"/>
      <c r="IL116" s="159"/>
      <c r="IM116" s="159"/>
      <c r="IN116" s="159"/>
      <c r="IO116" s="159"/>
      <c r="IP116" s="159"/>
      <c r="IQ116" s="159"/>
      <c r="IR116" s="159"/>
      <c r="IS116" s="159"/>
      <c r="IT116" s="159"/>
      <c r="IU116" s="159"/>
      <c r="IV116" s="159"/>
      <c r="IW116" s="159"/>
      <c r="IX116" s="159"/>
      <c r="IY116" s="159"/>
      <c r="IZ116" s="159"/>
      <c r="JA116" s="159"/>
      <c r="JB116" s="159"/>
      <c r="JC116" s="159"/>
      <c r="JD116" s="159"/>
      <c r="JE116" s="159"/>
      <c r="JF116" s="159"/>
      <c r="JG116" s="159"/>
      <c r="JH116" s="159"/>
      <c r="JI116" s="159"/>
      <c r="JJ116" s="159"/>
      <c r="JK116" s="159"/>
      <c r="JL116" s="159"/>
      <c r="JM116" s="159"/>
      <c r="JN116" s="159"/>
      <c r="JO116" s="159"/>
      <c r="JP116" s="159"/>
      <c r="JQ116" s="159"/>
      <c r="JR116" s="159"/>
      <c r="JS116" s="159"/>
      <c r="JT116" s="159"/>
      <c r="JU116" s="159"/>
      <c r="JV116" s="159"/>
      <c r="JW116" s="159"/>
      <c r="JX116" s="159"/>
      <c r="JY116" s="159"/>
      <c r="JZ116" s="159"/>
      <c r="KA116" s="159"/>
      <c r="KB116" s="159"/>
      <c r="KC116" s="159"/>
      <c r="KD116" s="159"/>
      <c r="KE116" s="159"/>
      <c r="KF116" s="159"/>
      <c r="KG116" s="159"/>
      <c r="KH116" s="159"/>
      <c r="KI116" s="159"/>
      <c r="KJ116" s="159"/>
      <c r="KK116" s="159"/>
      <c r="KL116" s="159"/>
      <c r="KM116" s="159"/>
      <c r="KN116" s="159"/>
      <c r="KO116" s="159"/>
      <c r="KP116" s="159"/>
      <c r="KQ116" s="159"/>
      <c r="KR116" s="159"/>
      <c r="KS116" s="159"/>
      <c r="KT116" s="159"/>
      <c r="KU116" s="159"/>
      <c r="KV116" s="159"/>
      <c r="KW116" s="159"/>
      <c r="KX116" s="159"/>
      <c r="KY116" s="159"/>
      <c r="KZ116" s="159"/>
      <c r="LA116" s="159"/>
      <c r="LB116" s="159"/>
      <c r="LC116" s="159"/>
      <c r="LD116" s="159"/>
      <c r="LE116" s="159"/>
      <c r="LF116" s="159"/>
      <c r="LG116" s="159"/>
      <c r="LH116" s="159"/>
      <c r="LI116" s="159"/>
      <c r="LJ116" s="159"/>
      <c r="LK116" s="159"/>
      <c r="LL116" s="159"/>
      <c r="LM116" s="159"/>
      <c r="LN116" s="159"/>
      <c r="LO116" s="159"/>
      <c r="LP116" s="159"/>
      <c r="LQ116" s="159"/>
      <c r="LR116" s="159"/>
      <c r="LS116" s="159"/>
      <c r="LT116" s="159"/>
      <c r="LU116" s="159"/>
      <c r="LV116" s="159"/>
      <c r="LW116" s="159"/>
      <c r="LX116" s="159"/>
      <c r="LY116" s="159"/>
      <c r="LZ116" s="159"/>
      <c r="MA116" s="159"/>
      <c r="MB116" s="159"/>
      <c r="MC116" s="159"/>
      <c r="MD116" s="159"/>
      <c r="ME116" s="159"/>
      <c r="MF116" s="159"/>
      <c r="MG116" s="159"/>
      <c r="MH116" s="159"/>
      <c r="MI116" s="159"/>
      <c r="MJ116" s="159"/>
      <c r="MK116" s="159"/>
      <c r="ML116" s="159"/>
      <c r="MM116" s="159"/>
      <c r="MN116" s="159"/>
      <c r="MO116" s="159"/>
      <c r="MP116" s="159"/>
      <c r="MQ116" s="159"/>
      <c r="MR116" s="159"/>
      <c r="MS116" s="159"/>
      <c r="MT116" s="159"/>
      <c r="MU116" s="159"/>
      <c r="MV116" s="159"/>
      <c r="MW116" s="159"/>
      <c r="MX116" s="159"/>
      <c r="MY116" s="159"/>
      <c r="MZ116" s="159"/>
      <c r="NA116" s="159"/>
      <c r="NB116" s="159"/>
      <c r="NC116" s="159"/>
      <c r="ND116" s="159"/>
      <c r="NE116" s="159"/>
      <c r="NF116" s="159"/>
      <c r="NG116" s="159"/>
      <c r="NH116" s="159"/>
      <c r="NI116" s="159"/>
      <c r="NJ116" s="159"/>
      <c r="NK116" s="159"/>
      <c r="NL116" s="159"/>
      <c r="NM116" s="159"/>
      <c r="NN116" s="159"/>
      <c r="NO116" s="159"/>
      <c r="NP116" s="159"/>
      <c r="NQ116" s="159"/>
      <c r="NR116" s="159"/>
      <c r="NS116" s="159"/>
      <c r="NT116" s="159"/>
      <c r="NU116" s="159"/>
      <c r="NV116" s="159"/>
      <c r="NW116" s="159"/>
      <c r="NX116" s="159"/>
      <c r="NY116" s="159"/>
      <c r="NZ116" s="159"/>
      <c r="OA116" s="159"/>
      <c r="OB116" s="159"/>
      <c r="OC116" s="159"/>
      <c r="OD116" s="159"/>
      <c r="OE116" s="159"/>
      <c r="OF116" s="159"/>
      <c r="OG116" s="159"/>
      <c r="OH116" s="159"/>
      <c r="OI116" s="159"/>
      <c r="OJ116" s="159"/>
      <c r="OK116" s="159"/>
      <c r="OL116" s="159"/>
      <c r="OM116" s="159"/>
      <c r="ON116" s="159"/>
      <c r="OO116" s="159"/>
      <c r="OP116" s="159"/>
      <c r="OQ116" s="159"/>
      <c r="OR116" s="159"/>
      <c r="OS116" s="159"/>
      <c r="OT116" s="159"/>
      <c r="OU116" s="159"/>
      <c r="OV116" s="159"/>
      <c r="OW116" s="159"/>
      <c r="OX116" s="159"/>
      <c r="OY116" s="159"/>
      <c r="OZ116" s="159"/>
      <c r="PA116" s="159"/>
      <c r="PB116" s="159"/>
      <c r="PC116" s="159"/>
      <c r="PD116" s="159"/>
      <c r="PE116" s="159"/>
      <c r="PF116" s="159"/>
      <c r="PG116" s="159"/>
      <c r="PH116" s="159"/>
      <c r="PI116" s="159"/>
      <c r="PJ116" s="159"/>
      <c r="PK116" s="159"/>
      <c r="PL116" s="159"/>
      <c r="PM116" s="159"/>
      <c r="PN116" s="159"/>
      <c r="PO116" s="159"/>
      <c r="PP116" s="159"/>
      <c r="PQ116" s="159"/>
      <c r="PR116" s="159"/>
      <c r="PS116" s="159"/>
      <c r="PT116" s="159"/>
      <c r="PU116" s="159"/>
      <c r="PV116" s="159"/>
      <c r="PW116" s="159"/>
      <c r="PX116" s="159"/>
      <c r="PY116" s="159"/>
      <c r="PZ116" s="159"/>
      <c r="QA116" s="159"/>
      <c r="QB116" s="159"/>
      <c r="QC116" s="159"/>
      <c r="QD116" s="159"/>
      <c r="QE116" s="159"/>
      <c r="QF116" s="159"/>
      <c r="QG116" s="159"/>
      <c r="QH116" s="159"/>
      <c r="QI116" s="159"/>
      <c r="QJ116" s="159"/>
      <c r="QK116" s="159"/>
      <c r="QL116" s="159"/>
      <c r="QM116" s="159"/>
      <c r="QN116" s="159"/>
      <c r="QO116" s="159"/>
      <c r="QP116" s="159"/>
      <c r="QQ116" s="159"/>
      <c r="QR116" s="159"/>
      <c r="QS116" s="159"/>
      <c r="QT116" s="159"/>
      <c r="QU116" s="159"/>
      <c r="QV116" s="159"/>
      <c r="QW116" s="159"/>
      <c r="QX116" s="159"/>
      <c r="QY116" s="159"/>
      <c r="QZ116" s="159"/>
      <c r="RA116" s="159"/>
      <c r="RB116" s="159"/>
      <c r="RC116" s="159"/>
      <c r="RD116" s="159"/>
      <c r="RE116" s="159"/>
      <c r="RF116" s="159"/>
      <c r="RG116" s="159"/>
      <c r="RH116" s="159"/>
      <c r="RI116" s="159"/>
      <c r="RJ116" s="159"/>
      <c r="RK116" s="159"/>
      <c r="RL116" s="159"/>
      <c r="RM116" s="159"/>
      <c r="RN116" s="159"/>
      <c r="RO116" s="159"/>
      <c r="RP116" s="159"/>
      <c r="RQ116" s="159"/>
      <c r="RR116" s="159"/>
      <c r="RS116" s="159"/>
      <c r="RT116" s="159"/>
      <c r="RU116" s="159"/>
      <c r="RV116" s="159"/>
      <c r="RW116" s="159"/>
      <c r="RX116" s="159"/>
      <c r="RY116" s="159"/>
      <c r="RZ116" s="159"/>
      <c r="SA116" s="159"/>
      <c r="SB116" s="159"/>
      <c r="SC116" s="159"/>
      <c r="SD116" s="159"/>
      <c r="SE116" s="159"/>
      <c r="SF116" s="159"/>
      <c r="SG116" s="159"/>
      <c r="SH116" s="159"/>
      <c r="SI116" s="159"/>
      <c r="SJ116" s="159"/>
      <c r="SK116" s="159"/>
      <c r="SL116" s="159"/>
      <c r="SM116" s="159"/>
      <c r="SN116" s="159"/>
      <c r="SO116" s="159"/>
      <c r="SP116" s="159"/>
      <c r="SQ116" s="159"/>
      <c r="SR116" s="159"/>
      <c r="SS116" s="159"/>
      <c r="ST116" s="159"/>
      <c r="SU116" s="159"/>
      <c r="SV116" s="159"/>
      <c r="SW116" s="159"/>
      <c r="SX116" s="159"/>
      <c r="SY116" s="159"/>
      <c r="SZ116" s="159"/>
      <c r="TA116" s="159"/>
      <c r="TB116" s="159"/>
      <c r="TC116" s="159"/>
      <c r="TD116" s="159"/>
      <c r="TE116" s="159"/>
      <c r="TF116" s="159"/>
      <c r="TG116" s="159"/>
      <c r="TH116" s="159"/>
      <c r="TI116" s="159"/>
      <c r="TJ116" s="159"/>
      <c r="TK116" s="159"/>
      <c r="TL116" s="159"/>
      <c r="TM116" s="159"/>
      <c r="TN116" s="159"/>
      <c r="TO116" s="159"/>
      <c r="TP116" s="159"/>
      <c r="TQ116" s="159"/>
      <c r="TR116" s="159"/>
      <c r="TS116" s="159"/>
      <c r="TT116" s="159"/>
      <c r="TU116" s="159"/>
      <c r="TV116" s="159"/>
      <c r="TW116" s="159"/>
      <c r="TX116" s="159"/>
      <c r="TY116" s="159"/>
      <c r="TZ116" s="159"/>
      <c r="UA116" s="159"/>
      <c r="UB116" s="159"/>
      <c r="UC116" s="159"/>
      <c r="UD116" s="159"/>
      <c r="UE116" s="159"/>
      <c r="UF116" s="159"/>
      <c r="UG116" s="159"/>
      <c r="UH116" s="159"/>
      <c r="UI116" s="159"/>
      <c r="UJ116" s="159"/>
      <c r="UK116" s="159"/>
      <c r="UL116" s="159"/>
      <c r="UM116" s="159"/>
      <c r="UN116" s="159"/>
      <c r="UO116" s="159"/>
      <c r="UP116" s="159"/>
      <c r="UQ116" s="159"/>
      <c r="UR116" s="159"/>
      <c r="US116" s="159"/>
      <c r="UT116" s="159"/>
      <c r="UU116" s="159"/>
      <c r="UV116" s="159"/>
      <c r="UW116" s="159"/>
      <c r="UX116" s="159"/>
      <c r="UY116" s="159"/>
      <c r="UZ116" s="159"/>
      <c r="VA116" s="159"/>
      <c r="VB116" s="159"/>
      <c r="VC116" s="159"/>
      <c r="VD116" s="159"/>
      <c r="VE116" s="159"/>
      <c r="VF116" s="159"/>
      <c r="VG116" s="159"/>
      <c r="VH116" s="159"/>
      <c r="VI116" s="159"/>
      <c r="VJ116" s="159"/>
      <c r="VK116" s="159"/>
      <c r="VL116" s="159"/>
      <c r="VM116" s="159"/>
      <c r="VN116" s="159"/>
      <c r="VO116" s="159"/>
      <c r="VP116" s="159"/>
      <c r="VQ116" s="159"/>
      <c r="VR116" s="159"/>
      <c r="VS116" s="159"/>
      <c r="VT116" s="159"/>
      <c r="VU116" s="159"/>
      <c r="VV116" s="159"/>
      <c r="VW116" s="159"/>
      <c r="VX116" s="159"/>
      <c r="VY116" s="159"/>
      <c r="VZ116" s="159"/>
      <c r="WA116" s="159"/>
      <c r="WB116" s="159"/>
      <c r="WC116" s="159"/>
      <c r="WD116" s="159"/>
      <c r="WE116" s="159"/>
      <c r="WF116" s="159"/>
      <c r="WG116" s="159"/>
      <c r="WH116" s="159"/>
      <c r="WI116" s="159"/>
      <c r="WJ116" s="159"/>
      <c r="WK116" s="159"/>
      <c r="WL116" s="159"/>
      <c r="WM116" s="159"/>
      <c r="WN116" s="159"/>
      <c r="WO116" s="159"/>
      <c r="WP116" s="159"/>
      <c r="WQ116" s="159"/>
      <c r="WR116" s="159"/>
      <c r="WS116" s="159"/>
      <c r="WT116" s="159"/>
      <c r="WU116" s="159"/>
      <c r="WV116" s="159"/>
      <c r="WW116" s="159"/>
      <c r="WX116" s="159"/>
      <c r="WY116" s="159"/>
      <c r="WZ116" s="159"/>
      <c r="XA116" s="159"/>
      <c r="XB116" s="159"/>
      <c r="XC116" s="159"/>
      <c r="XD116" s="159"/>
      <c r="XE116" s="159"/>
      <c r="XF116" s="159"/>
      <c r="XG116" s="159"/>
      <c r="XH116" s="159"/>
      <c r="XI116" s="159"/>
      <c r="XJ116" s="159"/>
      <c r="XK116" s="159"/>
      <c r="XL116" s="159"/>
      <c r="XM116" s="159"/>
      <c r="XN116" s="159"/>
      <c r="XO116" s="159"/>
      <c r="XP116" s="159"/>
      <c r="XQ116" s="159"/>
      <c r="XR116" s="159"/>
      <c r="XS116" s="159"/>
      <c r="XT116" s="159"/>
      <c r="XU116" s="159"/>
      <c r="XV116" s="159"/>
      <c r="XW116" s="159"/>
      <c r="XX116" s="159"/>
      <c r="XY116" s="159"/>
      <c r="XZ116" s="159"/>
      <c r="YA116" s="159"/>
      <c r="YB116" s="159"/>
      <c r="YC116" s="159"/>
      <c r="YD116" s="159"/>
      <c r="YE116" s="159"/>
      <c r="YF116" s="159"/>
      <c r="YG116" s="159"/>
      <c r="YH116" s="159"/>
      <c r="YI116" s="159"/>
      <c r="YJ116" s="159"/>
      <c r="YK116" s="159"/>
      <c r="YL116" s="159"/>
      <c r="YM116" s="159"/>
      <c r="YN116" s="159"/>
      <c r="YO116" s="159"/>
      <c r="YP116" s="159"/>
      <c r="YQ116" s="159"/>
      <c r="YR116" s="159"/>
      <c r="YS116" s="159"/>
      <c r="YT116" s="159"/>
      <c r="YU116" s="159"/>
      <c r="YV116" s="159"/>
      <c r="YW116" s="159"/>
      <c r="YX116" s="159"/>
      <c r="YY116" s="159"/>
      <c r="YZ116" s="159"/>
      <c r="ZA116" s="159"/>
      <c r="ZB116" s="159"/>
      <c r="ZC116" s="159"/>
      <c r="ZD116" s="159"/>
      <c r="ZE116" s="159"/>
      <c r="ZF116" s="159"/>
      <c r="ZG116" s="159"/>
      <c r="ZH116" s="159"/>
      <c r="ZI116" s="159"/>
      <c r="ZJ116" s="159"/>
      <c r="ZK116" s="159"/>
      <c r="ZL116" s="159"/>
      <c r="ZM116" s="159"/>
      <c r="ZN116" s="159"/>
      <c r="ZO116" s="159"/>
      <c r="ZP116" s="159"/>
      <c r="ZQ116" s="159"/>
      <c r="ZR116" s="159"/>
      <c r="ZS116" s="159"/>
      <c r="ZT116" s="159"/>
      <c r="ZU116" s="159"/>
      <c r="ZV116" s="159"/>
      <c r="ZW116" s="159"/>
      <c r="ZX116" s="159"/>
      <c r="ZY116" s="159"/>
      <c r="ZZ116" s="159"/>
      <c r="AAA116" s="159"/>
      <c r="AAB116" s="159"/>
      <c r="AAC116" s="159"/>
      <c r="AAD116" s="159"/>
      <c r="AAE116" s="159"/>
      <c r="AAF116" s="159"/>
      <c r="AAG116" s="159"/>
      <c r="AAH116" s="159"/>
      <c r="AAI116" s="159"/>
      <c r="AAJ116" s="159"/>
      <c r="AAK116" s="159"/>
      <c r="AAL116" s="159"/>
      <c r="AAM116" s="159"/>
      <c r="AAN116" s="159"/>
      <c r="AAO116" s="159"/>
      <c r="AAP116" s="159"/>
      <c r="AAQ116" s="159"/>
      <c r="AAR116" s="159"/>
      <c r="AAS116" s="159"/>
      <c r="AAT116" s="159"/>
      <c r="AAU116" s="159"/>
      <c r="AAV116" s="159"/>
      <c r="AAW116" s="159"/>
      <c r="AAX116" s="159"/>
      <c r="AAY116" s="159"/>
      <c r="AAZ116" s="159"/>
      <c r="ABA116" s="159"/>
      <c r="ABB116" s="159"/>
      <c r="ABC116" s="159"/>
      <c r="ABD116" s="159"/>
      <c r="ABE116" s="159"/>
      <c r="ABF116" s="159"/>
      <c r="ABG116" s="159"/>
      <c r="ABH116" s="159"/>
      <c r="ABI116" s="159"/>
      <c r="ABJ116" s="159"/>
      <c r="ABK116" s="159"/>
      <c r="ABL116" s="159"/>
      <c r="ABM116" s="159"/>
      <c r="ABN116" s="159"/>
      <c r="ABO116" s="159"/>
      <c r="ABP116" s="159"/>
      <c r="ABQ116" s="159"/>
      <c r="ABR116" s="159"/>
      <c r="ABS116" s="159"/>
      <c r="ABT116" s="159"/>
      <c r="ABU116" s="159"/>
      <c r="ABV116" s="159"/>
      <c r="ABW116" s="159"/>
      <c r="ABX116" s="159"/>
      <c r="ABY116" s="159"/>
      <c r="ABZ116" s="159"/>
      <c r="ACA116" s="159"/>
      <c r="ACB116" s="159"/>
      <c r="ACC116" s="159"/>
      <c r="ACD116" s="159"/>
      <c r="ACE116" s="159"/>
      <c r="ACF116" s="159"/>
      <c r="ACG116" s="159"/>
      <c r="ACH116" s="159"/>
      <c r="ACI116" s="159"/>
      <c r="ACJ116" s="159"/>
      <c r="ACK116" s="159"/>
      <c r="ACL116" s="159"/>
      <c r="ACM116" s="159"/>
      <c r="ACN116" s="159"/>
      <c r="ACO116" s="159"/>
      <c r="ACP116" s="159"/>
      <c r="ACQ116" s="159"/>
      <c r="ACR116" s="159"/>
      <c r="ACS116" s="159"/>
      <c r="ACT116" s="159"/>
      <c r="ACU116" s="159"/>
      <c r="ACV116" s="159"/>
      <c r="ACW116" s="159"/>
      <c r="ACX116" s="159"/>
      <c r="ACY116" s="159"/>
      <c r="ACZ116" s="159"/>
      <c r="ADA116" s="159"/>
      <c r="ADB116" s="159"/>
      <c r="ADC116" s="159"/>
      <c r="ADD116" s="159"/>
      <c r="ADE116" s="159"/>
      <c r="ADF116" s="159"/>
      <c r="ADG116" s="159"/>
      <c r="ADH116" s="159"/>
      <c r="ADI116" s="159"/>
      <c r="ADJ116" s="159"/>
      <c r="ADK116" s="159"/>
      <c r="ADL116" s="159"/>
      <c r="ADM116" s="159"/>
      <c r="ADN116" s="159"/>
      <c r="ADO116" s="159"/>
      <c r="ADP116" s="159"/>
      <c r="ADQ116" s="159"/>
      <c r="ADR116" s="159"/>
      <c r="ADS116" s="159"/>
      <c r="ADT116" s="159"/>
      <c r="ADU116" s="159"/>
      <c r="ADV116" s="159"/>
      <c r="ADW116" s="159"/>
      <c r="ADX116" s="159"/>
      <c r="ADY116" s="159"/>
      <c r="ADZ116" s="159"/>
      <c r="AEA116" s="159"/>
      <c r="AEB116" s="159"/>
      <c r="AEC116" s="159"/>
      <c r="AED116" s="159"/>
      <c r="AEE116" s="159"/>
      <c r="AEF116" s="159"/>
      <c r="AEG116" s="159"/>
      <c r="AEH116" s="159"/>
      <c r="AEI116" s="159"/>
      <c r="AEJ116" s="159"/>
      <c r="AEK116" s="159"/>
      <c r="AEL116" s="159"/>
      <c r="AEM116" s="159"/>
      <c r="AEN116" s="159"/>
      <c r="AEO116" s="159"/>
      <c r="AEP116" s="159"/>
      <c r="AEQ116" s="159"/>
      <c r="AER116" s="159"/>
      <c r="AES116" s="159"/>
      <c r="AET116" s="159"/>
      <c r="AEU116" s="159"/>
      <c r="AEV116" s="159"/>
      <c r="AEW116" s="159"/>
      <c r="AEX116" s="159"/>
      <c r="AEY116" s="159"/>
      <c r="AEZ116" s="159"/>
      <c r="AFA116" s="159"/>
      <c r="AFB116" s="159"/>
      <c r="AFC116" s="159"/>
      <c r="AFD116" s="159"/>
      <c r="AFE116" s="159"/>
      <c r="AFF116" s="159"/>
      <c r="AFG116" s="159"/>
      <c r="AFH116" s="159"/>
      <c r="AFI116" s="159"/>
      <c r="AFJ116" s="159"/>
      <c r="AFK116" s="159"/>
      <c r="AFL116" s="159"/>
      <c r="AFM116" s="159"/>
      <c r="AFN116" s="159"/>
      <c r="AFO116" s="159"/>
      <c r="AFP116" s="159"/>
      <c r="AFQ116" s="159"/>
      <c r="AFR116" s="159"/>
      <c r="AFS116" s="159"/>
      <c r="AFT116" s="159"/>
      <c r="AFU116" s="159"/>
      <c r="AFV116" s="159"/>
      <c r="AFW116" s="159"/>
      <c r="AFX116" s="159"/>
      <c r="AFY116" s="159"/>
      <c r="AFZ116" s="159"/>
      <c r="AGA116" s="159"/>
      <c r="AGB116" s="159"/>
      <c r="AGC116" s="159"/>
      <c r="AGD116" s="159"/>
      <c r="AGE116" s="159"/>
      <c r="AGF116" s="159"/>
      <c r="AGG116" s="159"/>
      <c r="AGH116" s="159"/>
      <c r="AGI116" s="159"/>
      <c r="AGJ116" s="159"/>
      <c r="AGK116" s="159"/>
      <c r="AGL116" s="159"/>
      <c r="AGM116" s="159"/>
      <c r="AGN116" s="159"/>
      <c r="AGO116" s="159"/>
      <c r="AGP116" s="159"/>
      <c r="AGQ116" s="159"/>
      <c r="AGR116" s="159"/>
      <c r="AGS116" s="159"/>
      <c r="AGT116" s="159"/>
      <c r="AGU116" s="159"/>
      <c r="AGV116" s="159"/>
      <c r="AGW116" s="159"/>
      <c r="AGX116" s="159"/>
      <c r="AGY116" s="159"/>
      <c r="AGZ116" s="159"/>
      <c r="AHA116" s="159"/>
      <c r="AHB116" s="159"/>
      <c r="AHC116" s="159"/>
      <c r="AHD116" s="159"/>
      <c r="AHE116" s="159"/>
      <c r="AHF116" s="159"/>
      <c r="AHG116" s="159"/>
      <c r="AHH116" s="159"/>
      <c r="AHI116" s="159"/>
      <c r="AHJ116" s="159"/>
      <c r="AHK116" s="159"/>
      <c r="AHL116" s="159"/>
      <c r="AHM116" s="159"/>
      <c r="AHN116" s="159"/>
      <c r="AHO116" s="159"/>
      <c r="AHP116" s="159"/>
      <c r="AHQ116" s="159"/>
      <c r="AHR116" s="159"/>
      <c r="AHS116" s="159"/>
      <c r="AHT116" s="159"/>
      <c r="AHU116" s="159"/>
      <c r="AHV116" s="159"/>
      <c r="AHW116" s="159"/>
      <c r="AHX116" s="159"/>
      <c r="AHY116" s="159"/>
      <c r="AHZ116" s="159"/>
      <c r="AIA116" s="159"/>
      <c r="AIB116" s="159"/>
      <c r="AIC116" s="159"/>
      <c r="AID116" s="159"/>
      <c r="AIE116" s="159"/>
      <c r="AIF116" s="159"/>
      <c r="AIG116" s="159"/>
      <c r="AIH116" s="159"/>
      <c r="AII116" s="159"/>
      <c r="AIJ116" s="159"/>
      <c r="AIK116" s="159"/>
      <c r="AIL116" s="159"/>
      <c r="AIM116" s="159"/>
      <c r="AIN116" s="159"/>
      <c r="AIO116" s="159"/>
      <c r="AIP116" s="159"/>
      <c r="AIQ116" s="159"/>
      <c r="AIR116" s="159"/>
      <c r="AIS116" s="159"/>
      <c r="AIT116" s="159"/>
      <c r="AIU116" s="159"/>
      <c r="AIV116" s="159"/>
      <c r="AIW116" s="159"/>
      <c r="AIX116" s="159"/>
      <c r="AIY116" s="159"/>
      <c r="AIZ116" s="159"/>
      <c r="AJA116" s="159"/>
      <c r="AJB116" s="159"/>
      <c r="AJC116" s="159"/>
      <c r="AJD116" s="159"/>
      <c r="AJE116" s="159"/>
      <c r="AJF116" s="159"/>
      <c r="AJG116" s="159"/>
      <c r="AJH116" s="159"/>
      <c r="AJI116" s="159"/>
      <c r="AJJ116" s="159"/>
      <c r="AJK116" s="159"/>
      <c r="AJL116" s="159"/>
      <c r="AJM116" s="159"/>
      <c r="AJN116" s="159"/>
      <c r="AJO116" s="159"/>
      <c r="AJP116" s="159"/>
      <c r="AJQ116" s="159"/>
      <c r="AJR116" s="159"/>
      <c r="AJS116" s="159"/>
      <c r="AJT116" s="159"/>
      <c r="AJU116" s="159"/>
      <c r="AJV116" s="159"/>
      <c r="AJW116" s="159"/>
      <c r="AJX116" s="159"/>
      <c r="AJY116" s="159"/>
      <c r="AJZ116" s="159"/>
      <c r="AKA116" s="159"/>
      <c r="AKB116" s="159"/>
      <c r="AKC116" s="159"/>
      <c r="AKD116" s="159"/>
      <c r="AKE116" s="159"/>
      <c r="AKF116" s="159"/>
      <c r="AKG116" s="159"/>
      <c r="AKH116" s="159"/>
      <c r="AKI116" s="159"/>
      <c r="AKJ116" s="159"/>
      <c r="AKK116" s="159"/>
      <c r="AKL116" s="159"/>
      <c r="AKM116" s="159"/>
      <c r="AKN116" s="159"/>
      <c r="AKO116" s="159"/>
      <c r="AKP116" s="159"/>
      <c r="AKQ116" s="159"/>
      <c r="AKR116" s="159"/>
      <c r="AKS116" s="159"/>
      <c r="AKT116" s="159"/>
      <c r="AKU116" s="159"/>
      <c r="AKV116" s="159"/>
      <c r="AKW116" s="159"/>
      <c r="AKX116" s="159"/>
      <c r="AKY116" s="159"/>
      <c r="AKZ116" s="159"/>
      <c r="ALA116" s="159"/>
      <c r="ALB116" s="159"/>
      <c r="ALC116" s="159"/>
      <c r="ALD116" s="159"/>
      <c r="ALE116" s="159"/>
      <c r="ALF116" s="159"/>
      <c r="ALG116" s="159"/>
      <c r="ALH116" s="159"/>
      <c r="ALI116" s="159"/>
      <c r="ALJ116" s="159"/>
      <c r="ALK116" s="159"/>
      <c r="ALL116" s="159"/>
      <c r="ALM116" s="159"/>
      <c r="ALN116" s="159"/>
      <c r="ALO116" s="159"/>
      <c r="ALP116" s="159"/>
      <c r="ALQ116" s="159"/>
      <c r="ALR116" s="159"/>
      <c r="ALS116" s="159"/>
      <c r="ALT116" s="159"/>
      <c r="ALU116" s="159"/>
      <c r="ALV116" s="159"/>
      <c r="ALW116" s="159"/>
      <c r="ALX116" s="159"/>
      <c r="ALY116" s="159"/>
      <c r="ALZ116" s="159"/>
      <c r="AMA116" s="159"/>
      <c r="AMB116" s="159"/>
      <c r="AMC116" s="159"/>
      <c r="AMD116" s="159"/>
      <c r="AME116" s="159"/>
      <c r="AMF116" s="159"/>
      <c r="AMG116" s="159"/>
      <c r="AMH116" s="159"/>
      <c r="AMI116" s="159"/>
      <c r="AMJ116" s="159"/>
      <c r="AMK116" s="159"/>
      <c r="AML116" s="159"/>
      <c r="AMM116" s="159"/>
      <c r="AMN116" s="159"/>
      <c r="AMO116" s="159"/>
    </row>
    <row r="117" spans="1:1029" s="161" customFormat="1" x14ac:dyDescent="0.25">
      <c r="A117" s="138">
        <v>46184</v>
      </c>
      <c r="B117" s="99" t="s">
        <v>19</v>
      </c>
      <c r="C117" s="99" t="s">
        <v>125</v>
      </c>
      <c r="D117" s="160" t="s">
        <v>31</v>
      </c>
      <c r="E117" s="118" t="s">
        <v>8</v>
      </c>
      <c r="F117" s="99" t="s">
        <v>125</v>
      </c>
      <c r="G117" s="99" t="s">
        <v>31</v>
      </c>
      <c r="H117" s="141">
        <f t="shared" si="8"/>
        <v>1</v>
      </c>
      <c r="I117" s="120" t="s">
        <v>66</v>
      </c>
      <c r="J117" s="121" t="s">
        <v>10</v>
      </c>
      <c r="K117" s="121" t="s">
        <v>11</v>
      </c>
      <c r="L117" s="141" t="b">
        <f t="shared" si="9"/>
        <v>0</v>
      </c>
      <c r="M117" s="121" t="s">
        <v>42</v>
      </c>
      <c r="N117" s="121" t="s">
        <v>38</v>
      </c>
      <c r="O117" s="121" t="s">
        <v>168</v>
      </c>
      <c r="P117" s="141" t="b">
        <f t="shared" si="10"/>
        <v>0</v>
      </c>
      <c r="Q117" s="149" t="str">
        <f>E117</f>
        <v>Lasagne</v>
      </c>
      <c r="R117" s="99" t="str">
        <f>F117</f>
        <v>Currywurst</v>
      </c>
      <c r="S117" s="99" t="str">
        <f>G117</f>
        <v>Pommes</v>
      </c>
      <c r="T117" s="141">
        <f t="shared" si="11"/>
        <v>1</v>
      </c>
      <c r="U117" s="159"/>
      <c r="V117" s="159"/>
      <c r="W117" s="159"/>
      <c r="X117" s="159"/>
      <c r="Y117" s="159"/>
      <c r="Z117" s="159"/>
      <c r="AA117" s="159"/>
      <c r="AB117" s="159"/>
      <c r="AC117" s="159"/>
      <c r="AD117" s="159"/>
      <c r="AE117" s="159"/>
      <c r="AF117" s="159"/>
      <c r="AG117" s="159"/>
      <c r="AH117" s="159"/>
      <c r="AI117" s="159"/>
      <c r="AJ117" s="159"/>
      <c r="AK117" s="159"/>
      <c r="AL117" s="159"/>
      <c r="AM117" s="159"/>
      <c r="AN117" s="159"/>
      <c r="AO117" s="159"/>
      <c r="AP117" s="159"/>
      <c r="AQ117" s="159"/>
      <c r="AR117" s="159"/>
      <c r="AS117" s="159"/>
      <c r="AT117" s="159"/>
      <c r="AU117" s="159"/>
      <c r="AV117" s="159"/>
      <c r="AW117" s="159"/>
      <c r="AX117" s="159"/>
      <c r="AY117" s="159"/>
      <c r="AZ117" s="159"/>
      <c r="BA117" s="159"/>
      <c r="BB117" s="159"/>
      <c r="BC117" s="159"/>
      <c r="BD117" s="159"/>
      <c r="BE117" s="159"/>
      <c r="BF117" s="159"/>
      <c r="BG117" s="159"/>
      <c r="BH117" s="159"/>
      <c r="BI117" s="159"/>
      <c r="BJ117" s="159"/>
      <c r="BK117" s="159"/>
      <c r="BL117" s="159"/>
      <c r="BM117" s="159"/>
      <c r="BN117" s="159"/>
      <c r="BO117" s="159"/>
      <c r="BP117" s="159"/>
      <c r="BQ117" s="159"/>
      <c r="BR117" s="159"/>
      <c r="BS117" s="159"/>
      <c r="BT117" s="159"/>
      <c r="BU117" s="159"/>
      <c r="BV117" s="159"/>
      <c r="BW117" s="159"/>
      <c r="BX117" s="159"/>
      <c r="BY117" s="159"/>
      <c r="BZ117" s="159"/>
      <c r="CA117" s="159"/>
      <c r="CB117" s="159"/>
      <c r="CC117" s="159"/>
      <c r="CD117" s="159"/>
      <c r="CE117" s="159"/>
      <c r="CF117" s="159"/>
      <c r="CG117" s="159"/>
      <c r="CH117" s="159"/>
      <c r="CI117" s="159"/>
      <c r="CJ117" s="159"/>
      <c r="CK117" s="159"/>
      <c r="CL117" s="159"/>
      <c r="CM117" s="159"/>
      <c r="CN117" s="159"/>
      <c r="CO117" s="159"/>
      <c r="CP117" s="159"/>
      <c r="CQ117" s="159"/>
      <c r="CR117" s="159"/>
      <c r="CS117" s="159"/>
      <c r="CT117" s="159"/>
      <c r="CU117" s="159"/>
      <c r="CV117" s="159"/>
      <c r="CW117" s="159"/>
      <c r="CX117" s="159"/>
      <c r="CY117" s="159"/>
      <c r="CZ117" s="159"/>
      <c r="DA117" s="159"/>
      <c r="DB117" s="159"/>
      <c r="DC117" s="159"/>
      <c r="DD117" s="159"/>
      <c r="DE117" s="159"/>
      <c r="DF117" s="159"/>
      <c r="DG117" s="159"/>
      <c r="DH117" s="159"/>
      <c r="DI117" s="159"/>
      <c r="DJ117" s="159"/>
      <c r="DK117" s="159"/>
      <c r="DL117" s="159"/>
      <c r="DM117" s="159"/>
      <c r="DN117" s="159"/>
      <c r="DO117" s="159"/>
      <c r="DP117" s="159"/>
      <c r="DQ117" s="159"/>
      <c r="DR117" s="159"/>
      <c r="DS117" s="159"/>
      <c r="DT117" s="159"/>
      <c r="DU117" s="159"/>
      <c r="DV117" s="159"/>
      <c r="DW117" s="159"/>
      <c r="DX117" s="159"/>
      <c r="DY117" s="159"/>
      <c r="DZ117" s="159"/>
      <c r="EA117" s="159"/>
      <c r="EB117" s="159"/>
      <c r="EC117" s="159"/>
      <c r="ED117" s="159"/>
      <c r="EE117" s="159"/>
      <c r="EF117" s="159"/>
      <c r="EG117" s="159"/>
      <c r="EH117" s="159"/>
      <c r="EI117" s="159"/>
      <c r="EJ117" s="159"/>
      <c r="EK117" s="159"/>
      <c r="EL117" s="159"/>
      <c r="EM117" s="159"/>
      <c r="EN117" s="159"/>
      <c r="EO117" s="159"/>
      <c r="EP117" s="159"/>
      <c r="EQ117" s="159"/>
      <c r="ER117" s="159"/>
      <c r="ES117" s="159"/>
      <c r="ET117" s="159"/>
      <c r="EU117" s="159"/>
      <c r="EV117" s="159"/>
      <c r="EW117" s="159"/>
      <c r="EX117" s="159"/>
      <c r="EY117" s="159"/>
      <c r="EZ117" s="159"/>
      <c r="FA117" s="159"/>
      <c r="FB117" s="159"/>
      <c r="FC117" s="159"/>
      <c r="FD117" s="159"/>
      <c r="FE117" s="159"/>
      <c r="FF117" s="159"/>
      <c r="FG117" s="159"/>
      <c r="FH117" s="159"/>
      <c r="FI117" s="159"/>
      <c r="FJ117" s="159"/>
      <c r="FK117" s="159"/>
      <c r="FL117" s="159"/>
      <c r="FM117" s="159"/>
      <c r="FN117" s="159"/>
      <c r="FO117" s="159"/>
      <c r="FP117" s="159"/>
      <c r="FQ117" s="159"/>
      <c r="FR117" s="159"/>
      <c r="FS117" s="159"/>
      <c r="FT117" s="159"/>
      <c r="FU117" s="159"/>
      <c r="FV117" s="159"/>
      <c r="FW117" s="159"/>
      <c r="FX117" s="159"/>
      <c r="FY117" s="159"/>
      <c r="FZ117" s="159"/>
      <c r="GA117" s="159"/>
      <c r="GB117" s="159"/>
      <c r="GC117" s="159"/>
      <c r="GD117" s="159"/>
      <c r="GE117" s="159"/>
      <c r="GF117" s="159"/>
      <c r="GG117" s="159"/>
      <c r="GH117" s="159"/>
      <c r="GI117" s="159"/>
      <c r="GJ117" s="159"/>
      <c r="GK117" s="159"/>
      <c r="GL117" s="159"/>
      <c r="GM117" s="159"/>
      <c r="GN117" s="159"/>
      <c r="GO117" s="159"/>
      <c r="GP117" s="159"/>
      <c r="GQ117" s="159"/>
      <c r="GR117" s="159"/>
      <c r="GS117" s="159"/>
      <c r="GT117" s="159"/>
      <c r="GU117" s="159"/>
      <c r="GV117" s="159"/>
      <c r="GW117" s="159"/>
      <c r="GX117" s="159"/>
      <c r="GY117" s="159"/>
      <c r="GZ117" s="159"/>
      <c r="HA117" s="159"/>
      <c r="HB117" s="159"/>
      <c r="HC117" s="159"/>
      <c r="HD117" s="159"/>
      <c r="HE117" s="159"/>
      <c r="HF117" s="159"/>
      <c r="HG117" s="159"/>
      <c r="HH117" s="159"/>
      <c r="HI117" s="159"/>
      <c r="HJ117" s="159"/>
      <c r="HK117" s="159"/>
      <c r="HL117" s="159"/>
      <c r="HM117" s="159"/>
      <c r="HN117" s="159"/>
      <c r="HO117" s="159"/>
      <c r="HP117" s="159"/>
      <c r="HQ117" s="159"/>
      <c r="HR117" s="159"/>
      <c r="HS117" s="159"/>
      <c r="HT117" s="159"/>
      <c r="HU117" s="159"/>
      <c r="HV117" s="159"/>
      <c r="HW117" s="159"/>
      <c r="HX117" s="159"/>
      <c r="HY117" s="159"/>
      <c r="HZ117" s="159"/>
      <c r="IA117" s="159"/>
      <c r="IB117" s="159"/>
      <c r="IC117" s="159"/>
      <c r="ID117" s="159"/>
      <c r="IE117" s="159"/>
      <c r="IF117" s="159"/>
      <c r="IG117" s="159"/>
      <c r="IH117" s="159"/>
      <c r="II117" s="159"/>
      <c r="IJ117" s="159"/>
      <c r="IK117" s="159"/>
      <c r="IL117" s="159"/>
      <c r="IM117" s="159"/>
      <c r="IN117" s="159"/>
      <c r="IO117" s="159"/>
      <c r="IP117" s="159"/>
      <c r="IQ117" s="159"/>
      <c r="IR117" s="159"/>
      <c r="IS117" s="159"/>
      <c r="IT117" s="159"/>
      <c r="IU117" s="159"/>
      <c r="IV117" s="159"/>
      <c r="IW117" s="159"/>
      <c r="IX117" s="159"/>
      <c r="IY117" s="159"/>
      <c r="IZ117" s="159"/>
      <c r="JA117" s="159"/>
      <c r="JB117" s="159"/>
      <c r="JC117" s="159"/>
      <c r="JD117" s="159"/>
      <c r="JE117" s="159"/>
      <c r="JF117" s="159"/>
      <c r="JG117" s="159"/>
      <c r="JH117" s="159"/>
      <c r="JI117" s="159"/>
      <c r="JJ117" s="159"/>
      <c r="JK117" s="159"/>
      <c r="JL117" s="159"/>
      <c r="JM117" s="159"/>
      <c r="JN117" s="159"/>
      <c r="JO117" s="159"/>
      <c r="JP117" s="159"/>
      <c r="JQ117" s="159"/>
      <c r="JR117" s="159"/>
      <c r="JS117" s="159"/>
      <c r="JT117" s="159"/>
      <c r="JU117" s="159"/>
      <c r="JV117" s="159"/>
      <c r="JW117" s="159"/>
      <c r="JX117" s="159"/>
      <c r="JY117" s="159"/>
      <c r="JZ117" s="159"/>
      <c r="KA117" s="159"/>
      <c r="KB117" s="159"/>
      <c r="KC117" s="159"/>
      <c r="KD117" s="159"/>
      <c r="KE117" s="159"/>
      <c r="KF117" s="159"/>
      <c r="KG117" s="159"/>
      <c r="KH117" s="159"/>
      <c r="KI117" s="159"/>
      <c r="KJ117" s="159"/>
      <c r="KK117" s="159"/>
      <c r="KL117" s="159"/>
      <c r="KM117" s="159"/>
      <c r="KN117" s="159"/>
      <c r="KO117" s="159"/>
      <c r="KP117" s="159"/>
      <c r="KQ117" s="159"/>
      <c r="KR117" s="159"/>
      <c r="KS117" s="159"/>
      <c r="KT117" s="159"/>
      <c r="KU117" s="159"/>
      <c r="KV117" s="159"/>
      <c r="KW117" s="159"/>
      <c r="KX117" s="159"/>
      <c r="KY117" s="159"/>
      <c r="KZ117" s="159"/>
      <c r="LA117" s="159"/>
      <c r="LB117" s="159"/>
      <c r="LC117" s="159"/>
      <c r="LD117" s="159"/>
      <c r="LE117" s="159"/>
      <c r="LF117" s="159"/>
      <c r="LG117" s="159"/>
      <c r="LH117" s="159"/>
      <c r="LI117" s="159"/>
      <c r="LJ117" s="159"/>
      <c r="LK117" s="159"/>
      <c r="LL117" s="159"/>
      <c r="LM117" s="159"/>
      <c r="LN117" s="159"/>
      <c r="LO117" s="159"/>
      <c r="LP117" s="159"/>
      <c r="LQ117" s="159"/>
      <c r="LR117" s="159"/>
      <c r="LS117" s="159"/>
      <c r="LT117" s="159"/>
      <c r="LU117" s="159"/>
      <c r="LV117" s="159"/>
      <c r="LW117" s="159"/>
      <c r="LX117" s="159"/>
      <c r="LY117" s="159"/>
      <c r="LZ117" s="159"/>
      <c r="MA117" s="159"/>
      <c r="MB117" s="159"/>
      <c r="MC117" s="159"/>
      <c r="MD117" s="159"/>
      <c r="ME117" s="159"/>
      <c r="MF117" s="159"/>
      <c r="MG117" s="159"/>
      <c r="MH117" s="159"/>
      <c r="MI117" s="159"/>
      <c r="MJ117" s="159"/>
      <c r="MK117" s="159"/>
      <c r="ML117" s="159"/>
      <c r="MM117" s="159"/>
      <c r="MN117" s="159"/>
      <c r="MO117" s="159"/>
      <c r="MP117" s="159"/>
      <c r="MQ117" s="159"/>
      <c r="MR117" s="159"/>
      <c r="MS117" s="159"/>
      <c r="MT117" s="159"/>
      <c r="MU117" s="159"/>
      <c r="MV117" s="159"/>
      <c r="MW117" s="159"/>
      <c r="MX117" s="159"/>
      <c r="MY117" s="159"/>
      <c r="MZ117" s="159"/>
      <c r="NA117" s="159"/>
      <c r="NB117" s="159"/>
      <c r="NC117" s="159"/>
      <c r="ND117" s="159"/>
      <c r="NE117" s="159"/>
      <c r="NF117" s="159"/>
      <c r="NG117" s="159"/>
      <c r="NH117" s="159"/>
      <c r="NI117" s="159"/>
      <c r="NJ117" s="159"/>
      <c r="NK117" s="159"/>
      <c r="NL117" s="159"/>
      <c r="NM117" s="159"/>
      <c r="NN117" s="159"/>
      <c r="NO117" s="159"/>
      <c r="NP117" s="159"/>
      <c r="NQ117" s="159"/>
      <c r="NR117" s="159"/>
      <c r="NS117" s="159"/>
      <c r="NT117" s="159"/>
      <c r="NU117" s="159"/>
      <c r="NV117" s="159"/>
      <c r="NW117" s="159"/>
      <c r="NX117" s="159"/>
      <c r="NY117" s="159"/>
      <c r="NZ117" s="159"/>
      <c r="OA117" s="159"/>
      <c r="OB117" s="159"/>
      <c r="OC117" s="159"/>
      <c r="OD117" s="159"/>
      <c r="OE117" s="159"/>
      <c r="OF117" s="159"/>
      <c r="OG117" s="159"/>
      <c r="OH117" s="159"/>
      <c r="OI117" s="159"/>
      <c r="OJ117" s="159"/>
      <c r="OK117" s="159"/>
      <c r="OL117" s="159"/>
      <c r="OM117" s="159"/>
      <c r="ON117" s="159"/>
      <c r="OO117" s="159"/>
      <c r="OP117" s="159"/>
      <c r="OQ117" s="159"/>
      <c r="OR117" s="159"/>
      <c r="OS117" s="159"/>
      <c r="OT117" s="159"/>
      <c r="OU117" s="159"/>
      <c r="OV117" s="159"/>
      <c r="OW117" s="159"/>
      <c r="OX117" s="159"/>
      <c r="OY117" s="159"/>
      <c r="OZ117" s="159"/>
      <c r="PA117" s="159"/>
      <c r="PB117" s="159"/>
      <c r="PC117" s="159"/>
      <c r="PD117" s="159"/>
      <c r="PE117" s="159"/>
      <c r="PF117" s="159"/>
      <c r="PG117" s="159"/>
      <c r="PH117" s="159"/>
      <c r="PI117" s="159"/>
      <c r="PJ117" s="159"/>
      <c r="PK117" s="159"/>
      <c r="PL117" s="159"/>
      <c r="PM117" s="159"/>
      <c r="PN117" s="159"/>
      <c r="PO117" s="159"/>
      <c r="PP117" s="159"/>
      <c r="PQ117" s="159"/>
      <c r="PR117" s="159"/>
      <c r="PS117" s="159"/>
      <c r="PT117" s="159"/>
      <c r="PU117" s="159"/>
      <c r="PV117" s="159"/>
      <c r="PW117" s="159"/>
      <c r="PX117" s="159"/>
      <c r="PY117" s="159"/>
      <c r="PZ117" s="159"/>
      <c r="QA117" s="159"/>
      <c r="QB117" s="159"/>
      <c r="QC117" s="159"/>
      <c r="QD117" s="159"/>
      <c r="QE117" s="159"/>
      <c r="QF117" s="159"/>
      <c r="QG117" s="159"/>
      <c r="QH117" s="159"/>
      <c r="QI117" s="159"/>
      <c r="QJ117" s="159"/>
      <c r="QK117" s="159"/>
      <c r="QL117" s="159"/>
      <c r="QM117" s="159"/>
      <c r="QN117" s="159"/>
      <c r="QO117" s="159"/>
      <c r="QP117" s="159"/>
      <c r="QQ117" s="159"/>
      <c r="QR117" s="159"/>
      <c r="QS117" s="159"/>
      <c r="QT117" s="159"/>
      <c r="QU117" s="159"/>
      <c r="QV117" s="159"/>
      <c r="QW117" s="159"/>
      <c r="QX117" s="159"/>
      <c r="QY117" s="159"/>
      <c r="QZ117" s="159"/>
      <c r="RA117" s="159"/>
      <c r="RB117" s="159"/>
      <c r="RC117" s="159"/>
      <c r="RD117" s="159"/>
      <c r="RE117" s="159"/>
      <c r="RF117" s="159"/>
      <c r="RG117" s="159"/>
      <c r="RH117" s="159"/>
      <c r="RI117" s="159"/>
      <c r="RJ117" s="159"/>
      <c r="RK117" s="159"/>
      <c r="RL117" s="159"/>
      <c r="RM117" s="159"/>
      <c r="RN117" s="159"/>
      <c r="RO117" s="159"/>
      <c r="RP117" s="159"/>
      <c r="RQ117" s="159"/>
      <c r="RR117" s="159"/>
      <c r="RS117" s="159"/>
      <c r="RT117" s="159"/>
      <c r="RU117" s="159"/>
      <c r="RV117" s="159"/>
      <c r="RW117" s="159"/>
      <c r="RX117" s="159"/>
      <c r="RY117" s="159"/>
      <c r="RZ117" s="159"/>
      <c r="SA117" s="159"/>
      <c r="SB117" s="159"/>
      <c r="SC117" s="159"/>
      <c r="SD117" s="159"/>
      <c r="SE117" s="159"/>
      <c r="SF117" s="159"/>
      <c r="SG117" s="159"/>
      <c r="SH117" s="159"/>
      <c r="SI117" s="159"/>
      <c r="SJ117" s="159"/>
      <c r="SK117" s="159"/>
      <c r="SL117" s="159"/>
      <c r="SM117" s="159"/>
      <c r="SN117" s="159"/>
      <c r="SO117" s="159"/>
      <c r="SP117" s="159"/>
      <c r="SQ117" s="159"/>
      <c r="SR117" s="159"/>
      <c r="SS117" s="159"/>
      <c r="ST117" s="159"/>
      <c r="SU117" s="159"/>
      <c r="SV117" s="159"/>
      <c r="SW117" s="159"/>
      <c r="SX117" s="159"/>
      <c r="SY117" s="159"/>
      <c r="SZ117" s="159"/>
      <c r="TA117" s="159"/>
      <c r="TB117" s="159"/>
      <c r="TC117" s="159"/>
      <c r="TD117" s="159"/>
      <c r="TE117" s="159"/>
      <c r="TF117" s="159"/>
      <c r="TG117" s="159"/>
      <c r="TH117" s="159"/>
      <c r="TI117" s="159"/>
      <c r="TJ117" s="159"/>
      <c r="TK117" s="159"/>
      <c r="TL117" s="159"/>
      <c r="TM117" s="159"/>
      <c r="TN117" s="159"/>
      <c r="TO117" s="159"/>
      <c r="TP117" s="159"/>
      <c r="TQ117" s="159"/>
      <c r="TR117" s="159"/>
      <c r="TS117" s="159"/>
      <c r="TT117" s="159"/>
      <c r="TU117" s="159"/>
      <c r="TV117" s="159"/>
      <c r="TW117" s="159"/>
      <c r="TX117" s="159"/>
      <c r="TY117" s="159"/>
      <c r="TZ117" s="159"/>
      <c r="UA117" s="159"/>
      <c r="UB117" s="159"/>
      <c r="UC117" s="159"/>
      <c r="UD117" s="159"/>
      <c r="UE117" s="159"/>
      <c r="UF117" s="159"/>
      <c r="UG117" s="159"/>
      <c r="UH117" s="159"/>
      <c r="UI117" s="159"/>
      <c r="UJ117" s="159"/>
      <c r="UK117" s="159"/>
      <c r="UL117" s="159"/>
      <c r="UM117" s="159"/>
      <c r="UN117" s="159"/>
      <c r="UO117" s="159"/>
      <c r="UP117" s="159"/>
      <c r="UQ117" s="159"/>
      <c r="UR117" s="159"/>
      <c r="US117" s="159"/>
      <c r="UT117" s="159"/>
      <c r="UU117" s="159"/>
      <c r="UV117" s="159"/>
      <c r="UW117" s="159"/>
      <c r="UX117" s="159"/>
      <c r="UY117" s="159"/>
      <c r="UZ117" s="159"/>
      <c r="VA117" s="159"/>
      <c r="VB117" s="159"/>
      <c r="VC117" s="159"/>
      <c r="VD117" s="159"/>
      <c r="VE117" s="159"/>
      <c r="VF117" s="159"/>
      <c r="VG117" s="159"/>
      <c r="VH117" s="159"/>
      <c r="VI117" s="159"/>
      <c r="VJ117" s="159"/>
      <c r="VK117" s="159"/>
      <c r="VL117" s="159"/>
      <c r="VM117" s="159"/>
      <c r="VN117" s="159"/>
      <c r="VO117" s="159"/>
      <c r="VP117" s="159"/>
      <c r="VQ117" s="159"/>
      <c r="VR117" s="159"/>
      <c r="VS117" s="159"/>
      <c r="VT117" s="159"/>
      <c r="VU117" s="159"/>
      <c r="VV117" s="159"/>
      <c r="VW117" s="159"/>
      <c r="VX117" s="159"/>
      <c r="VY117" s="159"/>
      <c r="VZ117" s="159"/>
      <c r="WA117" s="159"/>
      <c r="WB117" s="159"/>
      <c r="WC117" s="159"/>
      <c r="WD117" s="159"/>
      <c r="WE117" s="159"/>
      <c r="WF117" s="159"/>
      <c r="WG117" s="159"/>
      <c r="WH117" s="159"/>
      <c r="WI117" s="159"/>
      <c r="WJ117" s="159"/>
      <c r="WK117" s="159"/>
      <c r="WL117" s="159"/>
      <c r="WM117" s="159"/>
      <c r="WN117" s="159"/>
      <c r="WO117" s="159"/>
      <c r="WP117" s="159"/>
      <c r="WQ117" s="159"/>
      <c r="WR117" s="159"/>
      <c r="WS117" s="159"/>
      <c r="WT117" s="159"/>
      <c r="WU117" s="159"/>
      <c r="WV117" s="159"/>
      <c r="WW117" s="159"/>
      <c r="WX117" s="159"/>
      <c r="WY117" s="159"/>
      <c r="WZ117" s="159"/>
      <c r="XA117" s="159"/>
      <c r="XB117" s="159"/>
      <c r="XC117" s="159"/>
      <c r="XD117" s="159"/>
      <c r="XE117" s="159"/>
      <c r="XF117" s="159"/>
      <c r="XG117" s="159"/>
      <c r="XH117" s="159"/>
      <c r="XI117" s="159"/>
      <c r="XJ117" s="159"/>
      <c r="XK117" s="159"/>
      <c r="XL117" s="159"/>
      <c r="XM117" s="159"/>
      <c r="XN117" s="159"/>
      <c r="XO117" s="159"/>
      <c r="XP117" s="159"/>
      <c r="XQ117" s="159"/>
      <c r="XR117" s="159"/>
      <c r="XS117" s="159"/>
      <c r="XT117" s="159"/>
      <c r="XU117" s="159"/>
      <c r="XV117" s="159"/>
      <c r="XW117" s="159"/>
      <c r="XX117" s="159"/>
      <c r="XY117" s="159"/>
      <c r="XZ117" s="159"/>
      <c r="YA117" s="159"/>
      <c r="YB117" s="159"/>
      <c r="YC117" s="159"/>
      <c r="YD117" s="159"/>
      <c r="YE117" s="159"/>
      <c r="YF117" s="159"/>
      <c r="YG117" s="159"/>
      <c r="YH117" s="159"/>
      <c r="YI117" s="159"/>
      <c r="YJ117" s="159"/>
      <c r="YK117" s="159"/>
      <c r="YL117" s="159"/>
      <c r="YM117" s="159"/>
      <c r="YN117" s="159"/>
      <c r="YO117" s="159"/>
      <c r="YP117" s="159"/>
      <c r="YQ117" s="159"/>
      <c r="YR117" s="159"/>
      <c r="YS117" s="159"/>
      <c r="YT117" s="159"/>
      <c r="YU117" s="159"/>
      <c r="YV117" s="159"/>
      <c r="YW117" s="159"/>
      <c r="YX117" s="159"/>
      <c r="YY117" s="159"/>
      <c r="YZ117" s="159"/>
      <c r="ZA117" s="159"/>
      <c r="ZB117" s="159"/>
      <c r="ZC117" s="159"/>
      <c r="ZD117" s="159"/>
      <c r="ZE117" s="159"/>
      <c r="ZF117" s="159"/>
      <c r="ZG117" s="159"/>
      <c r="ZH117" s="159"/>
      <c r="ZI117" s="159"/>
      <c r="ZJ117" s="159"/>
      <c r="ZK117" s="159"/>
      <c r="ZL117" s="159"/>
      <c r="ZM117" s="159"/>
      <c r="ZN117" s="159"/>
      <c r="ZO117" s="159"/>
      <c r="ZP117" s="159"/>
      <c r="ZQ117" s="159"/>
      <c r="ZR117" s="159"/>
      <c r="ZS117" s="159"/>
      <c r="ZT117" s="159"/>
      <c r="ZU117" s="159"/>
      <c r="ZV117" s="159"/>
      <c r="ZW117" s="159"/>
      <c r="ZX117" s="159"/>
      <c r="ZY117" s="159"/>
      <c r="ZZ117" s="159"/>
      <c r="AAA117" s="159"/>
      <c r="AAB117" s="159"/>
      <c r="AAC117" s="159"/>
      <c r="AAD117" s="159"/>
      <c r="AAE117" s="159"/>
      <c r="AAF117" s="159"/>
      <c r="AAG117" s="159"/>
      <c r="AAH117" s="159"/>
      <c r="AAI117" s="159"/>
      <c r="AAJ117" s="159"/>
      <c r="AAK117" s="159"/>
      <c r="AAL117" s="159"/>
      <c r="AAM117" s="159"/>
      <c r="AAN117" s="159"/>
      <c r="AAO117" s="159"/>
      <c r="AAP117" s="159"/>
      <c r="AAQ117" s="159"/>
      <c r="AAR117" s="159"/>
      <c r="AAS117" s="159"/>
      <c r="AAT117" s="159"/>
      <c r="AAU117" s="159"/>
      <c r="AAV117" s="159"/>
      <c r="AAW117" s="159"/>
      <c r="AAX117" s="159"/>
      <c r="AAY117" s="159"/>
      <c r="AAZ117" s="159"/>
      <c r="ABA117" s="159"/>
      <c r="ABB117" s="159"/>
      <c r="ABC117" s="159"/>
      <c r="ABD117" s="159"/>
      <c r="ABE117" s="159"/>
      <c r="ABF117" s="159"/>
      <c r="ABG117" s="159"/>
      <c r="ABH117" s="159"/>
      <c r="ABI117" s="159"/>
      <c r="ABJ117" s="159"/>
      <c r="ABK117" s="159"/>
      <c r="ABL117" s="159"/>
      <c r="ABM117" s="159"/>
      <c r="ABN117" s="159"/>
      <c r="ABO117" s="159"/>
      <c r="ABP117" s="159"/>
      <c r="ABQ117" s="159"/>
      <c r="ABR117" s="159"/>
      <c r="ABS117" s="159"/>
      <c r="ABT117" s="159"/>
      <c r="ABU117" s="159"/>
      <c r="ABV117" s="159"/>
      <c r="ABW117" s="159"/>
      <c r="ABX117" s="159"/>
      <c r="ABY117" s="159"/>
      <c r="ABZ117" s="159"/>
      <c r="ACA117" s="159"/>
      <c r="ACB117" s="159"/>
      <c r="ACC117" s="159"/>
      <c r="ACD117" s="159"/>
      <c r="ACE117" s="159"/>
      <c r="ACF117" s="159"/>
      <c r="ACG117" s="159"/>
      <c r="ACH117" s="159"/>
      <c r="ACI117" s="159"/>
      <c r="ACJ117" s="159"/>
      <c r="ACK117" s="159"/>
      <c r="ACL117" s="159"/>
      <c r="ACM117" s="159"/>
      <c r="ACN117" s="159"/>
      <c r="ACO117" s="159"/>
      <c r="ACP117" s="159"/>
      <c r="ACQ117" s="159"/>
      <c r="ACR117" s="159"/>
      <c r="ACS117" s="159"/>
      <c r="ACT117" s="159"/>
      <c r="ACU117" s="159"/>
      <c r="ACV117" s="159"/>
      <c r="ACW117" s="159"/>
      <c r="ACX117" s="159"/>
      <c r="ACY117" s="159"/>
      <c r="ACZ117" s="159"/>
      <c r="ADA117" s="159"/>
      <c r="ADB117" s="159"/>
      <c r="ADC117" s="159"/>
      <c r="ADD117" s="159"/>
      <c r="ADE117" s="159"/>
      <c r="ADF117" s="159"/>
      <c r="ADG117" s="159"/>
      <c r="ADH117" s="159"/>
      <c r="ADI117" s="159"/>
      <c r="ADJ117" s="159"/>
      <c r="ADK117" s="159"/>
      <c r="ADL117" s="159"/>
      <c r="ADM117" s="159"/>
      <c r="ADN117" s="159"/>
      <c r="ADO117" s="159"/>
      <c r="ADP117" s="159"/>
      <c r="ADQ117" s="159"/>
      <c r="ADR117" s="159"/>
      <c r="ADS117" s="159"/>
      <c r="ADT117" s="159"/>
      <c r="ADU117" s="159"/>
      <c r="ADV117" s="159"/>
      <c r="ADW117" s="159"/>
      <c r="ADX117" s="159"/>
      <c r="ADY117" s="159"/>
      <c r="ADZ117" s="159"/>
      <c r="AEA117" s="159"/>
      <c r="AEB117" s="159"/>
      <c r="AEC117" s="159"/>
      <c r="AED117" s="159"/>
      <c r="AEE117" s="159"/>
      <c r="AEF117" s="159"/>
      <c r="AEG117" s="159"/>
      <c r="AEH117" s="159"/>
      <c r="AEI117" s="159"/>
      <c r="AEJ117" s="159"/>
      <c r="AEK117" s="159"/>
      <c r="AEL117" s="159"/>
      <c r="AEM117" s="159"/>
      <c r="AEN117" s="159"/>
      <c r="AEO117" s="159"/>
      <c r="AEP117" s="159"/>
      <c r="AEQ117" s="159"/>
      <c r="AER117" s="159"/>
      <c r="AES117" s="159"/>
      <c r="AET117" s="159"/>
      <c r="AEU117" s="159"/>
      <c r="AEV117" s="159"/>
      <c r="AEW117" s="159"/>
      <c r="AEX117" s="159"/>
      <c r="AEY117" s="159"/>
      <c r="AEZ117" s="159"/>
      <c r="AFA117" s="159"/>
      <c r="AFB117" s="159"/>
      <c r="AFC117" s="159"/>
      <c r="AFD117" s="159"/>
      <c r="AFE117" s="159"/>
      <c r="AFF117" s="159"/>
      <c r="AFG117" s="159"/>
      <c r="AFH117" s="159"/>
      <c r="AFI117" s="159"/>
      <c r="AFJ117" s="159"/>
      <c r="AFK117" s="159"/>
      <c r="AFL117" s="159"/>
      <c r="AFM117" s="159"/>
      <c r="AFN117" s="159"/>
      <c r="AFO117" s="159"/>
      <c r="AFP117" s="159"/>
      <c r="AFQ117" s="159"/>
      <c r="AFR117" s="159"/>
      <c r="AFS117" s="159"/>
      <c r="AFT117" s="159"/>
      <c r="AFU117" s="159"/>
      <c r="AFV117" s="159"/>
      <c r="AFW117" s="159"/>
      <c r="AFX117" s="159"/>
      <c r="AFY117" s="159"/>
      <c r="AFZ117" s="159"/>
      <c r="AGA117" s="159"/>
      <c r="AGB117" s="159"/>
      <c r="AGC117" s="159"/>
      <c r="AGD117" s="159"/>
      <c r="AGE117" s="159"/>
      <c r="AGF117" s="159"/>
      <c r="AGG117" s="159"/>
      <c r="AGH117" s="159"/>
      <c r="AGI117" s="159"/>
      <c r="AGJ117" s="159"/>
      <c r="AGK117" s="159"/>
      <c r="AGL117" s="159"/>
      <c r="AGM117" s="159"/>
      <c r="AGN117" s="159"/>
      <c r="AGO117" s="159"/>
      <c r="AGP117" s="159"/>
      <c r="AGQ117" s="159"/>
      <c r="AGR117" s="159"/>
      <c r="AGS117" s="159"/>
      <c r="AGT117" s="159"/>
      <c r="AGU117" s="159"/>
      <c r="AGV117" s="159"/>
      <c r="AGW117" s="159"/>
      <c r="AGX117" s="159"/>
      <c r="AGY117" s="159"/>
      <c r="AGZ117" s="159"/>
      <c r="AHA117" s="159"/>
      <c r="AHB117" s="159"/>
      <c r="AHC117" s="159"/>
      <c r="AHD117" s="159"/>
      <c r="AHE117" s="159"/>
      <c r="AHF117" s="159"/>
      <c r="AHG117" s="159"/>
      <c r="AHH117" s="159"/>
      <c r="AHI117" s="159"/>
      <c r="AHJ117" s="159"/>
      <c r="AHK117" s="159"/>
      <c r="AHL117" s="159"/>
      <c r="AHM117" s="159"/>
      <c r="AHN117" s="159"/>
      <c r="AHO117" s="159"/>
      <c r="AHP117" s="159"/>
      <c r="AHQ117" s="159"/>
      <c r="AHR117" s="159"/>
      <c r="AHS117" s="159"/>
      <c r="AHT117" s="159"/>
      <c r="AHU117" s="159"/>
      <c r="AHV117" s="159"/>
      <c r="AHW117" s="159"/>
      <c r="AHX117" s="159"/>
      <c r="AHY117" s="159"/>
      <c r="AHZ117" s="159"/>
      <c r="AIA117" s="159"/>
      <c r="AIB117" s="159"/>
      <c r="AIC117" s="159"/>
      <c r="AID117" s="159"/>
      <c r="AIE117" s="159"/>
      <c r="AIF117" s="159"/>
      <c r="AIG117" s="159"/>
      <c r="AIH117" s="159"/>
      <c r="AII117" s="159"/>
      <c r="AIJ117" s="159"/>
      <c r="AIK117" s="159"/>
      <c r="AIL117" s="159"/>
      <c r="AIM117" s="159"/>
      <c r="AIN117" s="159"/>
      <c r="AIO117" s="159"/>
      <c r="AIP117" s="159"/>
      <c r="AIQ117" s="159"/>
      <c r="AIR117" s="159"/>
      <c r="AIS117" s="159"/>
      <c r="AIT117" s="159"/>
      <c r="AIU117" s="159"/>
      <c r="AIV117" s="159"/>
      <c r="AIW117" s="159"/>
      <c r="AIX117" s="159"/>
      <c r="AIY117" s="159"/>
      <c r="AIZ117" s="159"/>
      <c r="AJA117" s="159"/>
      <c r="AJB117" s="159"/>
      <c r="AJC117" s="159"/>
      <c r="AJD117" s="159"/>
      <c r="AJE117" s="159"/>
      <c r="AJF117" s="159"/>
      <c r="AJG117" s="159"/>
      <c r="AJH117" s="159"/>
      <c r="AJI117" s="159"/>
      <c r="AJJ117" s="159"/>
      <c r="AJK117" s="159"/>
      <c r="AJL117" s="159"/>
      <c r="AJM117" s="159"/>
      <c r="AJN117" s="159"/>
      <c r="AJO117" s="159"/>
      <c r="AJP117" s="159"/>
      <c r="AJQ117" s="159"/>
      <c r="AJR117" s="159"/>
      <c r="AJS117" s="159"/>
      <c r="AJT117" s="159"/>
      <c r="AJU117" s="159"/>
      <c r="AJV117" s="159"/>
      <c r="AJW117" s="159"/>
      <c r="AJX117" s="159"/>
      <c r="AJY117" s="159"/>
      <c r="AJZ117" s="159"/>
      <c r="AKA117" s="159"/>
      <c r="AKB117" s="159"/>
      <c r="AKC117" s="159"/>
      <c r="AKD117" s="159"/>
      <c r="AKE117" s="159"/>
      <c r="AKF117" s="159"/>
      <c r="AKG117" s="159"/>
      <c r="AKH117" s="159"/>
      <c r="AKI117" s="159"/>
      <c r="AKJ117" s="159"/>
      <c r="AKK117" s="159"/>
      <c r="AKL117" s="159"/>
      <c r="AKM117" s="159"/>
      <c r="AKN117" s="159"/>
      <c r="AKO117" s="159"/>
      <c r="AKP117" s="159"/>
      <c r="AKQ117" s="159"/>
      <c r="AKR117" s="159"/>
      <c r="AKS117" s="159"/>
      <c r="AKT117" s="159"/>
      <c r="AKU117" s="159"/>
      <c r="AKV117" s="159"/>
      <c r="AKW117" s="159"/>
      <c r="AKX117" s="159"/>
      <c r="AKY117" s="159"/>
      <c r="AKZ117" s="159"/>
      <c r="ALA117" s="159"/>
      <c r="ALB117" s="159"/>
      <c r="ALC117" s="159"/>
      <c r="ALD117" s="159"/>
      <c r="ALE117" s="159"/>
      <c r="ALF117" s="159"/>
      <c r="ALG117" s="159"/>
      <c r="ALH117" s="159"/>
      <c r="ALI117" s="159"/>
      <c r="ALJ117" s="159"/>
      <c r="ALK117" s="159"/>
      <c r="ALL117" s="159"/>
      <c r="ALM117" s="159"/>
      <c r="ALN117" s="159"/>
      <c r="ALO117" s="159"/>
      <c r="ALP117" s="159"/>
      <c r="ALQ117" s="159"/>
      <c r="ALR117" s="159"/>
      <c r="ALS117" s="159"/>
      <c r="ALT117" s="159"/>
      <c r="ALU117" s="159"/>
      <c r="ALV117" s="159"/>
      <c r="ALW117" s="159"/>
      <c r="ALX117" s="159"/>
      <c r="ALY117" s="159"/>
      <c r="ALZ117" s="159"/>
      <c r="AMA117" s="159"/>
      <c r="AMB117" s="159"/>
      <c r="AMC117" s="159"/>
      <c r="AMD117" s="159"/>
      <c r="AME117" s="159"/>
      <c r="AMF117" s="159"/>
      <c r="AMG117" s="159"/>
      <c r="AMH117" s="159"/>
      <c r="AMI117" s="159"/>
      <c r="AMJ117" s="159"/>
      <c r="AMK117" s="159"/>
      <c r="AML117" s="159"/>
      <c r="AMM117" s="159"/>
      <c r="AMN117" s="159"/>
      <c r="AMO117" s="159"/>
    </row>
    <row r="118" spans="1:1029" s="161" customFormat="1" ht="26.25" thickBot="1" x14ac:dyDescent="0.3">
      <c r="A118" s="127">
        <v>46185</v>
      </c>
      <c r="B118" s="151" t="s">
        <v>141</v>
      </c>
      <c r="C118" s="151" t="s">
        <v>57</v>
      </c>
      <c r="D118" s="162" t="s">
        <v>52</v>
      </c>
      <c r="E118" s="150" t="s">
        <v>29</v>
      </c>
      <c r="F118" s="151" t="s">
        <v>106</v>
      </c>
      <c r="G118" s="151" t="s">
        <v>52</v>
      </c>
      <c r="H118" s="145">
        <f t="shared" si="8"/>
        <v>0.5</v>
      </c>
      <c r="I118" s="130" t="s">
        <v>8</v>
      </c>
      <c r="J118" s="131" t="s">
        <v>38</v>
      </c>
      <c r="K118" s="131" t="s">
        <v>16</v>
      </c>
      <c r="L118" s="145" t="b">
        <f t="shared" si="9"/>
        <v>0</v>
      </c>
      <c r="M118" s="131" t="s">
        <v>8</v>
      </c>
      <c r="N118" s="131" t="s">
        <v>82</v>
      </c>
      <c r="O118" s="131" t="s">
        <v>69</v>
      </c>
      <c r="P118" s="145" t="b">
        <f t="shared" si="10"/>
        <v>0</v>
      </c>
      <c r="Q118" s="152" t="s">
        <v>73</v>
      </c>
      <c r="R118" s="151" t="s">
        <v>57</v>
      </c>
      <c r="S118" s="151" t="s">
        <v>34</v>
      </c>
      <c r="T118" s="145">
        <f t="shared" si="11"/>
        <v>0.5</v>
      </c>
      <c r="U118" s="159"/>
      <c r="V118" s="159"/>
      <c r="W118" s="159"/>
      <c r="X118" s="159"/>
      <c r="Y118" s="159"/>
      <c r="Z118" s="159"/>
      <c r="AA118" s="159"/>
      <c r="AB118" s="159"/>
      <c r="AC118" s="159"/>
      <c r="AD118" s="159"/>
      <c r="AE118" s="159"/>
      <c r="AF118" s="159"/>
      <c r="AG118" s="159"/>
      <c r="AH118" s="159"/>
      <c r="AI118" s="159"/>
      <c r="AJ118" s="159"/>
      <c r="AK118" s="159"/>
      <c r="AL118" s="159"/>
      <c r="AM118" s="159"/>
      <c r="AN118" s="159"/>
      <c r="AO118" s="159"/>
      <c r="AP118" s="159"/>
      <c r="AQ118" s="159"/>
      <c r="AR118" s="159"/>
      <c r="AS118" s="159"/>
      <c r="AT118" s="159"/>
      <c r="AU118" s="159"/>
      <c r="AV118" s="159"/>
      <c r="AW118" s="159"/>
      <c r="AX118" s="159"/>
      <c r="AY118" s="159"/>
      <c r="AZ118" s="159"/>
      <c r="BA118" s="159"/>
      <c r="BB118" s="159"/>
      <c r="BC118" s="159"/>
      <c r="BD118" s="159"/>
      <c r="BE118" s="159"/>
      <c r="BF118" s="159"/>
      <c r="BG118" s="159"/>
      <c r="BH118" s="159"/>
      <c r="BI118" s="159"/>
      <c r="BJ118" s="159"/>
      <c r="BK118" s="159"/>
      <c r="BL118" s="159"/>
      <c r="BM118" s="159"/>
      <c r="BN118" s="159"/>
      <c r="BO118" s="159"/>
      <c r="BP118" s="159"/>
      <c r="BQ118" s="159"/>
      <c r="BR118" s="159"/>
      <c r="BS118" s="159"/>
      <c r="BT118" s="159"/>
      <c r="BU118" s="159"/>
      <c r="BV118" s="159"/>
      <c r="BW118" s="159"/>
      <c r="BX118" s="159"/>
      <c r="BY118" s="159"/>
      <c r="BZ118" s="159"/>
      <c r="CA118" s="159"/>
      <c r="CB118" s="159"/>
      <c r="CC118" s="159"/>
      <c r="CD118" s="159"/>
      <c r="CE118" s="159"/>
      <c r="CF118" s="159"/>
      <c r="CG118" s="159"/>
      <c r="CH118" s="159"/>
      <c r="CI118" s="159"/>
      <c r="CJ118" s="159"/>
      <c r="CK118" s="159"/>
      <c r="CL118" s="159"/>
      <c r="CM118" s="159"/>
      <c r="CN118" s="159"/>
      <c r="CO118" s="159"/>
      <c r="CP118" s="159"/>
      <c r="CQ118" s="159"/>
      <c r="CR118" s="159"/>
      <c r="CS118" s="159"/>
      <c r="CT118" s="159"/>
      <c r="CU118" s="159"/>
      <c r="CV118" s="159"/>
      <c r="CW118" s="159"/>
      <c r="CX118" s="159"/>
      <c r="CY118" s="159"/>
      <c r="CZ118" s="159"/>
      <c r="DA118" s="159"/>
      <c r="DB118" s="159"/>
      <c r="DC118" s="159"/>
      <c r="DD118" s="159"/>
      <c r="DE118" s="159"/>
      <c r="DF118" s="159"/>
      <c r="DG118" s="159"/>
      <c r="DH118" s="159"/>
      <c r="DI118" s="159"/>
      <c r="DJ118" s="159"/>
      <c r="DK118" s="159"/>
      <c r="DL118" s="159"/>
      <c r="DM118" s="159"/>
      <c r="DN118" s="159"/>
      <c r="DO118" s="159"/>
      <c r="DP118" s="159"/>
      <c r="DQ118" s="159"/>
      <c r="DR118" s="159"/>
      <c r="DS118" s="159"/>
      <c r="DT118" s="159"/>
      <c r="DU118" s="159"/>
      <c r="DV118" s="159"/>
      <c r="DW118" s="159"/>
      <c r="DX118" s="159"/>
      <c r="DY118" s="159"/>
      <c r="DZ118" s="159"/>
      <c r="EA118" s="159"/>
      <c r="EB118" s="159"/>
      <c r="EC118" s="159"/>
      <c r="ED118" s="159"/>
      <c r="EE118" s="159"/>
      <c r="EF118" s="159"/>
      <c r="EG118" s="159"/>
      <c r="EH118" s="159"/>
      <c r="EI118" s="159"/>
      <c r="EJ118" s="159"/>
      <c r="EK118" s="159"/>
      <c r="EL118" s="159"/>
      <c r="EM118" s="159"/>
      <c r="EN118" s="159"/>
      <c r="EO118" s="159"/>
      <c r="EP118" s="159"/>
      <c r="EQ118" s="159"/>
      <c r="ER118" s="159"/>
      <c r="ES118" s="159"/>
      <c r="ET118" s="159"/>
      <c r="EU118" s="159"/>
      <c r="EV118" s="159"/>
      <c r="EW118" s="159"/>
      <c r="EX118" s="159"/>
      <c r="EY118" s="159"/>
      <c r="EZ118" s="159"/>
      <c r="FA118" s="159"/>
      <c r="FB118" s="159"/>
      <c r="FC118" s="159"/>
      <c r="FD118" s="159"/>
      <c r="FE118" s="159"/>
      <c r="FF118" s="159"/>
      <c r="FG118" s="159"/>
      <c r="FH118" s="159"/>
      <c r="FI118" s="159"/>
      <c r="FJ118" s="159"/>
      <c r="FK118" s="159"/>
      <c r="FL118" s="159"/>
      <c r="FM118" s="159"/>
      <c r="FN118" s="159"/>
      <c r="FO118" s="159"/>
      <c r="FP118" s="159"/>
      <c r="FQ118" s="159"/>
      <c r="FR118" s="159"/>
      <c r="FS118" s="159"/>
      <c r="FT118" s="159"/>
      <c r="FU118" s="159"/>
      <c r="FV118" s="159"/>
      <c r="FW118" s="159"/>
      <c r="FX118" s="159"/>
      <c r="FY118" s="159"/>
      <c r="FZ118" s="159"/>
      <c r="GA118" s="159"/>
      <c r="GB118" s="159"/>
      <c r="GC118" s="159"/>
      <c r="GD118" s="159"/>
      <c r="GE118" s="159"/>
      <c r="GF118" s="159"/>
      <c r="GG118" s="159"/>
      <c r="GH118" s="159"/>
      <c r="GI118" s="159"/>
      <c r="GJ118" s="159"/>
      <c r="GK118" s="159"/>
      <c r="GL118" s="159"/>
      <c r="GM118" s="159"/>
      <c r="GN118" s="159"/>
      <c r="GO118" s="159"/>
      <c r="GP118" s="159"/>
      <c r="GQ118" s="159"/>
      <c r="GR118" s="159"/>
      <c r="GS118" s="159"/>
      <c r="GT118" s="159"/>
      <c r="GU118" s="159"/>
      <c r="GV118" s="159"/>
      <c r="GW118" s="159"/>
      <c r="GX118" s="159"/>
      <c r="GY118" s="159"/>
      <c r="GZ118" s="159"/>
      <c r="HA118" s="159"/>
      <c r="HB118" s="159"/>
      <c r="HC118" s="159"/>
      <c r="HD118" s="159"/>
      <c r="HE118" s="159"/>
      <c r="HF118" s="159"/>
      <c r="HG118" s="159"/>
      <c r="HH118" s="159"/>
      <c r="HI118" s="159"/>
      <c r="HJ118" s="159"/>
      <c r="HK118" s="159"/>
      <c r="HL118" s="159"/>
      <c r="HM118" s="159"/>
      <c r="HN118" s="159"/>
      <c r="HO118" s="159"/>
      <c r="HP118" s="159"/>
      <c r="HQ118" s="159"/>
      <c r="HR118" s="159"/>
      <c r="HS118" s="159"/>
      <c r="HT118" s="159"/>
      <c r="HU118" s="159"/>
      <c r="HV118" s="159"/>
      <c r="HW118" s="159"/>
      <c r="HX118" s="159"/>
      <c r="HY118" s="159"/>
      <c r="HZ118" s="159"/>
      <c r="IA118" s="159"/>
      <c r="IB118" s="159"/>
      <c r="IC118" s="159"/>
      <c r="ID118" s="159"/>
      <c r="IE118" s="159"/>
      <c r="IF118" s="159"/>
      <c r="IG118" s="159"/>
      <c r="IH118" s="159"/>
      <c r="II118" s="159"/>
      <c r="IJ118" s="159"/>
      <c r="IK118" s="159"/>
      <c r="IL118" s="159"/>
      <c r="IM118" s="159"/>
      <c r="IN118" s="159"/>
      <c r="IO118" s="159"/>
      <c r="IP118" s="159"/>
      <c r="IQ118" s="159"/>
      <c r="IR118" s="159"/>
      <c r="IS118" s="159"/>
      <c r="IT118" s="159"/>
      <c r="IU118" s="159"/>
      <c r="IV118" s="159"/>
      <c r="IW118" s="159"/>
      <c r="IX118" s="159"/>
      <c r="IY118" s="159"/>
      <c r="IZ118" s="159"/>
      <c r="JA118" s="159"/>
      <c r="JB118" s="159"/>
      <c r="JC118" s="159"/>
      <c r="JD118" s="159"/>
      <c r="JE118" s="159"/>
      <c r="JF118" s="159"/>
      <c r="JG118" s="159"/>
      <c r="JH118" s="159"/>
      <c r="JI118" s="159"/>
      <c r="JJ118" s="159"/>
      <c r="JK118" s="159"/>
      <c r="JL118" s="159"/>
      <c r="JM118" s="159"/>
      <c r="JN118" s="159"/>
      <c r="JO118" s="159"/>
      <c r="JP118" s="159"/>
      <c r="JQ118" s="159"/>
      <c r="JR118" s="159"/>
      <c r="JS118" s="159"/>
      <c r="JT118" s="159"/>
      <c r="JU118" s="159"/>
      <c r="JV118" s="159"/>
      <c r="JW118" s="159"/>
      <c r="JX118" s="159"/>
      <c r="JY118" s="159"/>
      <c r="JZ118" s="159"/>
      <c r="KA118" s="159"/>
      <c r="KB118" s="159"/>
      <c r="KC118" s="159"/>
      <c r="KD118" s="159"/>
      <c r="KE118" s="159"/>
      <c r="KF118" s="159"/>
      <c r="KG118" s="159"/>
      <c r="KH118" s="159"/>
      <c r="KI118" s="159"/>
      <c r="KJ118" s="159"/>
      <c r="KK118" s="159"/>
      <c r="KL118" s="159"/>
      <c r="KM118" s="159"/>
      <c r="KN118" s="159"/>
      <c r="KO118" s="159"/>
      <c r="KP118" s="159"/>
      <c r="KQ118" s="159"/>
      <c r="KR118" s="159"/>
      <c r="KS118" s="159"/>
      <c r="KT118" s="159"/>
      <c r="KU118" s="159"/>
      <c r="KV118" s="159"/>
      <c r="KW118" s="159"/>
      <c r="KX118" s="159"/>
      <c r="KY118" s="159"/>
      <c r="KZ118" s="159"/>
      <c r="LA118" s="159"/>
      <c r="LB118" s="159"/>
      <c r="LC118" s="159"/>
      <c r="LD118" s="159"/>
      <c r="LE118" s="159"/>
      <c r="LF118" s="159"/>
      <c r="LG118" s="159"/>
      <c r="LH118" s="159"/>
      <c r="LI118" s="159"/>
      <c r="LJ118" s="159"/>
      <c r="LK118" s="159"/>
      <c r="LL118" s="159"/>
      <c r="LM118" s="159"/>
      <c r="LN118" s="159"/>
      <c r="LO118" s="159"/>
      <c r="LP118" s="159"/>
      <c r="LQ118" s="159"/>
      <c r="LR118" s="159"/>
      <c r="LS118" s="159"/>
      <c r="LT118" s="159"/>
      <c r="LU118" s="159"/>
      <c r="LV118" s="159"/>
      <c r="LW118" s="159"/>
      <c r="LX118" s="159"/>
      <c r="LY118" s="159"/>
      <c r="LZ118" s="159"/>
      <c r="MA118" s="159"/>
      <c r="MB118" s="159"/>
      <c r="MC118" s="159"/>
      <c r="MD118" s="159"/>
      <c r="ME118" s="159"/>
      <c r="MF118" s="159"/>
      <c r="MG118" s="159"/>
      <c r="MH118" s="159"/>
      <c r="MI118" s="159"/>
      <c r="MJ118" s="159"/>
      <c r="MK118" s="159"/>
      <c r="ML118" s="159"/>
      <c r="MM118" s="159"/>
      <c r="MN118" s="159"/>
      <c r="MO118" s="159"/>
      <c r="MP118" s="159"/>
      <c r="MQ118" s="159"/>
      <c r="MR118" s="159"/>
      <c r="MS118" s="159"/>
      <c r="MT118" s="159"/>
      <c r="MU118" s="159"/>
      <c r="MV118" s="159"/>
      <c r="MW118" s="159"/>
      <c r="MX118" s="159"/>
      <c r="MY118" s="159"/>
      <c r="MZ118" s="159"/>
      <c r="NA118" s="159"/>
      <c r="NB118" s="159"/>
      <c r="NC118" s="159"/>
      <c r="ND118" s="159"/>
      <c r="NE118" s="159"/>
      <c r="NF118" s="159"/>
      <c r="NG118" s="159"/>
      <c r="NH118" s="159"/>
      <c r="NI118" s="159"/>
      <c r="NJ118" s="159"/>
      <c r="NK118" s="159"/>
      <c r="NL118" s="159"/>
      <c r="NM118" s="159"/>
      <c r="NN118" s="159"/>
      <c r="NO118" s="159"/>
      <c r="NP118" s="159"/>
      <c r="NQ118" s="159"/>
      <c r="NR118" s="159"/>
      <c r="NS118" s="159"/>
      <c r="NT118" s="159"/>
      <c r="NU118" s="159"/>
      <c r="NV118" s="159"/>
      <c r="NW118" s="159"/>
      <c r="NX118" s="159"/>
      <c r="NY118" s="159"/>
      <c r="NZ118" s="159"/>
      <c r="OA118" s="159"/>
      <c r="OB118" s="159"/>
      <c r="OC118" s="159"/>
      <c r="OD118" s="159"/>
      <c r="OE118" s="159"/>
      <c r="OF118" s="159"/>
      <c r="OG118" s="159"/>
      <c r="OH118" s="159"/>
      <c r="OI118" s="159"/>
      <c r="OJ118" s="159"/>
      <c r="OK118" s="159"/>
      <c r="OL118" s="159"/>
      <c r="OM118" s="159"/>
      <c r="ON118" s="159"/>
      <c r="OO118" s="159"/>
      <c r="OP118" s="159"/>
      <c r="OQ118" s="159"/>
      <c r="OR118" s="159"/>
      <c r="OS118" s="159"/>
      <c r="OT118" s="159"/>
      <c r="OU118" s="159"/>
      <c r="OV118" s="159"/>
      <c r="OW118" s="159"/>
      <c r="OX118" s="159"/>
      <c r="OY118" s="159"/>
      <c r="OZ118" s="159"/>
      <c r="PA118" s="159"/>
      <c r="PB118" s="159"/>
      <c r="PC118" s="159"/>
      <c r="PD118" s="159"/>
      <c r="PE118" s="159"/>
      <c r="PF118" s="159"/>
      <c r="PG118" s="159"/>
      <c r="PH118" s="159"/>
      <c r="PI118" s="159"/>
      <c r="PJ118" s="159"/>
      <c r="PK118" s="159"/>
      <c r="PL118" s="159"/>
      <c r="PM118" s="159"/>
      <c r="PN118" s="159"/>
      <c r="PO118" s="159"/>
      <c r="PP118" s="159"/>
      <c r="PQ118" s="159"/>
      <c r="PR118" s="159"/>
      <c r="PS118" s="159"/>
      <c r="PT118" s="159"/>
      <c r="PU118" s="159"/>
      <c r="PV118" s="159"/>
      <c r="PW118" s="159"/>
      <c r="PX118" s="159"/>
      <c r="PY118" s="159"/>
      <c r="PZ118" s="159"/>
      <c r="QA118" s="159"/>
      <c r="QB118" s="159"/>
      <c r="QC118" s="159"/>
      <c r="QD118" s="159"/>
      <c r="QE118" s="159"/>
      <c r="QF118" s="159"/>
      <c r="QG118" s="159"/>
      <c r="QH118" s="159"/>
      <c r="QI118" s="159"/>
      <c r="QJ118" s="159"/>
      <c r="QK118" s="159"/>
      <c r="QL118" s="159"/>
      <c r="QM118" s="159"/>
      <c r="QN118" s="159"/>
      <c r="QO118" s="159"/>
      <c r="QP118" s="159"/>
      <c r="QQ118" s="159"/>
      <c r="QR118" s="159"/>
      <c r="QS118" s="159"/>
      <c r="QT118" s="159"/>
      <c r="QU118" s="159"/>
      <c r="QV118" s="159"/>
      <c r="QW118" s="159"/>
      <c r="QX118" s="159"/>
      <c r="QY118" s="159"/>
      <c r="QZ118" s="159"/>
      <c r="RA118" s="159"/>
      <c r="RB118" s="159"/>
      <c r="RC118" s="159"/>
      <c r="RD118" s="159"/>
      <c r="RE118" s="159"/>
      <c r="RF118" s="159"/>
      <c r="RG118" s="159"/>
      <c r="RH118" s="159"/>
      <c r="RI118" s="159"/>
      <c r="RJ118" s="159"/>
      <c r="RK118" s="159"/>
      <c r="RL118" s="159"/>
      <c r="RM118" s="159"/>
      <c r="RN118" s="159"/>
      <c r="RO118" s="159"/>
      <c r="RP118" s="159"/>
      <c r="RQ118" s="159"/>
      <c r="RR118" s="159"/>
      <c r="RS118" s="159"/>
      <c r="RT118" s="159"/>
      <c r="RU118" s="159"/>
      <c r="RV118" s="159"/>
      <c r="RW118" s="159"/>
      <c r="RX118" s="159"/>
      <c r="RY118" s="159"/>
      <c r="RZ118" s="159"/>
      <c r="SA118" s="159"/>
      <c r="SB118" s="159"/>
      <c r="SC118" s="159"/>
      <c r="SD118" s="159"/>
      <c r="SE118" s="159"/>
      <c r="SF118" s="159"/>
      <c r="SG118" s="159"/>
      <c r="SH118" s="159"/>
      <c r="SI118" s="159"/>
      <c r="SJ118" s="159"/>
      <c r="SK118" s="159"/>
      <c r="SL118" s="159"/>
      <c r="SM118" s="159"/>
      <c r="SN118" s="159"/>
      <c r="SO118" s="159"/>
      <c r="SP118" s="159"/>
      <c r="SQ118" s="159"/>
      <c r="SR118" s="159"/>
      <c r="SS118" s="159"/>
      <c r="ST118" s="159"/>
      <c r="SU118" s="159"/>
      <c r="SV118" s="159"/>
      <c r="SW118" s="159"/>
      <c r="SX118" s="159"/>
      <c r="SY118" s="159"/>
      <c r="SZ118" s="159"/>
      <c r="TA118" s="159"/>
      <c r="TB118" s="159"/>
      <c r="TC118" s="159"/>
      <c r="TD118" s="159"/>
      <c r="TE118" s="159"/>
      <c r="TF118" s="159"/>
      <c r="TG118" s="159"/>
      <c r="TH118" s="159"/>
      <c r="TI118" s="159"/>
      <c r="TJ118" s="159"/>
      <c r="TK118" s="159"/>
      <c r="TL118" s="159"/>
      <c r="TM118" s="159"/>
      <c r="TN118" s="159"/>
      <c r="TO118" s="159"/>
      <c r="TP118" s="159"/>
      <c r="TQ118" s="159"/>
      <c r="TR118" s="159"/>
      <c r="TS118" s="159"/>
      <c r="TT118" s="159"/>
      <c r="TU118" s="159"/>
      <c r="TV118" s="159"/>
      <c r="TW118" s="159"/>
      <c r="TX118" s="159"/>
      <c r="TY118" s="159"/>
      <c r="TZ118" s="159"/>
      <c r="UA118" s="159"/>
      <c r="UB118" s="159"/>
      <c r="UC118" s="159"/>
      <c r="UD118" s="159"/>
      <c r="UE118" s="159"/>
      <c r="UF118" s="159"/>
      <c r="UG118" s="159"/>
      <c r="UH118" s="159"/>
      <c r="UI118" s="159"/>
      <c r="UJ118" s="159"/>
      <c r="UK118" s="159"/>
      <c r="UL118" s="159"/>
      <c r="UM118" s="159"/>
      <c r="UN118" s="159"/>
      <c r="UO118" s="159"/>
      <c r="UP118" s="159"/>
      <c r="UQ118" s="159"/>
      <c r="UR118" s="159"/>
      <c r="US118" s="159"/>
      <c r="UT118" s="159"/>
      <c r="UU118" s="159"/>
      <c r="UV118" s="159"/>
      <c r="UW118" s="159"/>
      <c r="UX118" s="159"/>
      <c r="UY118" s="159"/>
      <c r="UZ118" s="159"/>
      <c r="VA118" s="159"/>
      <c r="VB118" s="159"/>
      <c r="VC118" s="159"/>
      <c r="VD118" s="159"/>
      <c r="VE118" s="159"/>
      <c r="VF118" s="159"/>
      <c r="VG118" s="159"/>
      <c r="VH118" s="159"/>
      <c r="VI118" s="159"/>
      <c r="VJ118" s="159"/>
      <c r="VK118" s="159"/>
      <c r="VL118" s="159"/>
      <c r="VM118" s="159"/>
      <c r="VN118" s="159"/>
      <c r="VO118" s="159"/>
      <c r="VP118" s="159"/>
      <c r="VQ118" s="159"/>
      <c r="VR118" s="159"/>
      <c r="VS118" s="159"/>
      <c r="VT118" s="159"/>
      <c r="VU118" s="159"/>
      <c r="VV118" s="159"/>
      <c r="VW118" s="159"/>
      <c r="VX118" s="159"/>
      <c r="VY118" s="159"/>
      <c r="VZ118" s="159"/>
      <c r="WA118" s="159"/>
      <c r="WB118" s="159"/>
      <c r="WC118" s="159"/>
      <c r="WD118" s="159"/>
      <c r="WE118" s="159"/>
      <c r="WF118" s="159"/>
      <c r="WG118" s="159"/>
      <c r="WH118" s="159"/>
      <c r="WI118" s="159"/>
      <c r="WJ118" s="159"/>
      <c r="WK118" s="159"/>
      <c r="WL118" s="159"/>
      <c r="WM118" s="159"/>
      <c r="WN118" s="159"/>
      <c r="WO118" s="159"/>
      <c r="WP118" s="159"/>
      <c r="WQ118" s="159"/>
      <c r="WR118" s="159"/>
      <c r="WS118" s="159"/>
      <c r="WT118" s="159"/>
      <c r="WU118" s="159"/>
      <c r="WV118" s="159"/>
      <c r="WW118" s="159"/>
      <c r="WX118" s="159"/>
      <c r="WY118" s="159"/>
      <c r="WZ118" s="159"/>
      <c r="XA118" s="159"/>
      <c r="XB118" s="159"/>
      <c r="XC118" s="159"/>
      <c r="XD118" s="159"/>
      <c r="XE118" s="159"/>
      <c r="XF118" s="159"/>
      <c r="XG118" s="159"/>
      <c r="XH118" s="159"/>
      <c r="XI118" s="159"/>
      <c r="XJ118" s="159"/>
      <c r="XK118" s="159"/>
      <c r="XL118" s="159"/>
      <c r="XM118" s="159"/>
      <c r="XN118" s="159"/>
      <c r="XO118" s="159"/>
      <c r="XP118" s="159"/>
      <c r="XQ118" s="159"/>
      <c r="XR118" s="159"/>
      <c r="XS118" s="159"/>
      <c r="XT118" s="159"/>
      <c r="XU118" s="159"/>
      <c r="XV118" s="159"/>
      <c r="XW118" s="159"/>
      <c r="XX118" s="159"/>
      <c r="XY118" s="159"/>
      <c r="XZ118" s="159"/>
      <c r="YA118" s="159"/>
      <c r="YB118" s="159"/>
      <c r="YC118" s="159"/>
      <c r="YD118" s="159"/>
      <c r="YE118" s="159"/>
      <c r="YF118" s="159"/>
      <c r="YG118" s="159"/>
      <c r="YH118" s="159"/>
      <c r="YI118" s="159"/>
      <c r="YJ118" s="159"/>
      <c r="YK118" s="159"/>
      <c r="YL118" s="159"/>
      <c r="YM118" s="159"/>
      <c r="YN118" s="159"/>
      <c r="YO118" s="159"/>
      <c r="YP118" s="159"/>
      <c r="YQ118" s="159"/>
      <c r="YR118" s="159"/>
      <c r="YS118" s="159"/>
      <c r="YT118" s="159"/>
      <c r="YU118" s="159"/>
      <c r="YV118" s="159"/>
      <c r="YW118" s="159"/>
      <c r="YX118" s="159"/>
      <c r="YY118" s="159"/>
      <c r="YZ118" s="159"/>
      <c r="ZA118" s="159"/>
      <c r="ZB118" s="159"/>
      <c r="ZC118" s="159"/>
      <c r="ZD118" s="159"/>
      <c r="ZE118" s="159"/>
      <c r="ZF118" s="159"/>
      <c r="ZG118" s="159"/>
      <c r="ZH118" s="159"/>
      <c r="ZI118" s="159"/>
      <c r="ZJ118" s="159"/>
      <c r="ZK118" s="159"/>
      <c r="ZL118" s="159"/>
      <c r="ZM118" s="159"/>
      <c r="ZN118" s="159"/>
      <c r="ZO118" s="159"/>
      <c r="ZP118" s="159"/>
      <c r="ZQ118" s="159"/>
      <c r="ZR118" s="159"/>
      <c r="ZS118" s="159"/>
      <c r="ZT118" s="159"/>
      <c r="ZU118" s="159"/>
      <c r="ZV118" s="159"/>
      <c r="ZW118" s="159"/>
      <c r="ZX118" s="159"/>
      <c r="ZY118" s="159"/>
      <c r="ZZ118" s="159"/>
      <c r="AAA118" s="159"/>
      <c r="AAB118" s="159"/>
      <c r="AAC118" s="159"/>
      <c r="AAD118" s="159"/>
      <c r="AAE118" s="159"/>
      <c r="AAF118" s="159"/>
      <c r="AAG118" s="159"/>
      <c r="AAH118" s="159"/>
      <c r="AAI118" s="159"/>
      <c r="AAJ118" s="159"/>
      <c r="AAK118" s="159"/>
      <c r="AAL118" s="159"/>
      <c r="AAM118" s="159"/>
      <c r="AAN118" s="159"/>
      <c r="AAO118" s="159"/>
      <c r="AAP118" s="159"/>
      <c r="AAQ118" s="159"/>
      <c r="AAR118" s="159"/>
      <c r="AAS118" s="159"/>
      <c r="AAT118" s="159"/>
      <c r="AAU118" s="159"/>
      <c r="AAV118" s="159"/>
      <c r="AAW118" s="159"/>
      <c r="AAX118" s="159"/>
      <c r="AAY118" s="159"/>
      <c r="AAZ118" s="159"/>
      <c r="ABA118" s="159"/>
      <c r="ABB118" s="159"/>
      <c r="ABC118" s="159"/>
      <c r="ABD118" s="159"/>
      <c r="ABE118" s="159"/>
      <c r="ABF118" s="159"/>
      <c r="ABG118" s="159"/>
      <c r="ABH118" s="159"/>
      <c r="ABI118" s="159"/>
      <c r="ABJ118" s="159"/>
      <c r="ABK118" s="159"/>
      <c r="ABL118" s="159"/>
      <c r="ABM118" s="159"/>
      <c r="ABN118" s="159"/>
      <c r="ABO118" s="159"/>
      <c r="ABP118" s="159"/>
      <c r="ABQ118" s="159"/>
      <c r="ABR118" s="159"/>
      <c r="ABS118" s="159"/>
      <c r="ABT118" s="159"/>
      <c r="ABU118" s="159"/>
      <c r="ABV118" s="159"/>
      <c r="ABW118" s="159"/>
      <c r="ABX118" s="159"/>
      <c r="ABY118" s="159"/>
      <c r="ABZ118" s="159"/>
      <c r="ACA118" s="159"/>
      <c r="ACB118" s="159"/>
      <c r="ACC118" s="159"/>
      <c r="ACD118" s="159"/>
      <c r="ACE118" s="159"/>
      <c r="ACF118" s="159"/>
      <c r="ACG118" s="159"/>
      <c r="ACH118" s="159"/>
      <c r="ACI118" s="159"/>
      <c r="ACJ118" s="159"/>
      <c r="ACK118" s="159"/>
      <c r="ACL118" s="159"/>
      <c r="ACM118" s="159"/>
      <c r="ACN118" s="159"/>
      <c r="ACO118" s="159"/>
      <c r="ACP118" s="159"/>
      <c r="ACQ118" s="159"/>
      <c r="ACR118" s="159"/>
      <c r="ACS118" s="159"/>
      <c r="ACT118" s="159"/>
      <c r="ACU118" s="159"/>
      <c r="ACV118" s="159"/>
      <c r="ACW118" s="159"/>
      <c r="ACX118" s="159"/>
      <c r="ACY118" s="159"/>
      <c r="ACZ118" s="159"/>
      <c r="ADA118" s="159"/>
      <c r="ADB118" s="159"/>
      <c r="ADC118" s="159"/>
      <c r="ADD118" s="159"/>
      <c r="ADE118" s="159"/>
      <c r="ADF118" s="159"/>
      <c r="ADG118" s="159"/>
      <c r="ADH118" s="159"/>
      <c r="ADI118" s="159"/>
      <c r="ADJ118" s="159"/>
      <c r="ADK118" s="159"/>
      <c r="ADL118" s="159"/>
      <c r="ADM118" s="159"/>
      <c r="ADN118" s="159"/>
      <c r="ADO118" s="159"/>
      <c r="ADP118" s="159"/>
      <c r="ADQ118" s="159"/>
      <c r="ADR118" s="159"/>
      <c r="ADS118" s="159"/>
      <c r="ADT118" s="159"/>
      <c r="ADU118" s="159"/>
      <c r="ADV118" s="159"/>
      <c r="ADW118" s="159"/>
      <c r="ADX118" s="159"/>
      <c r="ADY118" s="159"/>
      <c r="ADZ118" s="159"/>
      <c r="AEA118" s="159"/>
      <c r="AEB118" s="159"/>
      <c r="AEC118" s="159"/>
      <c r="AED118" s="159"/>
      <c r="AEE118" s="159"/>
      <c r="AEF118" s="159"/>
      <c r="AEG118" s="159"/>
      <c r="AEH118" s="159"/>
      <c r="AEI118" s="159"/>
      <c r="AEJ118" s="159"/>
      <c r="AEK118" s="159"/>
      <c r="AEL118" s="159"/>
      <c r="AEM118" s="159"/>
      <c r="AEN118" s="159"/>
      <c r="AEO118" s="159"/>
      <c r="AEP118" s="159"/>
      <c r="AEQ118" s="159"/>
      <c r="AER118" s="159"/>
      <c r="AES118" s="159"/>
      <c r="AET118" s="159"/>
      <c r="AEU118" s="159"/>
      <c r="AEV118" s="159"/>
      <c r="AEW118" s="159"/>
      <c r="AEX118" s="159"/>
      <c r="AEY118" s="159"/>
      <c r="AEZ118" s="159"/>
      <c r="AFA118" s="159"/>
      <c r="AFB118" s="159"/>
      <c r="AFC118" s="159"/>
      <c r="AFD118" s="159"/>
      <c r="AFE118" s="159"/>
      <c r="AFF118" s="159"/>
      <c r="AFG118" s="159"/>
      <c r="AFH118" s="159"/>
      <c r="AFI118" s="159"/>
      <c r="AFJ118" s="159"/>
      <c r="AFK118" s="159"/>
      <c r="AFL118" s="159"/>
      <c r="AFM118" s="159"/>
      <c r="AFN118" s="159"/>
      <c r="AFO118" s="159"/>
      <c r="AFP118" s="159"/>
      <c r="AFQ118" s="159"/>
      <c r="AFR118" s="159"/>
      <c r="AFS118" s="159"/>
      <c r="AFT118" s="159"/>
      <c r="AFU118" s="159"/>
      <c r="AFV118" s="159"/>
      <c r="AFW118" s="159"/>
      <c r="AFX118" s="159"/>
      <c r="AFY118" s="159"/>
      <c r="AFZ118" s="159"/>
      <c r="AGA118" s="159"/>
      <c r="AGB118" s="159"/>
      <c r="AGC118" s="159"/>
      <c r="AGD118" s="159"/>
      <c r="AGE118" s="159"/>
      <c r="AGF118" s="159"/>
      <c r="AGG118" s="159"/>
      <c r="AGH118" s="159"/>
      <c r="AGI118" s="159"/>
      <c r="AGJ118" s="159"/>
      <c r="AGK118" s="159"/>
      <c r="AGL118" s="159"/>
      <c r="AGM118" s="159"/>
      <c r="AGN118" s="159"/>
      <c r="AGO118" s="159"/>
      <c r="AGP118" s="159"/>
      <c r="AGQ118" s="159"/>
      <c r="AGR118" s="159"/>
      <c r="AGS118" s="159"/>
      <c r="AGT118" s="159"/>
      <c r="AGU118" s="159"/>
      <c r="AGV118" s="159"/>
      <c r="AGW118" s="159"/>
      <c r="AGX118" s="159"/>
      <c r="AGY118" s="159"/>
      <c r="AGZ118" s="159"/>
      <c r="AHA118" s="159"/>
      <c r="AHB118" s="159"/>
      <c r="AHC118" s="159"/>
      <c r="AHD118" s="159"/>
      <c r="AHE118" s="159"/>
      <c r="AHF118" s="159"/>
      <c r="AHG118" s="159"/>
      <c r="AHH118" s="159"/>
      <c r="AHI118" s="159"/>
      <c r="AHJ118" s="159"/>
      <c r="AHK118" s="159"/>
      <c r="AHL118" s="159"/>
      <c r="AHM118" s="159"/>
      <c r="AHN118" s="159"/>
      <c r="AHO118" s="159"/>
      <c r="AHP118" s="159"/>
      <c r="AHQ118" s="159"/>
      <c r="AHR118" s="159"/>
      <c r="AHS118" s="159"/>
      <c r="AHT118" s="159"/>
      <c r="AHU118" s="159"/>
      <c r="AHV118" s="159"/>
      <c r="AHW118" s="159"/>
      <c r="AHX118" s="159"/>
      <c r="AHY118" s="159"/>
      <c r="AHZ118" s="159"/>
      <c r="AIA118" s="159"/>
      <c r="AIB118" s="159"/>
      <c r="AIC118" s="159"/>
      <c r="AID118" s="159"/>
      <c r="AIE118" s="159"/>
      <c r="AIF118" s="159"/>
      <c r="AIG118" s="159"/>
      <c r="AIH118" s="159"/>
      <c r="AII118" s="159"/>
      <c r="AIJ118" s="159"/>
      <c r="AIK118" s="159"/>
      <c r="AIL118" s="159"/>
      <c r="AIM118" s="159"/>
      <c r="AIN118" s="159"/>
      <c r="AIO118" s="159"/>
      <c r="AIP118" s="159"/>
      <c r="AIQ118" s="159"/>
      <c r="AIR118" s="159"/>
      <c r="AIS118" s="159"/>
      <c r="AIT118" s="159"/>
      <c r="AIU118" s="159"/>
      <c r="AIV118" s="159"/>
      <c r="AIW118" s="159"/>
      <c r="AIX118" s="159"/>
      <c r="AIY118" s="159"/>
      <c r="AIZ118" s="159"/>
      <c r="AJA118" s="159"/>
      <c r="AJB118" s="159"/>
      <c r="AJC118" s="159"/>
      <c r="AJD118" s="159"/>
      <c r="AJE118" s="159"/>
      <c r="AJF118" s="159"/>
      <c r="AJG118" s="159"/>
      <c r="AJH118" s="159"/>
      <c r="AJI118" s="159"/>
      <c r="AJJ118" s="159"/>
      <c r="AJK118" s="159"/>
      <c r="AJL118" s="159"/>
      <c r="AJM118" s="159"/>
      <c r="AJN118" s="159"/>
      <c r="AJO118" s="159"/>
      <c r="AJP118" s="159"/>
      <c r="AJQ118" s="159"/>
      <c r="AJR118" s="159"/>
      <c r="AJS118" s="159"/>
      <c r="AJT118" s="159"/>
      <c r="AJU118" s="159"/>
      <c r="AJV118" s="159"/>
      <c r="AJW118" s="159"/>
      <c r="AJX118" s="159"/>
      <c r="AJY118" s="159"/>
      <c r="AJZ118" s="159"/>
      <c r="AKA118" s="159"/>
      <c r="AKB118" s="159"/>
      <c r="AKC118" s="159"/>
      <c r="AKD118" s="159"/>
      <c r="AKE118" s="159"/>
      <c r="AKF118" s="159"/>
      <c r="AKG118" s="159"/>
      <c r="AKH118" s="159"/>
      <c r="AKI118" s="159"/>
      <c r="AKJ118" s="159"/>
      <c r="AKK118" s="159"/>
      <c r="AKL118" s="159"/>
      <c r="AKM118" s="159"/>
      <c r="AKN118" s="159"/>
      <c r="AKO118" s="159"/>
      <c r="AKP118" s="159"/>
      <c r="AKQ118" s="159"/>
      <c r="AKR118" s="159"/>
      <c r="AKS118" s="159"/>
      <c r="AKT118" s="159"/>
      <c r="AKU118" s="159"/>
      <c r="AKV118" s="159"/>
      <c r="AKW118" s="159"/>
      <c r="AKX118" s="159"/>
      <c r="AKY118" s="159"/>
      <c r="AKZ118" s="159"/>
      <c r="ALA118" s="159"/>
      <c r="ALB118" s="159"/>
      <c r="ALC118" s="159"/>
      <c r="ALD118" s="159"/>
      <c r="ALE118" s="159"/>
      <c r="ALF118" s="159"/>
      <c r="ALG118" s="159"/>
      <c r="ALH118" s="159"/>
      <c r="ALI118" s="159"/>
      <c r="ALJ118" s="159"/>
      <c r="ALK118" s="159"/>
      <c r="ALL118" s="159"/>
      <c r="ALM118" s="159"/>
      <c r="ALN118" s="159"/>
      <c r="ALO118" s="159"/>
      <c r="ALP118" s="159"/>
      <c r="ALQ118" s="159"/>
      <c r="ALR118" s="159"/>
      <c r="ALS118" s="159"/>
      <c r="ALT118" s="159"/>
      <c r="ALU118" s="159"/>
      <c r="ALV118" s="159"/>
      <c r="ALW118" s="159"/>
      <c r="ALX118" s="159"/>
      <c r="ALY118" s="159"/>
      <c r="ALZ118" s="159"/>
      <c r="AMA118" s="159"/>
      <c r="AMB118" s="159"/>
      <c r="AMC118" s="159"/>
      <c r="AMD118" s="159"/>
      <c r="AME118" s="159"/>
      <c r="AMF118" s="159"/>
      <c r="AMG118" s="159"/>
      <c r="AMH118" s="159"/>
      <c r="AMI118" s="159"/>
      <c r="AMJ118" s="159"/>
      <c r="AMK118" s="159"/>
      <c r="AML118" s="159"/>
      <c r="AMM118" s="159"/>
      <c r="AMN118" s="159"/>
      <c r="AMO118" s="159"/>
    </row>
    <row r="119" spans="1:1029" s="161" customFormat="1" ht="26.25" thickTop="1" x14ac:dyDescent="0.25">
      <c r="A119" s="138">
        <v>46188</v>
      </c>
      <c r="B119" s="119" t="s">
        <v>101</v>
      </c>
      <c r="C119" s="119" t="s">
        <v>117</v>
      </c>
      <c r="D119" s="139" t="s">
        <v>21</v>
      </c>
      <c r="E119" s="120" t="s">
        <v>149</v>
      </c>
      <c r="F119" s="119" t="s">
        <v>82</v>
      </c>
      <c r="G119" s="119" t="s">
        <v>168</v>
      </c>
      <c r="H119" s="146" t="b">
        <f t="shared" si="8"/>
        <v>0</v>
      </c>
      <c r="I119" s="121" t="s">
        <v>154</v>
      </c>
      <c r="J119" s="121" t="s">
        <v>51</v>
      </c>
      <c r="K119" s="121" t="s">
        <v>21</v>
      </c>
      <c r="L119" s="146">
        <f t="shared" si="9"/>
        <v>0.5</v>
      </c>
      <c r="M119" s="121" t="s">
        <v>42</v>
      </c>
      <c r="N119" s="121" t="s">
        <v>51</v>
      </c>
      <c r="O119" s="121" t="s">
        <v>21</v>
      </c>
      <c r="P119" s="146">
        <f t="shared" si="10"/>
        <v>0.5</v>
      </c>
      <c r="Q119" s="121" t="s">
        <v>73</v>
      </c>
      <c r="R119" s="119" t="s">
        <v>74</v>
      </c>
      <c r="S119" s="119" t="s">
        <v>21</v>
      </c>
      <c r="T119" s="146">
        <f t="shared" si="11"/>
        <v>0.5</v>
      </c>
      <c r="U119" s="159"/>
      <c r="V119" s="159"/>
      <c r="W119" s="159"/>
      <c r="X119" s="159"/>
      <c r="Y119" s="159"/>
      <c r="Z119" s="159"/>
      <c r="AA119" s="159"/>
      <c r="AB119" s="159"/>
      <c r="AC119" s="159"/>
      <c r="AD119" s="159"/>
      <c r="AE119" s="159"/>
      <c r="AF119" s="159"/>
      <c r="AG119" s="159"/>
      <c r="AH119" s="159"/>
      <c r="AI119" s="159"/>
      <c r="AJ119" s="159"/>
      <c r="AK119" s="159"/>
      <c r="AL119" s="159"/>
      <c r="AM119" s="159"/>
      <c r="AN119" s="159"/>
      <c r="AO119" s="159"/>
      <c r="AP119" s="159"/>
      <c r="AQ119" s="159"/>
      <c r="AR119" s="159"/>
      <c r="AS119" s="159"/>
      <c r="AT119" s="159"/>
      <c r="AU119" s="159"/>
      <c r="AV119" s="159"/>
      <c r="AW119" s="159"/>
      <c r="AX119" s="159"/>
      <c r="AY119" s="159"/>
      <c r="AZ119" s="159"/>
      <c r="BA119" s="159"/>
      <c r="BB119" s="159"/>
      <c r="BC119" s="159"/>
      <c r="BD119" s="159"/>
      <c r="BE119" s="159"/>
      <c r="BF119" s="159"/>
      <c r="BG119" s="159"/>
      <c r="BH119" s="159"/>
      <c r="BI119" s="159"/>
      <c r="BJ119" s="159"/>
      <c r="BK119" s="159"/>
      <c r="BL119" s="159"/>
      <c r="BM119" s="159"/>
      <c r="BN119" s="159"/>
      <c r="BO119" s="159"/>
      <c r="BP119" s="159"/>
      <c r="BQ119" s="159"/>
      <c r="BR119" s="159"/>
      <c r="BS119" s="159"/>
      <c r="BT119" s="159"/>
      <c r="BU119" s="159"/>
      <c r="BV119" s="159"/>
      <c r="BW119" s="159"/>
      <c r="BX119" s="159"/>
      <c r="BY119" s="159"/>
      <c r="BZ119" s="159"/>
      <c r="CA119" s="159"/>
      <c r="CB119" s="159"/>
      <c r="CC119" s="159"/>
      <c r="CD119" s="159"/>
      <c r="CE119" s="159"/>
      <c r="CF119" s="159"/>
      <c r="CG119" s="159"/>
      <c r="CH119" s="159"/>
      <c r="CI119" s="159"/>
      <c r="CJ119" s="159"/>
      <c r="CK119" s="159"/>
      <c r="CL119" s="159"/>
      <c r="CM119" s="159"/>
      <c r="CN119" s="159"/>
      <c r="CO119" s="159"/>
      <c r="CP119" s="159"/>
      <c r="CQ119" s="159"/>
      <c r="CR119" s="159"/>
      <c r="CS119" s="159"/>
      <c r="CT119" s="159"/>
      <c r="CU119" s="159"/>
      <c r="CV119" s="159"/>
      <c r="CW119" s="159"/>
      <c r="CX119" s="159"/>
      <c r="CY119" s="159"/>
      <c r="CZ119" s="159"/>
      <c r="DA119" s="159"/>
      <c r="DB119" s="159"/>
      <c r="DC119" s="159"/>
      <c r="DD119" s="159"/>
      <c r="DE119" s="159"/>
      <c r="DF119" s="159"/>
      <c r="DG119" s="159"/>
      <c r="DH119" s="159"/>
      <c r="DI119" s="159"/>
      <c r="DJ119" s="159"/>
      <c r="DK119" s="159"/>
      <c r="DL119" s="159"/>
      <c r="DM119" s="159"/>
      <c r="DN119" s="159"/>
      <c r="DO119" s="159"/>
      <c r="DP119" s="159"/>
      <c r="DQ119" s="159"/>
      <c r="DR119" s="159"/>
      <c r="DS119" s="159"/>
      <c r="DT119" s="159"/>
      <c r="DU119" s="159"/>
      <c r="DV119" s="159"/>
      <c r="DW119" s="159"/>
      <c r="DX119" s="159"/>
      <c r="DY119" s="159"/>
      <c r="DZ119" s="159"/>
      <c r="EA119" s="159"/>
      <c r="EB119" s="159"/>
      <c r="EC119" s="159"/>
      <c r="ED119" s="159"/>
      <c r="EE119" s="159"/>
      <c r="EF119" s="159"/>
      <c r="EG119" s="159"/>
      <c r="EH119" s="159"/>
      <c r="EI119" s="159"/>
      <c r="EJ119" s="159"/>
      <c r="EK119" s="159"/>
      <c r="EL119" s="159"/>
      <c r="EM119" s="159"/>
      <c r="EN119" s="159"/>
      <c r="EO119" s="159"/>
      <c r="EP119" s="159"/>
      <c r="EQ119" s="159"/>
      <c r="ER119" s="159"/>
      <c r="ES119" s="159"/>
      <c r="ET119" s="159"/>
      <c r="EU119" s="159"/>
      <c r="EV119" s="159"/>
      <c r="EW119" s="159"/>
      <c r="EX119" s="159"/>
      <c r="EY119" s="159"/>
      <c r="EZ119" s="159"/>
      <c r="FA119" s="159"/>
      <c r="FB119" s="159"/>
      <c r="FC119" s="159"/>
      <c r="FD119" s="159"/>
      <c r="FE119" s="159"/>
      <c r="FF119" s="159"/>
      <c r="FG119" s="159"/>
      <c r="FH119" s="159"/>
      <c r="FI119" s="159"/>
      <c r="FJ119" s="159"/>
      <c r="FK119" s="159"/>
      <c r="FL119" s="159"/>
      <c r="FM119" s="159"/>
      <c r="FN119" s="159"/>
      <c r="FO119" s="159"/>
      <c r="FP119" s="159"/>
      <c r="FQ119" s="159"/>
      <c r="FR119" s="159"/>
      <c r="FS119" s="159"/>
      <c r="FT119" s="159"/>
      <c r="FU119" s="159"/>
      <c r="FV119" s="159"/>
      <c r="FW119" s="159"/>
      <c r="FX119" s="159"/>
      <c r="FY119" s="159"/>
      <c r="FZ119" s="159"/>
      <c r="GA119" s="159"/>
      <c r="GB119" s="159"/>
      <c r="GC119" s="159"/>
      <c r="GD119" s="159"/>
      <c r="GE119" s="159"/>
      <c r="GF119" s="159"/>
      <c r="GG119" s="159"/>
      <c r="GH119" s="159"/>
      <c r="GI119" s="159"/>
      <c r="GJ119" s="159"/>
      <c r="GK119" s="159"/>
      <c r="GL119" s="159"/>
      <c r="GM119" s="159"/>
      <c r="GN119" s="159"/>
      <c r="GO119" s="159"/>
      <c r="GP119" s="159"/>
      <c r="GQ119" s="159"/>
      <c r="GR119" s="159"/>
      <c r="GS119" s="159"/>
      <c r="GT119" s="159"/>
      <c r="GU119" s="159"/>
      <c r="GV119" s="159"/>
      <c r="GW119" s="159"/>
      <c r="GX119" s="159"/>
      <c r="GY119" s="159"/>
      <c r="GZ119" s="159"/>
      <c r="HA119" s="159"/>
      <c r="HB119" s="159"/>
      <c r="HC119" s="159"/>
      <c r="HD119" s="159"/>
      <c r="HE119" s="159"/>
      <c r="HF119" s="159"/>
      <c r="HG119" s="159"/>
      <c r="HH119" s="159"/>
      <c r="HI119" s="159"/>
      <c r="HJ119" s="159"/>
      <c r="HK119" s="159"/>
      <c r="HL119" s="159"/>
      <c r="HM119" s="159"/>
      <c r="HN119" s="159"/>
      <c r="HO119" s="159"/>
      <c r="HP119" s="159"/>
      <c r="HQ119" s="159"/>
      <c r="HR119" s="159"/>
      <c r="HS119" s="159"/>
      <c r="HT119" s="159"/>
      <c r="HU119" s="159"/>
      <c r="HV119" s="159"/>
      <c r="HW119" s="159"/>
      <c r="HX119" s="159"/>
      <c r="HY119" s="159"/>
      <c r="HZ119" s="159"/>
      <c r="IA119" s="159"/>
      <c r="IB119" s="159"/>
      <c r="IC119" s="159"/>
      <c r="ID119" s="159"/>
      <c r="IE119" s="159"/>
      <c r="IF119" s="159"/>
      <c r="IG119" s="159"/>
      <c r="IH119" s="159"/>
      <c r="II119" s="159"/>
      <c r="IJ119" s="159"/>
      <c r="IK119" s="159"/>
      <c r="IL119" s="159"/>
      <c r="IM119" s="159"/>
      <c r="IN119" s="159"/>
      <c r="IO119" s="159"/>
      <c r="IP119" s="159"/>
      <c r="IQ119" s="159"/>
      <c r="IR119" s="159"/>
      <c r="IS119" s="159"/>
      <c r="IT119" s="159"/>
      <c r="IU119" s="159"/>
      <c r="IV119" s="159"/>
      <c r="IW119" s="159"/>
      <c r="IX119" s="159"/>
      <c r="IY119" s="159"/>
      <c r="IZ119" s="159"/>
      <c r="JA119" s="159"/>
      <c r="JB119" s="159"/>
      <c r="JC119" s="159"/>
      <c r="JD119" s="159"/>
      <c r="JE119" s="159"/>
      <c r="JF119" s="159"/>
      <c r="JG119" s="159"/>
      <c r="JH119" s="159"/>
      <c r="JI119" s="159"/>
      <c r="JJ119" s="159"/>
      <c r="JK119" s="159"/>
      <c r="JL119" s="159"/>
      <c r="JM119" s="159"/>
      <c r="JN119" s="159"/>
      <c r="JO119" s="159"/>
      <c r="JP119" s="159"/>
      <c r="JQ119" s="159"/>
      <c r="JR119" s="159"/>
      <c r="JS119" s="159"/>
      <c r="JT119" s="159"/>
      <c r="JU119" s="159"/>
      <c r="JV119" s="159"/>
      <c r="JW119" s="159"/>
      <c r="JX119" s="159"/>
      <c r="JY119" s="159"/>
      <c r="JZ119" s="159"/>
      <c r="KA119" s="159"/>
      <c r="KB119" s="159"/>
      <c r="KC119" s="159"/>
      <c r="KD119" s="159"/>
      <c r="KE119" s="159"/>
      <c r="KF119" s="159"/>
      <c r="KG119" s="159"/>
      <c r="KH119" s="159"/>
      <c r="KI119" s="159"/>
      <c r="KJ119" s="159"/>
      <c r="KK119" s="159"/>
      <c r="KL119" s="159"/>
      <c r="KM119" s="159"/>
      <c r="KN119" s="159"/>
      <c r="KO119" s="159"/>
      <c r="KP119" s="159"/>
      <c r="KQ119" s="159"/>
      <c r="KR119" s="159"/>
      <c r="KS119" s="159"/>
      <c r="KT119" s="159"/>
      <c r="KU119" s="159"/>
      <c r="KV119" s="159"/>
      <c r="KW119" s="159"/>
      <c r="KX119" s="159"/>
      <c r="KY119" s="159"/>
      <c r="KZ119" s="159"/>
      <c r="LA119" s="159"/>
      <c r="LB119" s="159"/>
      <c r="LC119" s="159"/>
      <c r="LD119" s="159"/>
      <c r="LE119" s="159"/>
      <c r="LF119" s="159"/>
      <c r="LG119" s="159"/>
      <c r="LH119" s="159"/>
      <c r="LI119" s="159"/>
      <c r="LJ119" s="159"/>
      <c r="LK119" s="159"/>
      <c r="LL119" s="159"/>
      <c r="LM119" s="159"/>
      <c r="LN119" s="159"/>
      <c r="LO119" s="159"/>
      <c r="LP119" s="159"/>
      <c r="LQ119" s="159"/>
      <c r="LR119" s="159"/>
      <c r="LS119" s="159"/>
      <c r="LT119" s="159"/>
      <c r="LU119" s="159"/>
      <c r="LV119" s="159"/>
      <c r="LW119" s="159"/>
      <c r="LX119" s="159"/>
      <c r="LY119" s="159"/>
      <c r="LZ119" s="159"/>
      <c r="MA119" s="159"/>
      <c r="MB119" s="159"/>
      <c r="MC119" s="159"/>
      <c r="MD119" s="159"/>
      <c r="ME119" s="159"/>
      <c r="MF119" s="159"/>
      <c r="MG119" s="159"/>
      <c r="MH119" s="159"/>
      <c r="MI119" s="159"/>
      <c r="MJ119" s="159"/>
      <c r="MK119" s="159"/>
      <c r="ML119" s="159"/>
      <c r="MM119" s="159"/>
      <c r="MN119" s="159"/>
      <c r="MO119" s="159"/>
      <c r="MP119" s="159"/>
      <c r="MQ119" s="159"/>
      <c r="MR119" s="159"/>
      <c r="MS119" s="159"/>
      <c r="MT119" s="159"/>
      <c r="MU119" s="159"/>
      <c r="MV119" s="159"/>
      <c r="MW119" s="159"/>
      <c r="MX119" s="159"/>
      <c r="MY119" s="159"/>
      <c r="MZ119" s="159"/>
      <c r="NA119" s="159"/>
      <c r="NB119" s="159"/>
      <c r="NC119" s="159"/>
      <c r="ND119" s="159"/>
      <c r="NE119" s="159"/>
      <c r="NF119" s="159"/>
      <c r="NG119" s="159"/>
      <c r="NH119" s="159"/>
      <c r="NI119" s="159"/>
      <c r="NJ119" s="159"/>
      <c r="NK119" s="159"/>
      <c r="NL119" s="159"/>
      <c r="NM119" s="159"/>
      <c r="NN119" s="159"/>
      <c r="NO119" s="159"/>
      <c r="NP119" s="159"/>
      <c r="NQ119" s="159"/>
      <c r="NR119" s="159"/>
      <c r="NS119" s="159"/>
      <c r="NT119" s="159"/>
      <c r="NU119" s="159"/>
      <c r="NV119" s="159"/>
      <c r="NW119" s="159"/>
      <c r="NX119" s="159"/>
      <c r="NY119" s="159"/>
      <c r="NZ119" s="159"/>
      <c r="OA119" s="159"/>
      <c r="OB119" s="159"/>
      <c r="OC119" s="159"/>
      <c r="OD119" s="159"/>
      <c r="OE119" s="159"/>
      <c r="OF119" s="159"/>
      <c r="OG119" s="159"/>
      <c r="OH119" s="159"/>
      <c r="OI119" s="159"/>
      <c r="OJ119" s="159"/>
      <c r="OK119" s="159"/>
      <c r="OL119" s="159"/>
      <c r="OM119" s="159"/>
      <c r="ON119" s="159"/>
      <c r="OO119" s="159"/>
      <c r="OP119" s="159"/>
      <c r="OQ119" s="159"/>
      <c r="OR119" s="159"/>
      <c r="OS119" s="159"/>
      <c r="OT119" s="159"/>
      <c r="OU119" s="159"/>
      <c r="OV119" s="159"/>
      <c r="OW119" s="159"/>
      <c r="OX119" s="159"/>
      <c r="OY119" s="159"/>
      <c r="OZ119" s="159"/>
      <c r="PA119" s="159"/>
      <c r="PB119" s="159"/>
      <c r="PC119" s="159"/>
      <c r="PD119" s="159"/>
      <c r="PE119" s="159"/>
      <c r="PF119" s="159"/>
      <c r="PG119" s="159"/>
      <c r="PH119" s="159"/>
      <c r="PI119" s="159"/>
      <c r="PJ119" s="159"/>
      <c r="PK119" s="159"/>
      <c r="PL119" s="159"/>
      <c r="PM119" s="159"/>
      <c r="PN119" s="159"/>
      <c r="PO119" s="159"/>
      <c r="PP119" s="159"/>
      <c r="PQ119" s="159"/>
      <c r="PR119" s="159"/>
      <c r="PS119" s="159"/>
      <c r="PT119" s="159"/>
      <c r="PU119" s="159"/>
      <c r="PV119" s="159"/>
      <c r="PW119" s="159"/>
      <c r="PX119" s="159"/>
      <c r="PY119" s="159"/>
      <c r="PZ119" s="159"/>
      <c r="QA119" s="159"/>
      <c r="QB119" s="159"/>
      <c r="QC119" s="159"/>
      <c r="QD119" s="159"/>
      <c r="QE119" s="159"/>
      <c r="QF119" s="159"/>
      <c r="QG119" s="159"/>
      <c r="QH119" s="159"/>
      <c r="QI119" s="159"/>
      <c r="QJ119" s="159"/>
      <c r="QK119" s="159"/>
      <c r="QL119" s="159"/>
      <c r="QM119" s="159"/>
      <c r="QN119" s="159"/>
      <c r="QO119" s="159"/>
      <c r="QP119" s="159"/>
      <c r="QQ119" s="159"/>
      <c r="QR119" s="159"/>
      <c r="QS119" s="159"/>
      <c r="QT119" s="159"/>
      <c r="QU119" s="159"/>
      <c r="QV119" s="159"/>
      <c r="QW119" s="159"/>
      <c r="QX119" s="159"/>
      <c r="QY119" s="159"/>
      <c r="QZ119" s="159"/>
      <c r="RA119" s="159"/>
      <c r="RB119" s="159"/>
      <c r="RC119" s="159"/>
      <c r="RD119" s="159"/>
      <c r="RE119" s="159"/>
      <c r="RF119" s="159"/>
      <c r="RG119" s="159"/>
      <c r="RH119" s="159"/>
      <c r="RI119" s="159"/>
      <c r="RJ119" s="159"/>
      <c r="RK119" s="159"/>
      <c r="RL119" s="159"/>
      <c r="RM119" s="159"/>
      <c r="RN119" s="159"/>
      <c r="RO119" s="159"/>
      <c r="RP119" s="159"/>
      <c r="RQ119" s="159"/>
      <c r="RR119" s="159"/>
      <c r="RS119" s="159"/>
      <c r="RT119" s="159"/>
      <c r="RU119" s="159"/>
      <c r="RV119" s="159"/>
      <c r="RW119" s="159"/>
      <c r="RX119" s="159"/>
      <c r="RY119" s="159"/>
      <c r="RZ119" s="159"/>
      <c r="SA119" s="159"/>
      <c r="SB119" s="159"/>
      <c r="SC119" s="159"/>
      <c r="SD119" s="159"/>
      <c r="SE119" s="159"/>
      <c r="SF119" s="159"/>
      <c r="SG119" s="159"/>
      <c r="SH119" s="159"/>
      <c r="SI119" s="159"/>
      <c r="SJ119" s="159"/>
      <c r="SK119" s="159"/>
      <c r="SL119" s="159"/>
      <c r="SM119" s="159"/>
      <c r="SN119" s="159"/>
      <c r="SO119" s="159"/>
      <c r="SP119" s="159"/>
      <c r="SQ119" s="159"/>
      <c r="SR119" s="159"/>
      <c r="SS119" s="159"/>
      <c r="ST119" s="159"/>
      <c r="SU119" s="159"/>
      <c r="SV119" s="159"/>
      <c r="SW119" s="159"/>
      <c r="SX119" s="159"/>
      <c r="SY119" s="159"/>
      <c r="SZ119" s="159"/>
      <c r="TA119" s="159"/>
      <c r="TB119" s="159"/>
      <c r="TC119" s="159"/>
      <c r="TD119" s="159"/>
      <c r="TE119" s="159"/>
      <c r="TF119" s="159"/>
      <c r="TG119" s="159"/>
      <c r="TH119" s="159"/>
      <c r="TI119" s="159"/>
      <c r="TJ119" s="159"/>
      <c r="TK119" s="159"/>
      <c r="TL119" s="159"/>
      <c r="TM119" s="159"/>
      <c r="TN119" s="159"/>
      <c r="TO119" s="159"/>
      <c r="TP119" s="159"/>
      <c r="TQ119" s="159"/>
      <c r="TR119" s="159"/>
      <c r="TS119" s="159"/>
      <c r="TT119" s="159"/>
      <c r="TU119" s="159"/>
      <c r="TV119" s="159"/>
      <c r="TW119" s="159"/>
      <c r="TX119" s="159"/>
      <c r="TY119" s="159"/>
      <c r="TZ119" s="159"/>
      <c r="UA119" s="159"/>
      <c r="UB119" s="159"/>
      <c r="UC119" s="159"/>
      <c r="UD119" s="159"/>
      <c r="UE119" s="159"/>
      <c r="UF119" s="159"/>
      <c r="UG119" s="159"/>
      <c r="UH119" s="159"/>
      <c r="UI119" s="159"/>
      <c r="UJ119" s="159"/>
      <c r="UK119" s="159"/>
      <c r="UL119" s="159"/>
      <c r="UM119" s="159"/>
      <c r="UN119" s="159"/>
      <c r="UO119" s="159"/>
      <c r="UP119" s="159"/>
      <c r="UQ119" s="159"/>
      <c r="UR119" s="159"/>
      <c r="US119" s="159"/>
      <c r="UT119" s="159"/>
      <c r="UU119" s="159"/>
      <c r="UV119" s="159"/>
      <c r="UW119" s="159"/>
      <c r="UX119" s="159"/>
      <c r="UY119" s="159"/>
      <c r="UZ119" s="159"/>
      <c r="VA119" s="159"/>
      <c r="VB119" s="159"/>
      <c r="VC119" s="159"/>
      <c r="VD119" s="159"/>
      <c r="VE119" s="159"/>
      <c r="VF119" s="159"/>
      <c r="VG119" s="159"/>
      <c r="VH119" s="159"/>
      <c r="VI119" s="159"/>
      <c r="VJ119" s="159"/>
      <c r="VK119" s="159"/>
      <c r="VL119" s="159"/>
      <c r="VM119" s="159"/>
      <c r="VN119" s="159"/>
      <c r="VO119" s="159"/>
      <c r="VP119" s="159"/>
      <c r="VQ119" s="159"/>
      <c r="VR119" s="159"/>
      <c r="VS119" s="159"/>
      <c r="VT119" s="159"/>
      <c r="VU119" s="159"/>
      <c r="VV119" s="159"/>
      <c r="VW119" s="159"/>
      <c r="VX119" s="159"/>
      <c r="VY119" s="159"/>
      <c r="VZ119" s="159"/>
      <c r="WA119" s="159"/>
      <c r="WB119" s="159"/>
      <c r="WC119" s="159"/>
      <c r="WD119" s="159"/>
      <c r="WE119" s="159"/>
      <c r="WF119" s="159"/>
      <c r="WG119" s="159"/>
      <c r="WH119" s="159"/>
      <c r="WI119" s="159"/>
      <c r="WJ119" s="159"/>
      <c r="WK119" s="159"/>
      <c r="WL119" s="159"/>
      <c r="WM119" s="159"/>
      <c r="WN119" s="159"/>
      <c r="WO119" s="159"/>
      <c r="WP119" s="159"/>
      <c r="WQ119" s="159"/>
      <c r="WR119" s="159"/>
      <c r="WS119" s="159"/>
      <c r="WT119" s="159"/>
      <c r="WU119" s="159"/>
      <c r="WV119" s="159"/>
      <c r="WW119" s="159"/>
      <c r="WX119" s="159"/>
      <c r="WY119" s="159"/>
      <c r="WZ119" s="159"/>
      <c r="XA119" s="159"/>
      <c r="XB119" s="159"/>
      <c r="XC119" s="159"/>
      <c r="XD119" s="159"/>
      <c r="XE119" s="159"/>
      <c r="XF119" s="159"/>
      <c r="XG119" s="159"/>
      <c r="XH119" s="159"/>
      <c r="XI119" s="159"/>
      <c r="XJ119" s="159"/>
      <c r="XK119" s="159"/>
      <c r="XL119" s="159"/>
      <c r="XM119" s="159"/>
      <c r="XN119" s="159"/>
      <c r="XO119" s="159"/>
      <c r="XP119" s="159"/>
      <c r="XQ119" s="159"/>
      <c r="XR119" s="159"/>
      <c r="XS119" s="159"/>
      <c r="XT119" s="159"/>
      <c r="XU119" s="159"/>
      <c r="XV119" s="159"/>
      <c r="XW119" s="159"/>
      <c r="XX119" s="159"/>
      <c r="XY119" s="159"/>
      <c r="XZ119" s="159"/>
      <c r="YA119" s="159"/>
      <c r="YB119" s="159"/>
      <c r="YC119" s="159"/>
      <c r="YD119" s="159"/>
      <c r="YE119" s="159"/>
      <c r="YF119" s="159"/>
      <c r="YG119" s="159"/>
      <c r="YH119" s="159"/>
      <c r="YI119" s="159"/>
      <c r="YJ119" s="159"/>
      <c r="YK119" s="159"/>
      <c r="YL119" s="159"/>
      <c r="YM119" s="159"/>
      <c r="YN119" s="159"/>
      <c r="YO119" s="159"/>
      <c r="YP119" s="159"/>
      <c r="YQ119" s="159"/>
      <c r="YR119" s="159"/>
      <c r="YS119" s="159"/>
      <c r="YT119" s="159"/>
      <c r="YU119" s="159"/>
      <c r="YV119" s="159"/>
      <c r="YW119" s="159"/>
      <c r="YX119" s="159"/>
      <c r="YY119" s="159"/>
      <c r="YZ119" s="159"/>
      <c r="ZA119" s="159"/>
      <c r="ZB119" s="159"/>
      <c r="ZC119" s="159"/>
      <c r="ZD119" s="159"/>
      <c r="ZE119" s="159"/>
      <c r="ZF119" s="159"/>
      <c r="ZG119" s="159"/>
      <c r="ZH119" s="159"/>
      <c r="ZI119" s="159"/>
      <c r="ZJ119" s="159"/>
      <c r="ZK119" s="159"/>
      <c r="ZL119" s="159"/>
      <c r="ZM119" s="159"/>
      <c r="ZN119" s="159"/>
      <c r="ZO119" s="159"/>
      <c r="ZP119" s="159"/>
      <c r="ZQ119" s="159"/>
      <c r="ZR119" s="159"/>
      <c r="ZS119" s="159"/>
      <c r="ZT119" s="159"/>
      <c r="ZU119" s="159"/>
      <c r="ZV119" s="159"/>
      <c r="ZW119" s="159"/>
      <c r="ZX119" s="159"/>
      <c r="ZY119" s="159"/>
      <c r="ZZ119" s="159"/>
      <c r="AAA119" s="159"/>
      <c r="AAB119" s="159"/>
      <c r="AAC119" s="159"/>
      <c r="AAD119" s="159"/>
      <c r="AAE119" s="159"/>
      <c r="AAF119" s="159"/>
      <c r="AAG119" s="159"/>
      <c r="AAH119" s="159"/>
      <c r="AAI119" s="159"/>
      <c r="AAJ119" s="159"/>
      <c r="AAK119" s="159"/>
      <c r="AAL119" s="159"/>
      <c r="AAM119" s="159"/>
      <c r="AAN119" s="159"/>
      <c r="AAO119" s="159"/>
      <c r="AAP119" s="159"/>
      <c r="AAQ119" s="159"/>
      <c r="AAR119" s="159"/>
      <c r="AAS119" s="159"/>
      <c r="AAT119" s="159"/>
      <c r="AAU119" s="159"/>
      <c r="AAV119" s="159"/>
      <c r="AAW119" s="159"/>
      <c r="AAX119" s="159"/>
      <c r="AAY119" s="159"/>
      <c r="AAZ119" s="159"/>
      <c r="ABA119" s="159"/>
      <c r="ABB119" s="159"/>
      <c r="ABC119" s="159"/>
      <c r="ABD119" s="159"/>
      <c r="ABE119" s="159"/>
      <c r="ABF119" s="159"/>
      <c r="ABG119" s="159"/>
      <c r="ABH119" s="159"/>
      <c r="ABI119" s="159"/>
      <c r="ABJ119" s="159"/>
      <c r="ABK119" s="159"/>
      <c r="ABL119" s="159"/>
      <c r="ABM119" s="159"/>
      <c r="ABN119" s="159"/>
      <c r="ABO119" s="159"/>
      <c r="ABP119" s="159"/>
      <c r="ABQ119" s="159"/>
      <c r="ABR119" s="159"/>
      <c r="ABS119" s="159"/>
      <c r="ABT119" s="159"/>
      <c r="ABU119" s="159"/>
      <c r="ABV119" s="159"/>
      <c r="ABW119" s="159"/>
      <c r="ABX119" s="159"/>
      <c r="ABY119" s="159"/>
      <c r="ABZ119" s="159"/>
      <c r="ACA119" s="159"/>
      <c r="ACB119" s="159"/>
      <c r="ACC119" s="159"/>
      <c r="ACD119" s="159"/>
      <c r="ACE119" s="159"/>
      <c r="ACF119" s="159"/>
      <c r="ACG119" s="159"/>
      <c r="ACH119" s="159"/>
      <c r="ACI119" s="159"/>
      <c r="ACJ119" s="159"/>
      <c r="ACK119" s="159"/>
      <c r="ACL119" s="159"/>
      <c r="ACM119" s="159"/>
      <c r="ACN119" s="159"/>
      <c r="ACO119" s="159"/>
      <c r="ACP119" s="159"/>
      <c r="ACQ119" s="159"/>
      <c r="ACR119" s="159"/>
      <c r="ACS119" s="159"/>
      <c r="ACT119" s="159"/>
      <c r="ACU119" s="159"/>
      <c r="ACV119" s="159"/>
      <c r="ACW119" s="159"/>
      <c r="ACX119" s="159"/>
      <c r="ACY119" s="159"/>
      <c r="ACZ119" s="159"/>
      <c r="ADA119" s="159"/>
      <c r="ADB119" s="159"/>
      <c r="ADC119" s="159"/>
      <c r="ADD119" s="159"/>
      <c r="ADE119" s="159"/>
      <c r="ADF119" s="159"/>
      <c r="ADG119" s="159"/>
      <c r="ADH119" s="159"/>
      <c r="ADI119" s="159"/>
      <c r="ADJ119" s="159"/>
      <c r="ADK119" s="159"/>
      <c r="ADL119" s="159"/>
      <c r="ADM119" s="159"/>
      <c r="ADN119" s="159"/>
      <c r="ADO119" s="159"/>
      <c r="ADP119" s="159"/>
      <c r="ADQ119" s="159"/>
      <c r="ADR119" s="159"/>
      <c r="ADS119" s="159"/>
      <c r="ADT119" s="159"/>
      <c r="ADU119" s="159"/>
      <c r="ADV119" s="159"/>
      <c r="ADW119" s="159"/>
      <c r="ADX119" s="159"/>
      <c r="ADY119" s="159"/>
      <c r="ADZ119" s="159"/>
      <c r="AEA119" s="159"/>
      <c r="AEB119" s="159"/>
      <c r="AEC119" s="159"/>
      <c r="AED119" s="159"/>
      <c r="AEE119" s="159"/>
      <c r="AEF119" s="159"/>
      <c r="AEG119" s="159"/>
      <c r="AEH119" s="159"/>
      <c r="AEI119" s="159"/>
      <c r="AEJ119" s="159"/>
      <c r="AEK119" s="159"/>
      <c r="AEL119" s="159"/>
      <c r="AEM119" s="159"/>
      <c r="AEN119" s="159"/>
      <c r="AEO119" s="159"/>
      <c r="AEP119" s="159"/>
      <c r="AEQ119" s="159"/>
      <c r="AER119" s="159"/>
      <c r="AES119" s="159"/>
      <c r="AET119" s="159"/>
      <c r="AEU119" s="159"/>
      <c r="AEV119" s="159"/>
      <c r="AEW119" s="159"/>
      <c r="AEX119" s="159"/>
      <c r="AEY119" s="159"/>
      <c r="AEZ119" s="159"/>
      <c r="AFA119" s="159"/>
      <c r="AFB119" s="159"/>
      <c r="AFC119" s="159"/>
      <c r="AFD119" s="159"/>
      <c r="AFE119" s="159"/>
      <c r="AFF119" s="159"/>
      <c r="AFG119" s="159"/>
      <c r="AFH119" s="159"/>
      <c r="AFI119" s="159"/>
      <c r="AFJ119" s="159"/>
      <c r="AFK119" s="159"/>
      <c r="AFL119" s="159"/>
      <c r="AFM119" s="159"/>
      <c r="AFN119" s="159"/>
      <c r="AFO119" s="159"/>
      <c r="AFP119" s="159"/>
      <c r="AFQ119" s="159"/>
      <c r="AFR119" s="159"/>
      <c r="AFS119" s="159"/>
      <c r="AFT119" s="159"/>
      <c r="AFU119" s="159"/>
      <c r="AFV119" s="159"/>
      <c r="AFW119" s="159"/>
      <c r="AFX119" s="159"/>
      <c r="AFY119" s="159"/>
      <c r="AFZ119" s="159"/>
      <c r="AGA119" s="159"/>
      <c r="AGB119" s="159"/>
      <c r="AGC119" s="159"/>
      <c r="AGD119" s="159"/>
      <c r="AGE119" s="159"/>
      <c r="AGF119" s="159"/>
      <c r="AGG119" s="159"/>
      <c r="AGH119" s="159"/>
      <c r="AGI119" s="159"/>
      <c r="AGJ119" s="159"/>
      <c r="AGK119" s="159"/>
      <c r="AGL119" s="159"/>
      <c r="AGM119" s="159"/>
      <c r="AGN119" s="159"/>
      <c r="AGO119" s="159"/>
      <c r="AGP119" s="159"/>
      <c r="AGQ119" s="159"/>
      <c r="AGR119" s="159"/>
      <c r="AGS119" s="159"/>
      <c r="AGT119" s="159"/>
      <c r="AGU119" s="159"/>
      <c r="AGV119" s="159"/>
      <c r="AGW119" s="159"/>
      <c r="AGX119" s="159"/>
      <c r="AGY119" s="159"/>
      <c r="AGZ119" s="159"/>
      <c r="AHA119" s="159"/>
      <c r="AHB119" s="159"/>
      <c r="AHC119" s="159"/>
      <c r="AHD119" s="159"/>
      <c r="AHE119" s="159"/>
      <c r="AHF119" s="159"/>
      <c r="AHG119" s="159"/>
      <c r="AHH119" s="159"/>
      <c r="AHI119" s="159"/>
      <c r="AHJ119" s="159"/>
      <c r="AHK119" s="159"/>
      <c r="AHL119" s="159"/>
      <c r="AHM119" s="159"/>
      <c r="AHN119" s="159"/>
      <c r="AHO119" s="159"/>
      <c r="AHP119" s="159"/>
      <c r="AHQ119" s="159"/>
      <c r="AHR119" s="159"/>
      <c r="AHS119" s="159"/>
      <c r="AHT119" s="159"/>
      <c r="AHU119" s="159"/>
      <c r="AHV119" s="159"/>
      <c r="AHW119" s="159"/>
      <c r="AHX119" s="159"/>
      <c r="AHY119" s="159"/>
      <c r="AHZ119" s="159"/>
      <c r="AIA119" s="159"/>
      <c r="AIB119" s="159"/>
      <c r="AIC119" s="159"/>
      <c r="AID119" s="159"/>
      <c r="AIE119" s="159"/>
      <c r="AIF119" s="159"/>
      <c r="AIG119" s="159"/>
      <c r="AIH119" s="159"/>
      <c r="AII119" s="159"/>
      <c r="AIJ119" s="159"/>
      <c r="AIK119" s="159"/>
      <c r="AIL119" s="159"/>
      <c r="AIM119" s="159"/>
      <c r="AIN119" s="159"/>
      <c r="AIO119" s="159"/>
      <c r="AIP119" s="159"/>
      <c r="AIQ119" s="159"/>
      <c r="AIR119" s="159"/>
      <c r="AIS119" s="159"/>
      <c r="AIT119" s="159"/>
      <c r="AIU119" s="159"/>
      <c r="AIV119" s="159"/>
      <c r="AIW119" s="159"/>
      <c r="AIX119" s="159"/>
      <c r="AIY119" s="159"/>
      <c r="AIZ119" s="159"/>
      <c r="AJA119" s="159"/>
      <c r="AJB119" s="159"/>
      <c r="AJC119" s="159"/>
      <c r="AJD119" s="159"/>
      <c r="AJE119" s="159"/>
      <c r="AJF119" s="159"/>
      <c r="AJG119" s="159"/>
      <c r="AJH119" s="159"/>
      <c r="AJI119" s="159"/>
      <c r="AJJ119" s="159"/>
      <c r="AJK119" s="159"/>
      <c r="AJL119" s="159"/>
      <c r="AJM119" s="159"/>
      <c r="AJN119" s="159"/>
      <c r="AJO119" s="159"/>
      <c r="AJP119" s="159"/>
      <c r="AJQ119" s="159"/>
      <c r="AJR119" s="159"/>
      <c r="AJS119" s="159"/>
      <c r="AJT119" s="159"/>
      <c r="AJU119" s="159"/>
      <c r="AJV119" s="159"/>
      <c r="AJW119" s="159"/>
      <c r="AJX119" s="159"/>
      <c r="AJY119" s="159"/>
      <c r="AJZ119" s="159"/>
      <c r="AKA119" s="159"/>
      <c r="AKB119" s="159"/>
      <c r="AKC119" s="159"/>
      <c r="AKD119" s="159"/>
      <c r="AKE119" s="159"/>
      <c r="AKF119" s="159"/>
      <c r="AKG119" s="159"/>
      <c r="AKH119" s="159"/>
      <c r="AKI119" s="159"/>
      <c r="AKJ119" s="159"/>
      <c r="AKK119" s="159"/>
      <c r="AKL119" s="159"/>
      <c r="AKM119" s="159"/>
      <c r="AKN119" s="159"/>
      <c r="AKO119" s="159"/>
      <c r="AKP119" s="159"/>
      <c r="AKQ119" s="159"/>
      <c r="AKR119" s="159"/>
      <c r="AKS119" s="159"/>
      <c r="AKT119" s="159"/>
      <c r="AKU119" s="159"/>
      <c r="AKV119" s="159"/>
      <c r="AKW119" s="159"/>
      <c r="AKX119" s="159"/>
      <c r="AKY119" s="159"/>
      <c r="AKZ119" s="159"/>
      <c r="ALA119" s="159"/>
      <c r="ALB119" s="159"/>
      <c r="ALC119" s="159"/>
      <c r="ALD119" s="159"/>
      <c r="ALE119" s="159"/>
      <c r="ALF119" s="159"/>
      <c r="ALG119" s="159"/>
      <c r="ALH119" s="159"/>
      <c r="ALI119" s="159"/>
      <c r="ALJ119" s="159"/>
      <c r="ALK119" s="159"/>
      <c r="ALL119" s="159"/>
      <c r="ALM119" s="159"/>
      <c r="ALN119" s="159"/>
      <c r="ALO119" s="159"/>
      <c r="ALP119" s="159"/>
      <c r="ALQ119" s="159"/>
      <c r="ALR119" s="159"/>
      <c r="ALS119" s="159"/>
      <c r="ALT119" s="159"/>
      <c r="ALU119" s="159"/>
      <c r="ALV119" s="159"/>
      <c r="ALW119" s="159"/>
      <c r="ALX119" s="159"/>
      <c r="ALY119" s="159"/>
      <c r="ALZ119" s="159"/>
      <c r="AMA119" s="159"/>
      <c r="AMB119" s="159"/>
      <c r="AMC119" s="159"/>
      <c r="AMD119" s="159"/>
      <c r="AME119" s="159"/>
      <c r="AMF119" s="159"/>
      <c r="AMG119" s="159"/>
      <c r="AMH119" s="159"/>
      <c r="AMI119" s="159"/>
      <c r="AMJ119" s="159"/>
      <c r="AMK119" s="159"/>
      <c r="AML119" s="159"/>
      <c r="AMM119" s="159"/>
      <c r="AMN119" s="159"/>
      <c r="AMO119" s="159"/>
    </row>
    <row r="120" spans="1:1029" s="161" customFormat="1" ht="25.5" x14ac:dyDescent="0.25">
      <c r="A120" s="138">
        <v>46189</v>
      </c>
      <c r="B120" s="99" t="s">
        <v>8</v>
      </c>
      <c r="C120" s="99" t="s">
        <v>57</v>
      </c>
      <c r="D120" s="160" t="s">
        <v>27</v>
      </c>
      <c r="E120" s="118" t="s">
        <v>14</v>
      </c>
      <c r="F120" s="99" t="s">
        <v>30</v>
      </c>
      <c r="G120" s="99" t="s">
        <v>31</v>
      </c>
      <c r="H120" s="141" t="b">
        <f t="shared" si="8"/>
        <v>0</v>
      </c>
      <c r="I120" s="121" t="s">
        <v>8</v>
      </c>
      <c r="J120" s="121" t="s">
        <v>38</v>
      </c>
      <c r="K120" s="121" t="s">
        <v>31</v>
      </c>
      <c r="L120" s="141">
        <f t="shared" si="9"/>
        <v>1</v>
      </c>
      <c r="M120" s="121" t="s">
        <v>35</v>
      </c>
      <c r="N120" s="121" t="s">
        <v>82</v>
      </c>
      <c r="O120" s="121" t="s">
        <v>168</v>
      </c>
      <c r="P120" s="141" t="b">
        <f t="shared" si="10"/>
        <v>0</v>
      </c>
      <c r="Q120" s="149" t="s">
        <v>42</v>
      </c>
      <c r="R120" s="99" t="s">
        <v>77</v>
      </c>
      <c r="S120" s="99" t="s">
        <v>13</v>
      </c>
      <c r="T120" s="141" t="b">
        <f t="shared" si="11"/>
        <v>0</v>
      </c>
      <c r="U120" s="159"/>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59"/>
      <c r="AT120" s="159"/>
      <c r="AU120" s="159"/>
      <c r="AV120" s="159"/>
      <c r="AW120" s="159"/>
      <c r="AX120" s="159"/>
      <c r="AY120" s="159"/>
      <c r="AZ120" s="159"/>
      <c r="BA120" s="159"/>
      <c r="BB120" s="159"/>
      <c r="BC120" s="159"/>
      <c r="BD120" s="159"/>
      <c r="BE120" s="159"/>
      <c r="BF120" s="159"/>
      <c r="BG120" s="159"/>
      <c r="BH120" s="159"/>
      <c r="BI120" s="159"/>
      <c r="BJ120" s="159"/>
      <c r="BK120" s="159"/>
      <c r="BL120" s="159"/>
      <c r="BM120" s="159"/>
      <c r="BN120" s="159"/>
      <c r="BO120" s="159"/>
      <c r="BP120" s="159"/>
      <c r="BQ120" s="159"/>
      <c r="BR120" s="159"/>
      <c r="BS120" s="159"/>
      <c r="BT120" s="159"/>
      <c r="BU120" s="159"/>
      <c r="BV120" s="159"/>
      <c r="BW120" s="159"/>
      <c r="BX120" s="159"/>
      <c r="BY120" s="159"/>
      <c r="BZ120" s="159"/>
      <c r="CA120" s="159"/>
      <c r="CB120" s="159"/>
      <c r="CC120" s="159"/>
      <c r="CD120" s="159"/>
      <c r="CE120" s="159"/>
      <c r="CF120" s="159"/>
      <c r="CG120" s="159"/>
      <c r="CH120" s="159"/>
      <c r="CI120" s="159"/>
      <c r="CJ120" s="159"/>
      <c r="CK120" s="159"/>
      <c r="CL120" s="159"/>
      <c r="CM120" s="159"/>
      <c r="CN120" s="159"/>
      <c r="CO120" s="159"/>
      <c r="CP120" s="159"/>
      <c r="CQ120" s="159"/>
      <c r="CR120" s="159"/>
      <c r="CS120" s="159"/>
      <c r="CT120" s="159"/>
      <c r="CU120" s="159"/>
      <c r="CV120" s="159"/>
      <c r="CW120" s="159"/>
      <c r="CX120" s="159"/>
      <c r="CY120" s="159"/>
      <c r="CZ120" s="159"/>
      <c r="DA120" s="159"/>
      <c r="DB120" s="159"/>
      <c r="DC120" s="159"/>
      <c r="DD120" s="159"/>
      <c r="DE120" s="159"/>
      <c r="DF120" s="159"/>
      <c r="DG120" s="159"/>
      <c r="DH120" s="159"/>
      <c r="DI120" s="159"/>
      <c r="DJ120" s="159"/>
      <c r="DK120" s="159"/>
      <c r="DL120" s="159"/>
      <c r="DM120" s="159"/>
      <c r="DN120" s="159"/>
      <c r="DO120" s="159"/>
      <c r="DP120" s="159"/>
      <c r="DQ120" s="159"/>
      <c r="DR120" s="159"/>
      <c r="DS120" s="159"/>
      <c r="DT120" s="159"/>
      <c r="DU120" s="159"/>
      <c r="DV120" s="159"/>
      <c r="DW120" s="159"/>
      <c r="DX120" s="159"/>
      <c r="DY120" s="159"/>
      <c r="DZ120" s="159"/>
      <c r="EA120" s="159"/>
      <c r="EB120" s="159"/>
      <c r="EC120" s="159"/>
      <c r="ED120" s="159"/>
      <c r="EE120" s="159"/>
      <c r="EF120" s="159"/>
      <c r="EG120" s="159"/>
      <c r="EH120" s="159"/>
      <c r="EI120" s="159"/>
      <c r="EJ120" s="159"/>
      <c r="EK120" s="159"/>
      <c r="EL120" s="159"/>
      <c r="EM120" s="159"/>
      <c r="EN120" s="159"/>
      <c r="EO120" s="159"/>
      <c r="EP120" s="159"/>
      <c r="EQ120" s="159"/>
      <c r="ER120" s="159"/>
      <c r="ES120" s="159"/>
      <c r="ET120" s="159"/>
      <c r="EU120" s="159"/>
      <c r="EV120" s="159"/>
      <c r="EW120" s="159"/>
      <c r="EX120" s="159"/>
      <c r="EY120" s="159"/>
      <c r="EZ120" s="159"/>
      <c r="FA120" s="159"/>
      <c r="FB120" s="159"/>
      <c r="FC120" s="159"/>
      <c r="FD120" s="159"/>
      <c r="FE120" s="159"/>
      <c r="FF120" s="159"/>
      <c r="FG120" s="159"/>
      <c r="FH120" s="159"/>
      <c r="FI120" s="159"/>
      <c r="FJ120" s="159"/>
      <c r="FK120" s="159"/>
      <c r="FL120" s="159"/>
      <c r="FM120" s="159"/>
      <c r="FN120" s="159"/>
      <c r="FO120" s="159"/>
      <c r="FP120" s="159"/>
      <c r="FQ120" s="159"/>
      <c r="FR120" s="159"/>
      <c r="FS120" s="159"/>
      <c r="FT120" s="159"/>
      <c r="FU120" s="159"/>
      <c r="FV120" s="159"/>
      <c r="FW120" s="159"/>
      <c r="FX120" s="159"/>
      <c r="FY120" s="159"/>
      <c r="FZ120" s="159"/>
      <c r="GA120" s="159"/>
      <c r="GB120" s="159"/>
      <c r="GC120" s="159"/>
      <c r="GD120" s="159"/>
      <c r="GE120" s="159"/>
      <c r="GF120" s="159"/>
      <c r="GG120" s="159"/>
      <c r="GH120" s="159"/>
      <c r="GI120" s="159"/>
      <c r="GJ120" s="159"/>
      <c r="GK120" s="159"/>
      <c r="GL120" s="159"/>
      <c r="GM120" s="159"/>
      <c r="GN120" s="159"/>
      <c r="GO120" s="159"/>
      <c r="GP120" s="159"/>
      <c r="GQ120" s="159"/>
      <c r="GR120" s="159"/>
      <c r="GS120" s="159"/>
      <c r="GT120" s="159"/>
      <c r="GU120" s="159"/>
      <c r="GV120" s="159"/>
      <c r="GW120" s="159"/>
      <c r="GX120" s="159"/>
      <c r="GY120" s="159"/>
      <c r="GZ120" s="159"/>
      <c r="HA120" s="159"/>
      <c r="HB120" s="159"/>
      <c r="HC120" s="159"/>
      <c r="HD120" s="159"/>
      <c r="HE120" s="159"/>
      <c r="HF120" s="159"/>
      <c r="HG120" s="159"/>
      <c r="HH120" s="159"/>
      <c r="HI120" s="159"/>
      <c r="HJ120" s="159"/>
      <c r="HK120" s="159"/>
      <c r="HL120" s="159"/>
      <c r="HM120" s="159"/>
      <c r="HN120" s="159"/>
      <c r="HO120" s="159"/>
      <c r="HP120" s="159"/>
      <c r="HQ120" s="159"/>
      <c r="HR120" s="159"/>
      <c r="HS120" s="159"/>
      <c r="HT120" s="159"/>
      <c r="HU120" s="159"/>
      <c r="HV120" s="159"/>
      <c r="HW120" s="159"/>
      <c r="HX120" s="159"/>
      <c r="HY120" s="159"/>
      <c r="HZ120" s="159"/>
      <c r="IA120" s="159"/>
      <c r="IB120" s="159"/>
      <c r="IC120" s="159"/>
      <c r="ID120" s="159"/>
      <c r="IE120" s="159"/>
      <c r="IF120" s="159"/>
      <c r="IG120" s="159"/>
      <c r="IH120" s="159"/>
      <c r="II120" s="159"/>
      <c r="IJ120" s="159"/>
      <c r="IK120" s="159"/>
      <c r="IL120" s="159"/>
      <c r="IM120" s="159"/>
      <c r="IN120" s="159"/>
      <c r="IO120" s="159"/>
      <c r="IP120" s="159"/>
      <c r="IQ120" s="159"/>
      <c r="IR120" s="159"/>
      <c r="IS120" s="159"/>
      <c r="IT120" s="159"/>
      <c r="IU120" s="159"/>
      <c r="IV120" s="159"/>
      <c r="IW120" s="159"/>
      <c r="IX120" s="159"/>
      <c r="IY120" s="159"/>
      <c r="IZ120" s="159"/>
      <c r="JA120" s="159"/>
      <c r="JB120" s="159"/>
      <c r="JC120" s="159"/>
      <c r="JD120" s="159"/>
      <c r="JE120" s="159"/>
      <c r="JF120" s="159"/>
      <c r="JG120" s="159"/>
      <c r="JH120" s="159"/>
      <c r="JI120" s="159"/>
      <c r="JJ120" s="159"/>
      <c r="JK120" s="159"/>
      <c r="JL120" s="159"/>
      <c r="JM120" s="159"/>
      <c r="JN120" s="159"/>
      <c r="JO120" s="159"/>
      <c r="JP120" s="159"/>
      <c r="JQ120" s="159"/>
      <c r="JR120" s="159"/>
      <c r="JS120" s="159"/>
      <c r="JT120" s="159"/>
      <c r="JU120" s="159"/>
      <c r="JV120" s="159"/>
      <c r="JW120" s="159"/>
      <c r="JX120" s="159"/>
      <c r="JY120" s="159"/>
      <c r="JZ120" s="159"/>
      <c r="KA120" s="159"/>
      <c r="KB120" s="159"/>
      <c r="KC120" s="159"/>
      <c r="KD120" s="159"/>
      <c r="KE120" s="159"/>
      <c r="KF120" s="159"/>
      <c r="KG120" s="159"/>
      <c r="KH120" s="159"/>
      <c r="KI120" s="159"/>
      <c r="KJ120" s="159"/>
      <c r="KK120" s="159"/>
      <c r="KL120" s="159"/>
      <c r="KM120" s="159"/>
      <c r="KN120" s="159"/>
      <c r="KO120" s="159"/>
      <c r="KP120" s="159"/>
      <c r="KQ120" s="159"/>
      <c r="KR120" s="159"/>
      <c r="KS120" s="159"/>
      <c r="KT120" s="159"/>
      <c r="KU120" s="159"/>
      <c r="KV120" s="159"/>
      <c r="KW120" s="159"/>
      <c r="KX120" s="159"/>
      <c r="KY120" s="159"/>
      <c r="KZ120" s="159"/>
      <c r="LA120" s="159"/>
      <c r="LB120" s="159"/>
      <c r="LC120" s="159"/>
      <c r="LD120" s="159"/>
      <c r="LE120" s="159"/>
      <c r="LF120" s="159"/>
      <c r="LG120" s="159"/>
      <c r="LH120" s="159"/>
      <c r="LI120" s="159"/>
      <c r="LJ120" s="159"/>
      <c r="LK120" s="159"/>
      <c r="LL120" s="159"/>
      <c r="LM120" s="159"/>
      <c r="LN120" s="159"/>
      <c r="LO120" s="159"/>
      <c r="LP120" s="159"/>
      <c r="LQ120" s="159"/>
      <c r="LR120" s="159"/>
      <c r="LS120" s="159"/>
      <c r="LT120" s="159"/>
      <c r="LU120" s="159"/>
      <c r="LV120" s="159"/>
      <c r="LW120" s="159"/>
      <c r="LX120" s="159"/>
      <c r="LY120" s="159"/>
      <c r="LZ120" s="159"/>
      <c r="MA120" s="159"/>
      <c r="MB120" s="159"/>
      <c r="MC120" s="159"/>
      <c r="MD120" s="159"/>
      <c r="ME120" s="159"/>
      <c r="MF120" s="159"/>
      <c r="MG120" s="159"/>
      <c r="MH120" s="159"/>
      <c r="MI120" s="159"/>
      <c r="MJ120" s="159"/>
      <c r="MK120" s="159"/>
      <c r="ML120" s="159"/>
      <c r="MM120" s="159"/>
      <c r="MN120" s="159"/>
      <c r="MO120" s="159"/>
      <c r="MP120" s="159"/>
      <c r="MQ120" s="159"/>
      <c r="MR120" s="159"/>
      <c r="MS120" s="159"/>
      <c r="MT120" s="159"/>
      <c r="MU120" s="159"/>
      <c r="MV120" s="159"/>
      <c r="MW120" s="159"/>
      <c r="MX120" s="159"/>
      <c r="MY120" s="159"/>
      <c r="MZ120" s="159"/>
      <c r="NA120" s="159"/>
      <c r="NB120" s="159"/>
      <c r="NC120" s="159"/>
      <c r="ND120" s="159"/>
      <c r="NE120" s="159"/>
      <c r="NF120" s="159"/>
      <c r="NG120" s="159"/>
      <c r="NH120" s="159"/>
      <c r="NI120" s="159"/>
      <c r="NJ120" s="159"/>
      <c r="NK120" s="159"/>
      <c r="NL120" s="159"/>
      <c r="NM120" s="159"/>
      <c r="NN120" s="159"/>
      <c r="NO120" s="159"/>
      <c r="NP120" s="159"/>
      <c r="NQ120" s="159"/>
      <c r="NR120" s="159"/>
      <c r="NS120" s="159"/>
      <c r="NT120" s="159"/>
      <c r="NU120" s="159"/>
      <c r="NV120" s="159"/>
      <c r="NW120" s="159"/>
      <c r="NX120" s="159"/>
      <c r="NY120" s="159"/>
      <c r="NZ120" s="159"/>
      <c r="OA120" s="159"/>
      <c r="OB120" s="159"/>
      <c r="OC120" s="159"/>
      <c r="OD120" s="159"/>
      <c r="OE120" s="159"/>
      <c r="OF120" s="159"/>
      <c r="OG120" s="159"/>
      <c r="OH120" s="159"/>
      <c r="OI120" s="159"/>
      <c r="OJ120" s="159"/>
      <c r="OK120" s="159"/>
      <c r="OL120" s="159"/>
      <c r="OM120" s="159"/>
      <c r="ON120" s="159"/>
      <c r="OO120" s="159"/>
      <c r="OP120" s="159"/>
      <c r="OQ120" s="159"/>
      <c r="OR120" s="159"/>
      <c r="OS120" s="159"/>
      <c r="OT120" s="159"/>
      <c r="OU120" s="159"/>
      <c r="OV120" s="159"/>
      <c r="OW120" s="159"/>
      <c r="OX120" s="159"/>
      <c r="OY120" s="159"/>
      <c r="OZ120" s="159"/>
      <c r="PA120" s="159"/>
      <c r="PB120" s="159"/>
      <c r="PC120" s="159"/>
      <c r="PD120" s="159"/>
      <c r="PE120" s="159"/>
      <c r="PF120" s="159"/>
      <c r="PG120" s="159"/>
      <c r="PH120" s="159"/>
      <c r="PI120" s="159"/>
      <c r="PJ120" s="159"/>
      <c r="PK120" s="159"/>
      <c r="PL120" s="159"/>
      <c r="PM120" s="159"/>
      <c r="PN120" s="159"/>
      <c r="PO120" s="159"/>
      <c r="PP120" s="159"/>
      <c r="PQ120" s="159"/>
      <c r="PR120" s="159"/>
      <c r="PS120" s="159"/>
      <c r="PT120" s="159"/>
      <c r="PU120" s="159"/>
      <c r="PV120" s="159"/>
      <c r="PW120" s="159"/>
      <c r="PX120" s="159"/>
      <c r="PY120" s="159"/>
      <c r="PZ120" s="159"/>
      <c r="QA120" s="159"/>
      <c r="QB120" s="159"/>
      <c r="QC120" s="159"/>
      <c r="QD120" s="159"/>
      <c r="QE120" s="159"/>
      <c r="QF120" s="159"/>
      <c r="QG120" s="159"/>
      <c r="QH120" s="159"/>
      <c r="QI120" s="159"/>
      <c r="QJ120" s="159"/>
      <c r="QK120" s="159"/>
      <c r="QL120" s="159"/>
      <c r="QM120" s="159"/>
      <c r="QN120" s="159"/>
      <c r="QO120" s="159"/>
      <c r="QP120" s="159"/>
      <c r="QQ120" s="159"/>
      <c r="QR120" s="159"/>
      <c r="QS120" s="159"/>
      <c r="QT120" s="159"/>
      <c r="QU120" s="159"/>
      <c r="QV120" s="159"/>
      <c r="QW120" s="159"/>
      <c r="QX120" s="159"/>
      <c r="QY120" s="159"/>
      <c r="QZ120" s="159"/>
      <c r="RA120" s="159"/>
      <c r="RB120" s="159"/>
      <c r="RC120" s="159"/>
      <c r="RD120" s="159"/>
      <c r="RE120" s="159"/>
      <c r="RF120" s="159"/>
      <c r="RG120" s="159"/>
      <c r="RH120" s="159"/>
      <c r="RI120" s="159"/>
      <c r="RJ120" s="159"/>
      <c r="RK120" s="159"/>
      <c r="RL120" s="159"/>
      <c r="RM120" s="159"/>
      <c r="RN120" s="159"/>
      <c r="RO120" s="159"/>
      <c r="RP120" s="159"/>
      <c r="RQ120" s="159"/>
      <c r="RR120" s="159"/>
      <c r="RS120" s="159"/>
      <c r="RT120" s="159"/>
      <c r="RU120" s="159"/>
      <c r="RV120" s="159"/>
      <c r="RW120" s="159"/>
      <c r="RX120" s="159"/>
      <c r="RY120" s="159"/>
      <c r="RZ120" s="159"/>
      <c r="SA120" s="159"/>
      <c r="SB120" s="159"/>
      <c r="SC120" s="159"/>
      <c r="SD120" s="159"/>
      <c r="SE120" s="159"/>
      <c r="SF120" s="159"/>
      <c r="SG120" s="159"/>
      <c r="SH120" s="159"/>
      <c r="SI120" s="159"/>
      <c r="SJ120" s="159"/>
      <c r="SK120" s="159"/>
      <c r="SL120" s="159"/>
      <c r="SM120" s="159"/>
      <c r="SN120" s="159"/>
      <c r="SO120" s="159"/>
      <c r="SP120" s="159"/>
      <c r="SQ120" s="159"/>
      <c r="SR120" s="159"/>
      <c r="SS120" s="159"/>
      <c r="ST120" s="159"/>
      <c r="SU120" s="159"/>
      <c r="SV120" s="159"/>
      <c r="SW120" s="159"/>
      <c r="SX120" s="159"/>
      <c r="SY120" s="159"/>
      <c r="SZ120" s="159"/>
      <c r="TA120" s="159"/>
      <c r="TB120" s="159"/>
      <c r="TC120" s="159"/>
      <c r="TD120" s="159"/>
      <c r="TE120" s="159"/>
      <c r="TF120" s="159"/>
      <c r="TG120" s="159"/>
      <c r="TH120" s="159"/>
      <c r="TI120" s="159"/>
      <c r="TJ120" s="159"/>
      <c r="TK120" s="159"/>
      <c r="TL120" s="159"/>
      <c r="TM120" s="159"/>
      <c r="TN120" s="159"/>
      <c r="TO120" s="159"/>
      <c r="TP120" s="159"/>
      <c r="TQ120" s="159"/>
      <c r="TR120" s="159"/>
      <c r="TS120" s="159"/>
      <c r="TT120" s="159"/>
      <c r="TU120" s="159"/>
      <c r="TV120" s="159"/>
      <c r="TW120" s="159"/>
      <c r="TX120" s="159"/>
      <c r="TY120" s="159"/>
      <c r="TZ120" s="159"/>
      <c r="UA120" s="159"/>
      <c r="UB120" s="159"/>
      <c r="UC120" s="159"/>
      <c r="UD120" s="159"/>
      <c r="UE120" s="159"/>
      <c r="UF120" s="159"/>
      <c r="UG120" s="159"/>
      <c r="UH120" s="159"/>
      <c r="UI120" s="159"/>
      <c r="UJ120" s="159"/>
      <c r="UK120" s="159"/>
      <c r="UL120" s="159"/>
      <c r="UM120" s="159"/>
      <c r="UN120" s="159"/>
      <c r="UO120" s="159"/>
      <c r="UP120" s="159"/>
      <c r="UQ120" s="159"/>
      <c r="UR120" s="159"/>
      <c r="US120" s="159"/>
      <c r="UT120" s="159"/>
      <c r="UU120" s="159"/>
      <c r="UV120" s="159"/>
      <c r="UW120" s="159"/>
      <c r="UX120" s="159"/>
      <c r="UY120" s="159"/>
      <c r="UZ120" s="159"/>
      <c r="VA120" s="159"/>
      <c r="VB120" s="159"/>
      <c r="VC120" s="159"/>
      <c r="VD120" s="159"/>
      <c r="VE120" s="159"/>
      <c r="VF120" s="159"/>
      <c r="VG120" s="159"/>
      <c r="VH120" s="159"/>
      <c r="VI120" s="159"/>
      <c r="VJ120" s="159"/>
      <c r="VK120" s="159"/>
      <c r="VL120" s="159"/>
      <c r="VM120" s="159"/>
      <c r="VN120" s="159"/>
      <c r="VO120" s="159"/>
      <c r="VP120" s="159"/>
      <c r="VQ120" s="159"/>
      <c r="VR120" s="159"/>
      <c r="VS120" s="159"/>
      <c r="VT120" s="159"/>
      <c r="VU120" s="159"/>
      <c r="VV120" s="159"/>
      <c r="VW120" s="159"/>
      <c r="VX120" s="159"/>
      <c r="VY120" s="159"/>
      <c r="VZ120" s="159"/>
      <c r="WA120" s="159"/>
      <c r="WB120" s="159"/>
      <c r="WC120" s="159"/>
      <c r="WD120" s="159"/>
      <c r="WE120" s="159"/>
      <c r="WF120" s="159"/>
      <c r="WG120" s="159"/>
      <c r="WH120" s="159"/>
      <c r="WI120" s="159"/>
      <c r="WJ120" s="159"/>
      <c r="WK120" s="159"/>
      <c r="WL120" s="159"/>
      <c r="WM120" s="159"/>
      <c r="WN120" s="159"/>
      <c r="WO120" s="159"/>
      <c r="WP120" s="159"/>
      <c r="WQ120" s="159"/>
      <c r="WR120" s="159"/>
      <c r="WS120" s="159"/>
      <c r="WT120" s="159"/>
      <c r="WU120" s="159"/>
      <c r="WV120" s="159"/>
      <c r="WW120" s="159"/>
      <c r="WX120" s="159"/>
      <c r="WY120" s="159"/>
      <c r="WZ120" s="159"/>
      <c r="XA120" s="159"/>
      <c r="XB120" s="159"/>
      <c r="XC120" s="159"/>
      <c r="XD120" s="159"/>
      <c r="XE120" s="159"/>
      <c r="XF120" s="159"/>
      <c r="XG120" s="159"/>
      <c r="XH120" s="159"/>
      <c r="XI120" s="159"/>
      <c r="XJ120" s="159"/>
      <c r="XK120" s="159"/>
      <c r="XL120" s="159"/>
      <c r="XM120" s="159"/>
      <c r="XN120" s="159"/>
      <c r="XO120" s="159"/>
      <c r="XP120" s="159"/>
      <c r="XQ120" s="159"/>
      <c r="XR120" s="159"/>
      <c r="XS120" s="159"/>
      <c r="XT120" s="159"/>
      <c r="XU120" s="159"/>
      <c r="XV120" s="159"/>
      <c r="XW120" s="159"/>
      <c r="XX120" s="159"/>
      <c r="XY120" s="159"/>
      <c r="XZ120" s="159"/>
      <c r="YA120" s="159"/>
      <c r="YB120" s="159"/>
      <c r="YC120" s="159"/>
      <c r="YD120" s="159"/>
      <c r="YE120" s="159"/>
      <c r="YF120" s="159"/>
      <c r="YG120" s="159"/>
      <c r="YH120" s="159"/>
      <c r="YI120" s="159"/>
      <c r="YJ120" s="159"/>
      <c r="YK120" s="159"/>
      <c r="YL120" s="159"/>
      <c r="YM120" s="159"/>
      <c r="YN120" s="159"/>
      <c r="YO120" s="159"/>
      <c r="YP120" s="159"/>
      <c r="YQ120" s="159"/>
      <c r="YR120" s="159"/>
      <c r="YS120" s="159"/>
      <c r="YT120" s="159"/>
      <c r="YU120" s="159"/>
      <c r="YV120" s="159"/>
      <c r="YW120" s="159"/>
      <c r="YX120" s="159"/>
      <c r="YY120" s="159"/>
      <c r="YZ120" s="159"/>
      <c r="ZA120" s="159"/>
      <c r="ZB120" s="159"/>
      <c r="ZC120" s="159"/>
      <c r="ZD120" s="159"/>
      <c r="ZE120" s="159"/>
      <c r="ZF120" s="159"/>
      <c r="ZG120" s="159"/>
      <c r="ZH120" s="159"/>
      <c r="ZI120" s="159"/>
      <c r="ZJ120" s="159"/>
      <c r="ZK120" s="159"/>
      <c r="ZL120" s="159"/>
      <c r="ZM120" s="159"/>
      <c r="ZN120" s="159"/>
      <c r="ZO120" s="159"/>
      <c r="ZP120" s="159"/>
      <c r="ZQ120" s="159"/>
      <c r="ZR120" s="159"/>
      <c r="ZS120" s="159"/>
      <c r="ZT120" s="159"/>
      <c r="ZU120" s="159"/>
      <c r="ZV120" s="159"/>
      <c r="ZW120" s="159"/>
      <c r="ZX120" s="159"/>
      <c r="ZY120" s="159"/>
      <c r="ZZ120" s="159"/>
      <c r="AAA120" s="159"/>
      <c r="AAB120" s="159"/>
      <c r="AAC120" s="159"/>
      <c r="AAD120" s="159"/>
      <c r="AAE120" s="159"/>
      <c r="AAF120" s="159"/>
      <c r="AAG120" s="159"/>
      <c r="AAH120" s="159"/>
      <c r="AAI120" s="159"/>
      <c r="AAJ120" s="159"/>
      <c r="AAK120" s="159"/>
      <c r="AAL120" s="159"/>
      <c r="AAM120" s="159"/>
      <c r="AAN120" s="159"/>
      <c r="AAO120" s="159"/>
      <c r="AAP120" s="159"/>
      <c r="AAQ120" s="159"/>
      <c r="AAR120" s="159"/>
      <c r="AAS120" s="159"/>
      <c r="AAT120" s="159"/>
      <c r="AAU120" s="159"/>
      <c r="AAV120" s="159"/>
      <c r="AAW120" s="159"/>
      <c r="AAX120" s="159"/>
      <c r="AAY120" s="159"/>
      <c r="AAZ120" s="159"/>
      <c r="ABA120" s="159"/>
      <c r="ABB120" s="159"/>
      <c r="ABC120" s="159"/>
      <c r="ABD120" s="159"/>
      <c r="ABE120" s="159"/>
      <c r="ABF120" s="159"/>
      <c r="ABG120" s="159"/>
      <c r="ABH120" s="159"/>
      <c r="ABI120" s="159"/>
      <c r="ABJ120" s="159"/>
      <c r="ABK120" s="159"/>
      <c r="ABL120" s="159"/>
      <c r="ABM120" s="159"/>
      <c r="ABN120" s="159"/>
      <c r="ABO120" s="159"/>
      <c r="ABP120" s="159"/>
      <c r="ABQ120" s="159"/>
      <c r="ABR120" s="159"/>
      <c r="ABS120" s="159"/>
      <c r="ABT120" s="159"/>
      <c r="ABU120" s="159"/>
      <c r="ABV120" s="159"/>
      <c r="ABW120" s="159"/>
      <c r="ABX120" s="159"/>
      <c r="ABY120" s="159"/>
      <c r="ABZ120" s="159"/>
      <c r="ACA120" s="159"/>
      <c r="ACB120" s="159"/>
      <c r="ACC120" s="159"/>
      <c r="ACD120" s="159"/>
      <c r="ACE120" s="159"/>
      <c r="ACF120" s="159"/>
      <c r="ACG120" s="159"/>
      <c r="ACH120" s="159"/>
      <c r="ACI120" s="159"/>
      <c r="ACJ120" s="159"/>
      <c r="ACK120" s="159"/>
      <c r="ACL120" s="159"/>
      <c r="ACM120" s="159"/>
      <c r="ACN120" s="159"/>
      <c r="ACO120" s="159"/>
      <c r="ACP120" s="159"/>
      <c r="ACQ120" s="159"/>
      <c r="ACR120" s="159"/>
      <c r="ACS120" s="159"/>
      <c r="ACT120" s="159"/>
      <c r="ACU120" s="159"/>
      <c r="ACV120" s="159"/>
      <c r="ACW120" s="159"/>
      <c r="ACX120" s="159"/>
      <c r="ACY120" s="159"/>
      <c r="ACZ120" s="159"/>
      <c r="ADA120" s="159"/>
      <c r="ADB120" s="159"/>
      <c r="ADC120" s="159"/>
      <c r="ADD120" s="159"/>
      <c r="ADE120" s="159"/>
      <c r="ADF120" s="159"/>
      <c r="ADG120" s="159"/>
      <c r="ADH120" s="159"/>
      <c r="ADI120" s="159"/>
      <c r="ADJ120" s="159"/>
      <c r="ADK120" s="159"/>
      <c r="ADL120" s="159"/>
      <c r="ADM120" s="159"/>
      <c r="ADN120" s="159"/>
      <c r="ADO120" s="159"/>
      <c r="ADP120" s="159"/>
      <c r="ADQ120" s="159"/>
      <c r="ADR120" s="159"/>
      <c r="ADS120" s="159"/>
      <c r="ADT120" s="159"/>
      <c r="ADU120" s="159"/>
      <c r="ADV120" s="159"/>
      <c r="ADW120" s="159"/>
      <c r="ADX120" s="159"/>
      <c r="ADY120" s="159"/>
      <c r="ADZ120" s="159"/>
      <c r="AEA120" s="159"/>
      <c r="AEB120" s="159"/>
      <c r="AEC120" s="159"/>
      <c r="AED120" s="159"/>
      <c r="AEE120" s="159"/>
      <c r="AEF120" s="159"/>
      <c r="AEG120" s="159"/>
      <c r="AEH120" s="159"/>
      <c r="AEI120" s="159"/>
      <c r="AEJ120" s="159"/>
      <c r="AEK120" s="159"/>
      <c r="AEL120" s="159"/>
      <c r="AEM120" s="159"/>
      <c r="AEN120" s="159"/>
      <c r="AEO120" s="159"/>
      <c r="AEP120" s="159"/>
      <c r="AEQ120" s="159"/>
      <c r="AER120" s="159"/>
      <c r="AES120" s="159"/>
      <c r="AET120" s="159"/>
      <c r="AEU120" s="159"/>
      <c r="AEV120" s="159"/>
      <c r="AEW120" s="159"/>
      <c r="AEX120" s="159"/>
      <c r="AEY120" s="159"/>
      <c r="AEZ120" s="159"/>
      <c r="AFA120" s="159"/>
      <c r="AFB120" s="159"/>
      <c r="AFC120" s="159"/>
      <c r="AFD120" s="159"/>
      <c r="AFE120" s="159"/>
      <c r="AFF120" s="159"/>
      <c r="AFG120" s="159"/>
      <c r="AFH120" s="159"/>
      <c r="AFI120" s="159"/>
      <c r="AFJ120" s="159"/>
      <c r="AFK120" s="159"/>
      <c r="AFL120" s="159"/>
      <c r="AFM120" s="159"/>
      <c r="AFN120" s="159"/>
      <c r="AFO120" s="159"/>
      <c r="AFP120" s="159"/>
      <c r="AFQ120" s="159"/>
      <c r="AFR120" s="159"/>
      <c r="AFS120" s="159"/>
      <c r="AFT120" s="159"/>
      <c r="AFU120" s="159"/>
      <c r="AFV120" s="159"/>
      <c r="AFW120" s="159"/>
      <c r="AFX120" s="159"/>
      <c r="AFY120" s="159"/>
      <c r="AFZ120" s="159"/>
      <c r="AGA120" s="159"/>
      <c r="AGB120" s="159"/>
      <c r="AGC120" s="159"/>
      <c r="AGD120" s="159"/>
      <c r="AGE120" s="159"/>
      <c r="AGF120" s="159"/>
      <c r="AGG120" s="159"/>
      <c r="AGH120" s="159"/>
      <c r="AGI120" s="159"/>
      <c r="AGJ120" s="159"/>
      <c r="AGK120" s="159"/>
      <c r="AGL120" s="159"/>
      <c r="AGM120" s="159"/>
      <c r="AGN120" s="159"/>
      <c r="AGO120" s="159"/>
      <c r="AGP120" s="159"/>
      <c r="AGQ120" s="159"/>
      <c r="AGR120" s="159"/>
      <c r="AGS120" s="159"/>
      <c r="AGT120" s="159"/>
      <c r="AGU120" s="159"/>
      <c r="AGV120" s="159"/>
      <c r="AGW120" s="159"/>
      <c r="AGX120" s="159"/>
      <c r="AGY120" s="159"/>
      <c r="AGZ120" s="159"/>
      <c r="AHA120" s="159"/>
      <c r="AHB120" s="159"/>
      <c r="AHC120" s="159"/>
      <c r="AHD120" s="159"/>
      <c r="AHE120" s="159"/>
      <c r="AHF120" s="159"/>
      <c r="AHG120" s="159"/>
      <c r="AHH120" s="159"/>
      <c r="AHI120" s="159"/>
      <c r="AHJ120" s="159"/>
      <c r="AHK120" s="159"/>
      <c r="AHL120" s="159"/>
      <c r="AHM120" s="159"/>
      <c r="AHN120" s="159"/>
      <c r="AHO120" s="159"/>
      <c r="AHP120" s="159"/>
      <c r="AHQ120" s="159"/>
      <c r="AHR120" s="159"/>
      <c r="AHS120" s="159"/>
      <c r="AHT120" s="159"/>
      <c r="AHU120" s="159"/>
      <c r="AHV120" s="159"/>
      <c r="AHW120" s="159"/>
      <c r="AHX120" s="159"/>
      <c r="AHY120" s="159"/>
      <c r="AHZ120" s="159"/>
      <c r="AIA120" s="159"/>
      <c r="AIB120" s="159"/>
      <c r="AIC120" s="159"/>
      <c r="AID120" s="159"/>
      <c r="AIE120" s="159"/>
      <c r="AIF120" s="159"/>
      <c r="AIG120" s="159"/>
      <c r="AIH120" s="159"/>
      <c r="AII120" s="159"/>
      <c r="AIJ120" s="159"/>
      <c r="AIK120" s="159"/>
      <c r="AIL120" s="159"/>
      <c r="AIM120" s="159"/>
      <c r="AIN120" s="159"/>
      <c r="AIO120" s="159"/>
      <c r="AIP120" s="159"/>
      <c r="AIQ120" s="159"/>
      <c r="AIR120" s="159"/>
      <c r="AIS120" s="159"/>
      <c r="AIT120" s="159"/>
      <c r="AIU120" s="159"/>
      <c r="AIV120" s="159"/>
      <c r="AIW120" s="159"/>
      <c r="AIX120" s="159"/>
      <c r="AIY120" s="159"/>
      <c r="AIZ120" s="159"/>
      <c r="AJA120" s="159"/>
      <c r="AJB120" s="159"/>
      <c r="AJC120" s="159"/>
      <c r="AJD120" s="159"/>
      <c r="AJE120" s="159"/>
      <c r="AJF120" s="159"/>
      <c r="AJG120" s="159"/>
      <c r="AJH120" s="159"/>
      <c r="AJI120" s="159"/>
      <c r="AJJ120" s="159"/>
      <c r="AJK120" s="159"/>
      <c r="AJL120" s="159"/>
      <c r="AJM120" s="159"/>
      <c r="AJN120" s="159"/>
      <c r="AJO120" s="159"/>
      <c r="AJP120" s="159"/>
      <c r="AJQ120" s="159"/>
      <c r="AJR120" s="159"/>
      <c r="AJS120" s="159"/>
      <c r="AJT120" s="159"/>
      <c r="AJU120" s="159"/>
      <c r="AJV120" s="159"/>
      <c r="AJW120" s="159"/>
      <c r="AJX120" s="159"/>
      <c r="AJY120" s="159"/>
      <c r="AJZ120" s="159"/>
      <c r="AKA120" s="159"/>
      <c r="AKB120" s="159"/>
      <c r="AKC120" s="159"/>
      <c r="AKD120" s="159"/>
      <c r="AKE120" s="159"/>
      <c r="AKF120" s="159"/>
      <c r="AKG120" s="159"/>
      <c r="AKH120" s="159"/>
      <c r="AKI120" s="159"/>
      <c r="AKJ120" s="159"/>
      <c r="AKK120" s="159"/>
      <c r="AKL120" s="159"/>
      <c r="AKM120" s="159"/>
      <c r="AKN120" s="159"/>
      <c r="AKO120" s="159"/>
      <c r="AKP120" s="159"/>
      <c r="AKQ120" s="159"/>
      <c r="AKR120" s="159"/>
      <c r="AKS120" s="159"/>
      <c r="AKT120" s="159"/>
      <c r="AKU120" s="159"/>
      <c r="AKV120" s="159"/>
      <c r="AKW120" s="159"/>
      <c r="AKX120" s="159"/>
      <c r="AKY120" s="159"/>
      <c r="AKZ120" s="159"/>
      <c r="ALA120" s="159"/>
      <c r="ALB120" s="159"/>
      <c r="ALC120" s="159"/>
      <c r="ALD120" s="159"/>
      <c r="ALE120" s="159"/>
      <c r="ALF120" s="159"/>
      <c r="ALG120" s="159"/>
      <c r="ALH120" s="159"/>
      <c r="ALI120" s="159"/>
      <c r="ALJ120" s="159"/>
      <c r="ALK120" s="159"/>
      <c r="ALL120" s="159"/>
      <c r="ALM120" s="159"/>
      <c r="ALN120" s="159"/>
      <c r="ALO120" s="159"/>
      <c r="ALP120" s="159"/>
      <c r="ALQ120" s="159"/>
      <c r="ALR120" s="159"/>
      <c r="ALS120" s="159"/>
      <c r="ALT120" s="159"/>
      <c r="ALU120" s="159"/>
      <c r="ALV120" s="159"/>
      <c r="ALW120" s="159"/>
      <c r="ALX120" s="159"/>
      <c r="ALY120" s="159"/>
      <c r="ALZ120" s="159"/>
      <c r="AMA120" s="159"/>
      <c r="AMB120" s="159"/>
      <c r="AMC120" s="159"/>
      <c r="AMD120" s="159"/>
      <c r="AME120" s="159"/>
      <c r="AMF120" s="159"/>
      <c r="AMG120" s="159"/>
      <c r="AMH120" s="159"/>
      <c r="AMI120" s="159"/>
      <c r="AMJ120" s="159"/>
      <c r="AMK120" s="159"/>
      <c r="AML120" s="159"/>
      <c r="AMM120" s="159"/>
      <c r="AMN120" s="159"/>
      <c r="AMO120" s="159"/>
    </row>
    <row r="121" spans="1:1029" s="161" customFormat="1" ht="38.25" x14ac:dyDescent="0.25">
      <c r="A121" s="138">
        <v>46190</v>
      </c>
      <c r="B121" s="99" t="s">
        <v>67</v>
      </c>
      <c r="C121" s="99" t="s">
        <v>151</v>
      </c>
      <c r="D121" s="160" t="s">
        <v>16</v>
      </c>
      <c r="E121" s="118" t="s">
        <v>53</v>
      </c>
      <c r="F121" s="99" t="s">
        <v>151</v>
      </c>
      <c r="G121" s="99" t="s">
        <v>16</v>
      </c>
      <c r="H121" s="141">
        <f t="shared" si="8"/>
        <v>1</v>
      </c>
      <c r="I121" s="121" t="s">
        <v>29</v>
      </c>
      <c r="J121" s="121" t="s">
        <v>10</v>
      </c>
      <c r="K121" s="121" t="s">
        <v>11</v>
      </c>
      <c r="L121" s="141" t="b">
        <f t="shared" si="9"/>
        <v>0</v>
      </c>
      <c r="M121" s="121" t="s">
        <v>29</v>
      </c>
      <c r="N121" s="121" t="s">
        <v>10</v>
      </c>
      <c r="O121" s="121" t="s">
        <v>90</v>
      </c>
      <c r="P121" s="141" t="b">
        <f t="shared" si="10"/>
        <v>0</v>
      </c>
      <c r="Q121" s="149" t="s">
        <v>29</v>
      </c>
      <c r="R121" s="99" t="s">
        <v>119</v>
      </c>
      <c r="S121" s="99" t="s">
        <v>31</v>
      </c>
      <c r="T121" s="141" t="b">
        <f t="shared" si="11"/>
        <v>0</v>
      </c>
      <c r="U121" s="159"/>
      <c r="V121" s="159"/>
      <c r="W121" s="159"/>
      <c r="X121" s="159"/>
      <c r="Y121" s="159"/>
      <c r="Z121" s="159"/>
      <c r="AA121" s="159"/>
      <c r="AB121" s="159"/>
      <c r="AC121" s="159"/>
      <c r="AD121" s="159"/>
      <c r="AE121" s="159"/>
      <c r="AF121" s="159"/>
      <c r="AG121" s="159"/>
      <c r="AH121" s="159"/>
      <c r="AI121" s="159"/>
      <c r="AJ121" s="159"/>
      <c r="AK121" s="159"/>
      <c r="AL121" s="159"/>
      <c r="AM121" s="159"/>
      <c r="AN121" s="159"/>
      <c r="AO121" s="159"/>
      <c r="AP121" s="159"/>
      <c r="AQ121" s="159"/>
      <c r="AR121" s="159"/>
      <c r="AS121" s="159"/>
      <c r="AT121" s="159"/>
      <c r="AU121" s="159"/>
      <c r="AV121" s="159"/>
      <c r="AW121" s="159"/>
      <c r="AX121" s="159"/>
      <c r="AY121" s="159"/>
      <c r="AZ121" s="159"/>
      <c r="BA121" s="159"/>
      <c r="BB121" s="159"/>
      <c r="BC121" s="159"/>
      <c r="BD121" s="159"/>
      <c r="BE121" s="159"/>
      <c r="BF121" s="159"/>
      <c r="BG121" s="159"/>
      <c r="BH121" s="159"/>
      <c r="BI121" s="159"/>
      <c r="BJ121" s="159"/>
      <c r="BK121" s="159"/>
      <c r="BL121" s="159"/>
      <c r="BM121" s="159"/>
      <c r="BN121" s="159"/>
      <c r="BO121" s="159"/>
      <c r="BP121" s="159"/>
      <c r="BQ121" s="159"/>
      <c r="BR121" s="159"/>
      <c r="BS121" s="159"/>
      <c r="BT121" s="159"/>
      <c r="BU121" s="159"/>
      <c r="BV121" s="159"/>
      <c r="BW121" s="159"/>
      <c r="BX121" s="159"/>
      <c r="BY121" s="159"/>
      <c r="BZ121" s="159"/>
      <c r="CA121" s="159"/>
      <c r="CB121" s="159"/>
      <c r="CC121" s="159"/>
      <c r="CD121" s="159"/>
      <c r="CE121" s="159"/>
      <c r="CF121" s="159"/>
      <c r="CG121" s="159"/>
      <c r="CH121" s="159"/>
      <c r="CI121" s="159"/>
      <c r="CJ121" s="159"/>
      <c r="CK121" s="159"/>
      <c r="CL121" s="159"/>
      <c r="CM121" s="159"/>
      <c r="CN121" s="159"/>
      <c r="CO121" s="159"/>
      <c r="CP121" s="159"/>
      <c r="CQ121" s="159"/>
      <c r="CR121" s="159"/>
      <c r="CS121" s="159"/>
      <c r="CT121" s="159"/>
      <c r="CU121" s="159"/>
      <c r="CV121" s="159"/>
      <c r="CW121" s="159"/>
      <c r="CX121" s="159"/>
      <c r="CY121" s="159"/>
      <c r="CZ121" s="159"/>
      <c r="DA121" s="159"/>
      <c r="DB121" s="159"/>
      <c r="DC121" s="159"/>
      <c r="DD121" s="159"/>
      <c r="DE121" s="159"/>
      <c r="DF121" s="159"/>
      <c r="DG121" s="159"/>
      <c r="DH121" s="159"/>
      <c r="DI121" s="159"/>
      <c r="DJ121" s="159"/>
      <c r="DK121" s="159"/>
      <c r="DL121" s="159"/>
      <c r="DM121" s="159"/>
      <c r="DN121" s="159"/>
      <c r="DO121" s="159"/>
      <c r="DP121" s="159"/>
      <c r="DQ121" s="159"/>
      <c r="DR121" s="159"/>
      <c r="DS121" s="159"/>
      <c r="DT121" s="159"/>
      <c r="DU121" s="159"/>
      <c r="DV121" s="159"/>
      <c r="DW121" s="159"/>
      <c r="DX121" s="159"/>
      <c r="DY121" s="159"/>
      <c r="DZ121" s="159"/>
      <c r="EA121" s="159"/>
      <c r="EB121" s="159"/>
      <c r="EC121" s="159"/>
      <c r="ED121" s="159"/>
      <c r="EE121" s="159"/>
      <c r="EF121" s="159"/>
      <c r="EG121" s="159"/>
      <c r="EH121" s="159"/>
      <c r="EI121" s="159"/>
      <c r="EJ121" s="159"/>
      <c r="EK121" s="159"/>
      <c r="EL121" s="159"/>
      <c r="EM121" s="159"/>
      <c r="EN121" s="159"/>
      <c r="EO121" s="159"/>
      <c r="EP121" s="159"/>
      <c r="EQ121" s="159"/>
      <c r="ER121" s="159"/>
      <c r="ES121" s="159"/>
      <c r="ET121" s="159"/>
      <c r="EU121" s="159"/>
      <c r="EV121" s="159"/>
      <c r="EW121" s="159"/>
      <c r="EX121" s="159"/>
      <c r="EY121" s="159"/>
      <c r="EZ121" s="159"/>
      <c r="FA121" s="159"/>
      <c r="FB121" s="159"/>
      <c r="FC121" s="159"/>
      <c r="FD121" s="159"/>
      <c r="FE121" s="159"/>
      <c r="FF121" s="159"/>
      <c r="FG121" s="159"/>
      <c r="FH121" s="159"/>
      <c r="FI121" s="159"/>
      <c r="FJ121" s="159"/>
      <c r="FK121" s="159"/>
      <c r="FL121" s="159"/>
      <c r="FM121" s="159"/>
      <c r="FN121" s="159"/>
      <c r="FO121" s="159"/>
      <c r="FP121" s="159"/>
      <c r="FQ121" s="159"/>
      <c r="FR121" s="159"/>
      <c r="FS121" s="159"/>
      <c r="FT121" s="159"/>
      <c r="FU121" s="159"/>
      <c r="FV121" s="159"/>
      <c r="FW121" s="159"/>
      <c r="FX121" s="159"/>
      <c r="FY121" s="159"/>
      <c r="FZ121" s="159"/>
      <c r="GA121" s="159"/>
      <c r="GB121" s="159"/>
      <c r="GC121" s="159"/>
      <c r="GD121" s="159"/>
      <c r="GE121" s="159"/>
      <c r="GF121" s="159"/>
      <c r="GG121" s="159"/>
      <c r="GH121" s="159"/>
      <c r="GI121" s="159"/>
      <c r="GJ121" s="159"/>
      <c r="GK121" s="159"/>
      <c r="GL121" s="159"/>
      <c r="GM121" s="159"/>
      <c r="GN121" s="159"/>
      <c r="GO121" s="159"/>
      <c r="GP121" s="159"/>
      <c r="GQ121" s="159"/>
      <c r="GR121" s="159"/>
      <c r="GS121" s="159"/>
      <c r="GT121" s="159"/>
      <c r="GU121" s="159"/>
      <c r="GV121" s="159"/>
      <c r="GW121" s="159"/>
      <c r="GX121" s="159"/>
      <c r="GY121" s="159"/>
      <c r="GZ121" s="159"/>
      <c r="HA121" s="159"/>
      <c r="HB121" s="159"/>
      <c r="HC121" s="159"/>
      <c r="HD121" s="159"/>
      <c r="HE121" s="159"/>
      <c r="HF121" s="159"/>
      <c r="HG121" s="159"/>
      <c r="HH121" s="159"/>
      <c r="HI121" s="159"/>
      <c r="HJ121" s="159"/>
      <c r="HK121" s="159"/>
      <c r="HL121" s="159"/>
      <c r="HM121" s="159"/>
      <c r="HN121" s="159"/>
      <c r="HO121" s="159"/>
      <c r="HP121" s="159"/>
      <c r="HQ121" s="159"/>
      <c r="HR121" s="159"/>
      <c r="HS121" s="159"/>
      <c r="HT121" s="159"/>
      <c r="HU121" s="159"/>
      <c r="HV121" s="159"/>
      <c r="HW121" s="159"/>
      <c r="HX121" s="159"/>
      <c r="HY121" s="159"/>
      <c r="HZ121" s="159"/>
      <c r="IA121" s="159"/>
      <c r="IB121" s="159"/>
      <c r="IC121" s="159"/>
      <c r="ID121" s="159"/>
      <c r="IE121" s="159"/>
      <c r="IF121" s="159"/>
      <c r="IG121" s="159"/>
      <c r="IH121" s="159"/>
      <c r="II121" s="159"/>
      <c r="IJ121" s="159"/>
      <c r="IK121" s="159"/>
      <c r="IL121" s="159"/>
      <c r="IM121" s="159"/>
      <c r="IN121" s="159"/>
      <c r="IO121" s="159"/>
      <c r="IP121" s="159"/>
      <c r="IQ121" s="159"/>
      <c r="IR121" s="159"/>
      <c r="IS121" s="159"/>
      <c r="IT121" s="159"/>
      <c r="IU121" s="159"/>
      <c r="IV121" s="159"/>
      <c r="IW121" s="159"/>
      <c r="IX121" s="159"/>
      <c r="IY121" s="159"/>
      <c r="IZ121" s="159"/>
      <c r="JA121" s="159"/>
      <c r="JB121" s="159"/>
      <c r="JC121" s="159"/>
      <c r="JD121" s="159"/>
      <c r="JE121" s="159"/>
      <c r="JF121" s="159"/>
      <c r="JG121" s="159"/>
      <c r="JH121" s="159"/>
      <c r="JI121" s="159"/>
      <c r="JJ121" s="159"/>
      <c r="JK121" s="159"/>
      <c r="JL121" s="159"/>
      <c r="JM121" s="159"/>
      <c r="JN121" s="159"/>
      <c r="JO121" s="159"/>
      <c r="JP121" s="159"/>
      <c r="JQ121" s="159"/>
      <c r="JR121" s="159"/>
      <c r="JS121" s="159"/>
      <c r="JT121" s="159"/>
      <c r="JU121" s="159"/>
      <c r="JV121" s="159"/>
      <c r="JW121" s="159"/>
      <c r="JX121" s="159"/>
      <c r="JY121" s="159"/>
      <c r="JZ121" s="159"/>
      <c r="KA121" s="159"/>
      <c r="KB121" s="159"/>
      <c r="KC121" s="159"/>
      <c r="KD121" s="159"/>
      <c r="KE121" s="159"/>
      <c r="KF121" s="159"/>
      <c r="KG121" s="159"/>
      <c r="KH121" s="159"/>
      <c r="KI121" s="159"/>
      <c r="KJ121" s="159"/>
      <c r="KK121" s="159"/>
      <c r="KL121" s="159"/>
      <c r="KM121" s="159"/>
      <c r="KN121" s="159"/>
      <c r="KO121" s="159"/>
      <c r="KP121" s="159"/>
      <c r="KQ121" s="159"/>
      <c r="KR121" s="159"/>
      <c r="KS121" s="159"/>
      <c r="KT121" s="159"/>
      <c r="KU121" s="159"/>
      <c r="KV121" s="159"/>
      <c r="KW121" s="159"/>
      <c r="KX121" s="159"/>
      <c r="KY121" s="159"/>
      <c r="KZ121" s="159"/>
      <c r="LA121" s="159"/>
      <c r="LB121" s="159"/>
      <c r="LC121" s="159"/>
      <c r="LD121" s="159"/>
      <c r="LE121" s="159"/>
      <c r="LF121" s="159"/>
      <c r="LG121" s="159"/>
      <c r="LH121" s="159"/>
      <c r="LI121" s="159"/>
      <c r="LJ121" s="159"/>
      <c r="LK121" s="159"/>
      <c r="LL121" s="159"/>
      <c r="LM121" s="159"/>
      <c r="LN121" s="159"/>
      <c r="LO121" s="159"/>
      <c r="LP121" s="159"/>
      <c r="LQ121" s="159"/>
      <c r="LR121" s="159"/>
      <c r="LS121" s="159"/>
      <c r="LT121" s="159"/>
      <c r="LU121" s="159"/>
      <c r="LV121" s="159"/>
      <c r="LW121" s="159"/>
      <c r="LX121" s="159"/>
      <c r="LY121" s="159"/>
      <c r="LZ121" s="159"/>
      <c r="MA121" s="159"/>
      <c r="MB121" s="159"/>
      <c r="MC121" s="159"/>
      <c r="MD121" s="159"/>
      <c r="ME121" s="159"/>
      <c r="MF121" s="159"/>
      <c r="MG121" s="159"/>
      <c r="MH121" s="159"/>
      <c r="MI121" s="159"/>
      <c r="MJ121" s="159"/>
      <c r="MK121" s="159"/>
      <c r="ML121" s="159"/>
      <c r="MM121" s="159"/>
      <c r="MN121" s="159"/>
      <c r="MO121" s="159"/>
      <c r="MP121" s="159"/>
      <c r="MQ121" s="159"/>
      <c r="MR121" s="159"/>
      <c r="MS121" s="159"/>
      <c r="MT121" s="159"/>
      <c r="MU121" s="159"/>
      <c r="MV121" s="159"/>
      <c r="MW121" s="159"/>
      <c r="MX121" s="159"/>
      <c r="MY121" s="159"/>
      <c r="MZ121" s="159"/>
      <c r="NA121" s="159"/>
      <c r="NB121" s="159"/>
      <c r="NC121" s="159"/>
      <c r="ND121" s="159"/>
      <c r="NE121" s="159"/>
      <c r="NF121" s="159"/>
      <c r="NG121" s="159"/>
      <c r="NH121" s="159"/>
      <c r="NI121" s="159"/>
      <c r="NJ121" s="159"/>
      <c r="NK121" s="159"/>
      <c r="NL121" s="159"/>
      <c r="NM121" s="159"/>
      <c r="NN121" s="159"/>
      <c r="NO121" s="159"/>
      <c r="NP121" s="159"/>
      <c r="NQ121" s="159"/>
      <c r="NR121" s="159"/>
      <c r="NS121" s="159"/>
      <c r="NT121" s="159"/>
      <c r="NU121" s="159"/>
      <c r="NV121" s="159"/>
      <c r="NW121" s="159"/>
      <c r="NX121" s="159"/>
      <c r="NY121" s="159"/>
      <c r="NZ121" s="159"/>
      <c r="OA121" s="159"/>
      <c r="OB121" s="159"/>
      <c r="OC121" s="159"/>
      <c r="OD121" s="159"/>
      <c r="OE121" s="159"/>
      <c r="OF121" s="159"/>
      <c r="OG121" s="159"/>
      <c r="OH121" s="159"/>
      <c r="OI121" s="159"/>
      <c r="OJ121" s="159"/>
      <c r="OK121" s="159"/>
      <c r="OL121" s="159"/>
      <c r="OM121" s="159"/>
      <c r="ON121" s="159"/>
      <c r="OO121" s="159"/>
      <c r="OP121" s="159"/>
      <c r="OQ121" s="159"/>
      <c r="OR121" s="159"/>
      <c r="OS121" s="159"/>
      <c r="OT121" s="159"/>
      <c r="OU121" s="159"/>
      <c r="OV121" s="159"/>
      <c r="OW121" s="159"/>
      <c r="OX121" s="159"/>
      <c r="OY121" s="159"/>
      <c r="OZ121" s="159"/>
      <c r="PA121" s="159"/>
      <c r="PB121" s="159"/>
      <c r="PC121" s="159"/>
      <c r="PD121" s="159"/>
      <c r="PE121" s="159"/>
      <c r="PF121" s="159"/>
      <c r="PG121" s="159"/>
      <c r="PH121" s="159"/>
      <c r="PI121" s="159"/>
      <c r="PJ121" s="159"/>
      <c r="PK121" s="159"/>
      <c r="PL121" s="159"/>
      <c r="PM121" s="159"/>
      <c r="PN121" s="159"/>
      <c r="PO121" s="159"/>
      <c r="PP121" s="159"/>
      <c r="PQ121" s="159"/>
      <c r="PR121" s="159"/>
      <c r="PS121" s="159"/>
      <c r="PT121" s="159"/>
      <c r="PU121" s="159"/>
      <c r="PV121" s="159"/>
      <c r="PW121" s="159"/>
      <c r="PX121" s="159"/>
      <c r="PY121" s="159"/>
      <c r="PZ121" s="159"/>
      <c r="QA121" s="159"/>
      <c r="QB121" s="159"/>
      <c r="QC121" s="159"/>
      <c r="QD121" s="159"/>
      <c r="QE121" s="159"/>
      <c r="QF121" s="159"/>
      <c r="QG121" s="159"/>
      <c r="QH121" s="159"/>
      <c r="QI121" s="159"/>
      <c r="QJ121" s="159"/>
      <c r="QK121" s="159"/>
      <c r="QL121" s="159"/>
      <c r="QM121" s="159"/>
      <c r="QN121" s="159"/>
      <c r="QO121" s="159"/>
      <c r="QP121" s="159"/>
      <c r="QQ121" s="159"/>
      <c r="QR121" s="159"/>
      <c r="QS121" s="159"/>
      <c r="QT121" s="159"/>
      <c r="QU121" s="159"/>
      <c r="QV121" s="159"/>
      <c r="QW121" s="159"/>
      <c r="QX121" s="159"/>
      <c r="QY121" s="159"/>
      <c r="QZ121" s="159"/>
      <c r="RA121" s="159"/>
      <c r="RB121" s="159"/>
      <c r="RC121" s="159"/>
      <c r="RD121" s="159"/>
      <c r="RE121" s="159"/>
      <c r="RF121" s="159"/>
      <c r="RG121" s="159"/>
      <c r="RH121" s="159"/>
      <c r="RI121" s="159"/>
      <c r="RJ121" s="159"/>
      <c r="RK121" s="159"/>
      <c r="RL121" s="159"/>
      <c r="RM121" s="159"/>
      <c r="RN121" s="159"/>
      <c r="RO121" s="159"/>
      <c r="RP121" s="159"/>
      <c r="RQ121" s="159"/>
      <c r="RR121" s="159"/>
      <c r="RS121" s="159"/>
      <c r="RT121" s="159"/>
      <c r="RU121" s="159"/>
      <c r="RV121" s="159"/>
      <c r="RW121" s="159"/>
      <c r="RX121" s="159"/>
      <c r="RY121" s="159"/>
      <c r="RZ121" s="159"/>
      <c r="SA121" s="159"/>
      <c r="SB121" s="159"/>
      <c r="SC121" s="159"/>
      <c r="SD121" s="159"/>
      <c r="SE121" s="159"/>
      <c r="SF121" s="159"/>
      <c r="SG121" s="159"/>
      <c r="SH121" s="159"/>
      <c r="SI121" s="159"/>
      <c r="SJ121" s="159"/>
      <c r="SK121" s="159"/>
      <c r="SL121" s="159"/>
      <c r="SM121" s="159"/>
      <c r="SN121" s="159"/>
      <c r="SO121" s="159"/>
      <c r="SP121" s="159"/>
      <c r="SQ121" s="159"/>
      <c r="SR121" s="159"/>
      <c r="SS121" s="159"/>
      <c r="ST121" s="159"/>
      <c r="SU121" s="159"/>
      <c r="SV121" s="159"/>
      <c r="SW121" s="159"/>
      <c r="SX121" s="159"/>
      <c r="SY121" s="159"/>
      <c r="SZ121" s="159"/>
      <c r="TA121" s="159"/>
      <c r="TB121" s="159"/>
      <c r="TC121" s="159"/>
      <c r="TD121" s="159"/>
      <c r="TE121" s="159"/>
      <c r="TF121" s="159"/>
      <c r="TG121" s="159"/>
      <c r="TH121" s="159"/>
      <c r="TI121" s="159"/>
      <c r="TJ121" s="159"/>
      <c r="TK121" s="159"/>
      <c r="TL121" s="159"/>
      <c r="TM121" s="159"/>
      <c r="TN121" s="159"/>
      <c r="TO121" s="159"/>
      <c r="TP121" s="159"/>
      <c r="TQ121" s="159"/>
      <c r="TR121" s="159"/>
      <c r="TS121" s="159"/>
      <c r="TT121" s="159"/>
      <c r="TU121" s="159"/>
      <c r="TV121" s="159"/>
      <c r="TW121" s="159"/>
      <c r="TX121" s="159"/>
      <c r="TY121" s="159"/>
      <c r="TZ121" s="159"/>
      <c r="UA121" s="159"/>
      <c r="UB121" s="159"/>
      <c r="UC121" s="159"/>
      <c r="UD121" s="159"/>
      <c r="UE121" s="159"/>
      <c r="UF121" s="159"/>
      <c r="UG121" s="159"/>
      <c r="UH121" s="159"/>
      <c r="UI121" s="159"/>
      <c r="UJ121" s="159"/>
      <c r="UK121" s="159"/>
      <c r="UL121" s="159"/>
      <c r="UM121" s="159"/>
      <c r="UN121" s="159"/>
      <c r="UO121" s="159"/>
      <c r="UP121" s="159"/>
      <c r="UQ121" s="159"/>
      <c r="UR121" s="159"/>
      <c r="US121" s="159"/>
      <c r="UT121" s="159"/>
      <c r="UU121" s="159"/>
      <c r="UV121" s="159"/>
      <c r="UW121" s="159"/>
      <c r="UX121" s="159"/>
      <c r="UY121" s="159"/>
      <c r="UZ121" s="159"/>
      <c r="VA121" s="159"/>
      <c r="VB121" s="159"/>
      <c r="VC121" s="159"/>
      <c r="VD121" s="159"/>
      <c r="VE121" s="159"/>
      <c r="VF121" s="159"/>
      <c r="VG121" s="159"/>
      <c r="VH121" s="159"/>
      <c r="VI121" s="159"/>
      <c r="VJ121" s="159"/>
      <c r="VK121" s="159"/>
      <c r="VL121" s="159"/>
      <c r="VM121" s="159"/>
      <c r="VN121" s="159"/>
      <c r="VO121" s="159"/>
      <c r="VP121" s="159"/>
      <c r="VQ121" s="159"/>
      <c r="VR121" s="159"/>
      <c r="VS121" s="159"/>
      <c r="VT121" s="159"/>
      <c r="VU121" s="159"/>
      <c r="VV121" s="159"/>
      <c r="VW121" s="159"/>
      <c r="VX121" s="159"/>
      <c r="VY121" s="159"/>
      <c r="VZ121" s="159"/>
      <c r="WA121" s="159"/>
      <c r="WB121" s="159"/>
      <c r="WC121" s="159"/>
      <c r="WD121" s="159"/>
      <c r="WE121" s="159"/>
      <c r="WF121" s="159"/>
      <c r="WG121" s="159"/>
      <c r="WH121" s="159"/>
      <c r="WI121" s="159"/>
      <c r="WJ121" s="159"/>
      <c r="WK121" s="159"/>
      <c r="WL121" s="159"/>
      <c r="WM121" s="159"/>
      <c r="WN121" s="159"/>
      <c r="WO121" s="159"/>
      <c r="WP121" s="159"/>
      <c r="WQ121" s="159"/>
      <c r="WR121" s="159"/>
      <c r="WS121" s="159"/>
      <c r="WT121" s="159"/>
      <c r="WU121" s="159"/>
      <c r="WV121" s="159"/>
      <c r="WW121" s="159"/>
      <c r="WX121" s="159"/>
      <c r="WY121" s="159"/>
      <c r="WZ121" s="159"/>
      <c r="XA121" s="159"/>
      <c r="XB121" s="159"/>
      <c r="XC121" s="159"/>
      <c r="XD121" s="159"/>
      <c r="XE121" s="159"/>
      <c r="XF121" s="159"/>
      <c r="XG121" s="159"/>
      <c r="XH121" s="159"/>
      <c r="XI121" s="159"/>
      <c r="XJ121" s="159"/>
      <c r="XK121" s="159"/>
      <c r="XL121" s="159"/>
      <c r="XM121" s="159"/>
      <c r="XN121" s="159"/>
      <c r="XO121" s="159"/>
      <c r="XP121" s="159"/>
      <c r="XQ121" s="159"/>
      <c r="XR121" s="159"/>
      <c r="XS121" s="159"/>
      <c r="XT121" s="159"/>
      <c r="XU121" s="159"/>
      <c r="XV121" s="159"/>
      <c r="XW121" s="159"/>
      <c r="XX121" s="159"/>
      <c r="XY121" s="159"/>
      <c r="XZ121" s="159"/>
      <c r="YA121" s="159"/>
      <c r="YB121" s="159"/>
      <c r="YC121" s="159"/>
      <c r="YD121" s="159"/>
      <c r="YE121" s="159"/>
      <c r="YF121" s="159"/>
      <c r="YG121" s="159"/>
      <c r="YH121" s="159"/>
      <c r="YI121" s="159"/>
      <c r="YJ121" s="159"/>
      <c r="YK121" s="159"/>
      <c r="YL121" s="159"/>
      <c r="YM121" s="159"/>
      <c r="YN121" s="159"/>
      <c r="YO121" s="159"/>
      <c r="YP121" s="159"/>
      <c r="YQ121" s="159"/>
      <c r="YR121" s="159"/>
      <c r="YS121" s="159"/>
      <c r="YT121" s="159"/>
      <c r="YU121" s="159"/>
      <c r="YV121" s="159"/>
      <c r="YW121" s="159"/>
      <c r="YX121" s="159"/>
      <c r="YY121" s="159"/>
      <c r="YZ121" s="159"/>
      <c r="ZA121" s="159"/>
      <c r="ZB121" s="159"/>
      <c r="ZC121" s="159"/>
      <c r="ZD121" s="159"/>
      <c r="ZE121" s="159"/>
      <c r="ZF121" s="159"/>
      <c r="ZG121" s="159"/>
      <c r="ZH121" s="159"/>
      <c r="ZI121" s="159"/>
      <c r="ZJ121" s="159"/>
      <c r="ZK121" s="159"/>
      <c r="ZL121" s="159"/>
      <c r="ZM121" s="159"/>
      <c r="ZN121" s="159"/>
      <c r="ZO121" s="159"/>
      <c r="ZP121" s="159"/>
      <c r="ZQ121" s="159"/>
      <c r="ZR121" s="159"/>
      <c r="ZS121" s="159"/>
      <c r="ZT121" s="159"/>
      <c r="ZU121" s="159"/>
      <c r="ZV121" s="159"/>
      <c r="ZW121" s="159"/>
      <c r="ZX121" s="159"/>
      <c r="ZY121" s="159"/>
      <c r="ZZ121" s="159"/>
      <c r="AAA121" s="159"/>
      <c r="AAB121" s="159"/>
      <c r="AAC121" s="159"/>
      <c r="AAD121" s="159"/>
      <c r="AAE121" s="159"/>
      <c r="AAF121" s="159"/>
      <c r="AAG121" s="159"/>
      <c r="AAH121" s="159"/>
      <c r="AAI121" s="159"/>
      <c r="AAJ121" s="159"/>
      <c r="AAK121" s="159"/>
      <c r="AAL121" s="159"/>
      <c r="AAM121" s="159"/>
      <c r="AAN121" s="159"/>
      <c r="AAO121" s="159"/>
      <c r="AAP121" s="159"/>
      <c r="AAQ121" s="159"/>
      <c r="AAR121" s="159"/>
      <c r="AAS121" s="159"/>
      <c r="AAT121" s="159"/>
      <c r="AAU121" s="159"/>
      <c r="AAV121" s="159"/>
      <c r="AAW121" s="159"/>
      <c r="AAX121" s="159"/>
      <c r="AAY121" s="159"/>
      <c r="AAZ121" s="159"/>
      <c r="ABA121" s="159"/>
      <c r="ABB121" s="159"/>
      <c r="ABC121" s="159"/>
      <c r="ABD121" s="159"/>
      <c r="ABE121" s="159"/>
      <c r="ABF121" s="159"/>
      <c r="ABG121" s="159"/>
      <c r="ABH121" s="159"/>
      <c r="ABI121" s="159"/>
      <c r="ABJ121" s="159"/>
      <c r="ABK121" s="159"/>
      <c r="ABL121" s="159"/>
      <c r="ABM121" s="159"/>
      <c r="ABN121" s="159"/>
      <c r="ABO121" s="159"/>
      <c r="ABP121" s="159"/>
      <c r="ABQ121" s="159"/>
      <c r="ABR121" s="159"/>
      <c r="ABS121" s="159"/>
      <c r="ABT121" s="159"/>
      <c r="ABU121" s="159"/>
      <c r="ABV121" s="159"/>
      <c r="ABW121" s="159"/>
      <c r="ABX121" s="159"/>
      <c r="ABY121" s="159"/>
      <c r="ABZ121" s="159"/>
      <c r="ACA121" s="159"/>
      <c r="ACB121" s="159"/>
      <c r="ACC121" s="159"/>
      <c r="ACD121" s="159"/>
      <c r="ACE121" s="159"/>
      <c r="ACF121" s="159"/>
      <c r="ACG121" s="159"/>
      <c r="ACH121" s="159"/>
      <c r="ACI121" s="159"/>
      <c r="ACJ121" s="159"/>
      <c r="ACK121" s="159"/>
      <c r="ACL121" s="159"/>
      <c r="ACM121" s="159"/>
      <c r="ACN121" s="159"/>
      <c r="ACO121" s="159"/>
      <c r="ACP121" s="159"/>
      <c r="ACQ121" s="159"/>
      <c r="ACR121" s="159"/>
      <c r="ACS121" s="159"/>
      <c r="ACT121" s="159"/>
      <c r="ACU121" s="159"/>
      <c r="ACV121" s="159"/>
      <c r="ACW121" s="159"/>
      <c r="ACX121" s="159"/>
      <c r="ACY121" s="159"/>
      <c r="ACZ121" s="159"/>
      <c r="ADA121" s="159"/>
      <c r="ADB121" s="159"/>
      <c r="ADC121" s="159"/>
      <c r="ADD121" s="159"/>
      <c r="ADE121" s="159"/>
      <c r="ADF121" s="159"/>
      <c r="ADG121" s="159"/>
      <c r="ADH121" s="159"/>
      <c r="ADI121" s="159"/>
      <c r="ADJ121" s="159"/>
      <c r="ADK121" s="159"/>
      <c r="ADL121" s="159"/>
      <c r="ADM121" s="159"/>
      <c r="ADN121" s="159"/>
      <c r="ADO121" s="159"/>
      <c r="ADP121" s="159"/>
      <c r="ADQ121" s="159"/>
      <c r="ADR121" s="159"/>
      <c r="ADS121" s="159"/>
      <c r="ADT121" s="159"/>
      <c r="ADU121" s="159"/>
      <c r="ADV121" s="159"/>
      <c r="ADW121" s="159"/>
      <c r="ADX121" s="159"/>
      <c r="ADY121" s="159"/>
      <c r="ADZ121" s="159"/>
      <c r="AEA121" s="159"/>
      <c r="AEB121" s="159"/>
      <c r="AEC121" s="159"/>
      <c r="AED121" s="159"/>
      <c r="AEE121" s="159"/>
      <c r="AEF121" s="159"/>
      <c r="AEG121" s="159"/>
      <c r="AEH121" s="159"/>
      <c r="AEI121" s="159"/>
      <c r="AEJ121" s="159"/>
      <c r="AEK121" s="159"/>
      <c r="AEL121" s="159"/>
      <c r="AEM121" s="159"/>
      <c r="AEN121" s="159"/>
      <c r="AEO121" s="159"/>
      <c r="AEP121" s="159"/>
      <c r="AEQ121" s="159"/>
      <c r="AER121" s="159"/>
      <c r="AES121" s="159"/>
      <c r="AET121" s="159"/>
      <c r="AEU121" s="159"/>
      <c r="AEV121" s="159"/>
      <c r="AEW121" s="159"/>
      <c r="AEX121" s="159"/>
      <c r="AEY121" s="159"/>
      <c r="AEZ121" s="159"/>
      <c r="AFA121" s="159"/>
      <c r="AFB121" s="159"/>
      <c r="AFC121" s="159"/>
      <c r="AFD121" s="159"/>
      <c r="AFE121" s="159"/>
      <c r="AFF121" s="159"/>
      <c r="AFG121" s="159"/>
      <c r="AFH121" s="159"/>
      <c r="AFI121" s="159"/>
      <c r="AFJ121" s="159"/>
      <c r="AFK121" s="159"/>
      <c r="AFL121" s="159"/>
      <c r="AFM121" s="159"/>
      <c r="AFN121" s="159"/>
      <c r="AFO121" s="159"/>
      <c r="AFP121" s="159"/>
      <c r="AFQ121" s="159"/>
      <c r="AFR121" s="159"/>
      <c r="AFS121" s="159"/>
      <c r="AFT121" s="159"/>
      <c r="AFU121" s="159"/>
      <c r="AFV121" s="159"/>
      <c r="AFW121" s="159"/>
      <c r="AFX121" s="159"/>
      <c r="AFY121" s="159"/>
      <c r="AFZ121" s="159"/>
      <c r="AGA121" s="159"/>
      <c r="AGB121" s="159"/>
      <c r="AGC121" s="159"/>
      <c r="AGD121" s="159"/>
      <c r="AGE121" s="159"/>
      <c r="AGF121" s="159"/>
      <c r="AGG121" s="159"/>
      <c r="AGH121" s="159"/>
      <c r="AGI121" s="159"/>
      <c r="AGJ121" s="159"/>
      <c r="AGK121" s="159"/>
      <c r="AGL121" s="159"/>
      <c r="AGM121" s="159"/>
      <c r="AGN121" s="159"/>
      <c r="AGO121" s="159"/>
      <c r="AGP121" s="159"/>
      <c r="AGQ121" s="159"/>
      <c r="AGR121" s="159"/>
      <c r="AGS121" s="159"/>
      <c r="AGT121" s="159"/>
      <c r="AGU121" s="159"/>
      <c r="AGV121" s="159"/>
      <c r="AGW121" s="159"/>
      <c r="AGX121" s="159"/>
      <c r="AGY121" s="159"/>
      <c r="AGZ121" s="159"/>
      <c r="AHA121" s="159"/>
      <c r="AHB121" s="159"/>
      <c r="AHC121" s="159"/>
      <c r="AHD121" s="159"/>
      <c r="AHE121" s="159"/>
      <c r="AHF121" s="159"/>
      <c r="AHG121" s="159"/>
      <c r="AHH121" s="159"/>
      <c r="AHI121" s="159"/>
      <c r="AHJ121" s="159"/>
      <c r="AHK121" s="159"/>
      <c r="AHL121" s="159"/>
      <c r="AHM121" s="159"/>
      <c r="AHN121" s="159"/>
      <c r="AHO121" s="159"/>
      <c r="AHP121" s="159"/>
      <c r="AHQ121" s="159"/>
      <c r="AHR121" s="159"/>
      <c r="AHS121" s="159"/>
      <c r="AHT121" s="159"/>
      <c r="AHU121" s="159"/>
      <c r="AHV121" s="159"/>
      <c r="AHW121" s="159"/>
      <c r="AHX121" s="159"/>
      <c r="AHY121" s="159"/>
      <c r="AHZ121" s="159"/>
      <c r="AIA121" s="159"/>
      <c r="AIB121" s="159"/>
      <c r="AIC121" s="159"/>
      <c r="AID121" s="159"/>
      <c r="AIE121" s="159"/>
      <c r="AIF121" s="159"/>
      <c r="AIG121" s="159"/>
      <c r="AIH121" s="159"/>
      <c r="AII121" s="159"/>
      <c r="AIJ121" s="159"/>
      <c r="AIK121" s="159"/>
      <c r="AIL121" s="159"/>
      <c r="AIM121" s="159"/>
      <c r="AIN121" s="159"/>
      <c r="AIO121" s="159"/>
      <c r="AIP121" s="159"/>
      <c r="AIQ121" s="159"/>
      <c r="AIR121" s="159"/>
      <c r="AIS121" s="159"/>
      <c r="AIT121" s="159"/>
      <c r="AIU121" s="159"/>
      <c r="AIV121" s="159"/>
      <c r="AIW121" s="159"/>
      <c r="AIX121" s="159"/>
      <c r="AIY121" s="159"/>
      <c r="AIZ121" s="159"/>
      <c r="AJA121" s="159"/>
      <c r="AJB121" s="159"/>
      <c r="AJC121" s="159"/>
      <c r="AJD121" s="159"/>
      <c r="AJE121" s="159"/>
      <c r="AJF121" s="159"/>
      <c r="AJG121" s="159"/>
      <c r="AJH121" s="159"/>
      <c r="AJI121" s="159"/>
      <c r="AJJ121" s="159"/>
      <c r="AJK121" s="159"/>
      <c r="AJL121" s="159"/>
      <c r="AJM121" s="159"/>
      <c r="AJN121" s="159"/>
      <c r="AJO121" s="159"/>
      <c r="AJP121" s="159"/>
      <c r="AJQ121" s="159"/>
      <c r="AJR121" s="159"/>
      <c r="AJS121" s="159"/>
      <c r="AJT121" s="159"/>
      <c r="AJU121" s="159"/>
      <c r="AJV121" s="159"/>
      <c r="AJW121" s="159"/>
      <c r="AJX121" s="159"/>
      <c r="AJY121" s="159"/>
      <c r="AJZ121" s="159"/>
      <c r="AKA121" s="159"/>
      <c r="AKB121" s="159"/>
      <c r="AKC121" s="159"/>
      <c r="AKD121" s="159"/>
      <c r="AKE121" s="159"/>
      <c r="AKF121" s="159"/>
      <c r="AKG121" s="159"/>
      <c r="AKH121" s="159"/>
      <c r="AKI121" s="159"/>
      <c r="AKJ121" s="159"/>
      <c r="AKK121" s="159"/>
      <c r="AKL121" s="159"/>
      <c r="AKM121" s="159"/>
      <c r="AKN121" s="159"/>
      <c r="AKO121" s="159"/>
      <c r="AKP121" s="159"/>
      <c r="AKQ121" s="159"/>
      <c r="AKR121" s="159"/>
      <c r="AKS121" s="159"/>
      <c r="AKT121" s="159"/>
      <c r="AKU121" s="159"/>
      <c r="AKV121" s="159"/>
      <c r="AKW121" s="159"/>
      <c r="AKX121" s="159"/>
      <c r="AKY121" s="159"/>
      <c r="AKZ121" s="159"/>
      <c r="ALA121" s="159"/>
      <c r="ALB121" s="159"/>
      <c r="ALC121" s="159"/>
      <c r="ALD121" s="159"/>
      <c r="ALE121" s="159"/>
      <c r="ALF121" s="159"/>
      <c r="ALG121" s="159"/>
      <c r="ALH121" s="159"/>
      <c r="ALI121" s="159"/>
      <c r="ALJ121" s="159"/>
      <c r="ALK121" s="159"/>
      <c r="ALL121" s="159"/>
      <c r="ALM121" s="159"/>
      <c r="ALN121" s="159"/>
      <c r="ALO121" s="159"/>
      <c r="ALP121" s="159"/>
      <c r="ALQ121" s="159"/>
      <c r="ALR121" s="159"/>
      <c r="ALS121" s="159"/>
      <c r="ALT121" s="159"/>
      <c r="ALU121" s="159"/>
      <c r="ALV121" s="159"/>
      <c r="ALW121" s="159"/>
      <c r="ALX121" s="159"/>
      <c r="ALY121" s="159"/>
      <c r="ALZ121" s="159"/>
      <c r="AMA121" s="159"/>
      <c r="AMB121" s="159"/>
      <c r="AMC121" s="159"/>
      <c r="AMD121" s="159"/>
      <c r="AME121" s="159"/>
      <c r="AMF121" s="159"/>
      <c r="AMG121" s="159"/>
      <c r="AMH121" s="159"/>
      <c r="AMI121" s="159"/>
      <c r="AMJ121" s="159"/>
      <c r="AMK121" s="159"/>
      <c r="AML121" s="159"/>
      <c r="AMM121" s="159"/>
      <c r="AMN121" s="159"/>
      <c r="AMO121" s="159"/>
    </row>
    <row r="122" spans="1:1029" s="161" customFormat="1" ht="25.5" x14ac:dyDescent="0.25">
      <c r="A122" s="138">
        <v>46191</v>
      </c>
      <c r="B122" s="99" t="s">
        <v>166</v>
      </c>
      <c r="C122" s="99" t="s">
        <v>51</v>
      </c>
      <c r="D122" s="160" t="s">
        <v>13</v>
      </c>
      <c r="E122" s="118" t="s">
        <v>29</v>
      </c>
      <c r="F122" s="99" t="s">
        <v>51</v>
      </c>
      <c r="G122" s="99" t="s">
        <v>52</v>
      </c>
      <c r="H122" s="141">
        <f t="shared" si="8"/>
        <v>0.5</v>
      </c>
      <c r="I122" s="121" t="s">
        <v>154</v>
      </c>
      <c r="J122" s="121" t="s">
        <v>51</v>
      </c>
      <c r="K122" s="121" t="s">
        <v>168</v>
      </c>
      <c r="L122" s="141">
        <f t="shared" si="9"/>
        <v>0.5</v>
      </c>
      <c r="M122" s="121" t="s">
        <v>42</v>
      </c>
      <c r="N122" s="121" t="s">
        <v>82</v>
      </c>
      <c r="O122" s="121" t="s">
        <v>168</v>
      </c>
      <c r="P122" s="141" t="b">
        <f t="shared" si="10"/>
        <v>0</v>
      </c>
      <c r="Q122" s="149" t="s">
        <v>42</v>
      </c>
      <c r="R122" s="99" t="s">
        <v>77</v>
      </c>
      <c r="S122" s="99" t="s">
        <v>21</v>
      </c>
      <c r="T122" s="141" t="b">
        <f t="shared" si="11"/>
        <v>0</v>
      </c>
      <c r="U122" s="159"/>
      <c r="V122" s="159"/>
      <c r="W122" s="159"/>
      <c r="X122" s="159"/>
      <c r="Y122" s="159"/>
      <c r="Z122" s="159"/>
      <c r="AA122" s="159"/>
      <c r="AB122" s="159"/>
      <c r="AC122" s="159"/>
      <c r="AD122" s="159"/>
      <c r="AE122" s="159"/>
      <c r="AF122" s="159"/>
      <c r="AG122" s="159"/>
      <c r="AH122" s="159"/>
      <c r="AI122" s="159"/>
      <c r="AJ122" s="159"/>
      <c r="AK122" s="159"/>
      <c r="AL122" s="159"/>
      <c r="AM122" s="159"/>
      <c r="AN122" s="159"/>
      <c r="AO122" s="159"/>
      <c r="AP122" s="159"/>
      <c r="AQ122" s="159"/>
      <c r="AR122" s="159"/>
      <c r="AS122" s="159"/>
      <c r="AT122" s="159"/>
      <c r="AU122" s="159"/>
      <c r="AV122" s="159"/>
      <c r="AW122" s="159"/>
      <c r="AX122" s="159"/>
      <c r="AY122" s="159"/>
      <c r="AZ122" s="159"/>
      <c r="BA122" s="159"/>
      <c r="BB122" s="159"/>
      <c r="BC122" s="159"/>
      <c r="BD122" s="159"/>
      <c r="BE122" s="159"/>
      <c r="BF122" s="159"/>
      <c r="BG122" s="159"/>
      <c r="BH122" s="159"/>
      <c r="BI122" s="159"/>
      <c r="BJ122" s="159"/>
      <c r="BK122" s="159"/>
      <c r="BL122" s="159"/>
      <c r="BM122" s="159"/>
      <c r="BN122" s="159"/>
      <c r="BO122" s="159"/>
      <c r="BP122" s="159"/>
      <c r="BQ122" s="159"/>
      <c r="BR122" s="159"/>
      <c r="BS122" s="159"/>
      <c r="BT122" s="159"/>
      <c r="BU122" s="159"/>
      <c r="BV122" s="159"/>
      <c r="BW122" s="159"/>
      <c r="BX122" s="159"/>
      <c r="BY122" s="159"/>
      <c r="BZ122" s="159"/>
      <c r="CA122" s="159"/>
      <c r="CB122" s="159"/>
      <c r="CC122" s="159"/>
      <c r="CD122" s="159"/>
      <c r="CE122" s="159"/>
      <c r="CF122" s="159"/>
      <c r="CG122" s="159"/>
      <c r="CH122" s="159"/>
      <c r="CI122" s="159"/>
      <c r="CJ122" s="159"/>
      <c r="CK122" s="159"/>
      <c r="CL122" s="159"/>
      <c r="CM122" s="159"/>
      <c r="CN122" s="159"/>
      <c r="CO122" s="159"/>
      <c r="CP122" s="159"/>
      <c r="CQ122" s="159"/>
      <c r="CR122" s="159"/>
      <c r="CS122" s="159"/>
      <c r="CT122" s="159"/>
      <c r="CU122" s="159"/>
      <c r="CV122" s="159"/>
      <c r="CW122" s="159"/>
      <c r="CX122" s="159"/>
      <c r="CY122" s="159"/>
      <c r="CZ122" s="159"/>
      <c r="DA122" s="159"/>
      <c r="DB122" s="159"/>
      <c r="DC122" s="159"/>
      <c r="DD122" s="159"/>
      <c r="DE122" s="159"/>
      <c r="DF122" s="159"/>
      <c r="DG122" s="159"/>
      <c r="DH122" s="159"/>
      <c r="DI122" s="159"/>
      <c r="DJ122" s="159"/>
      <c r="DK122" s="159"/>
      <c r="DL122" s="159"/>
      <c r="DM122" s="159"/>
      <c r="DN122" s="159"/>
      <c r="DO122" s="159"/>
      <c r="DP122" s="159"/>
      <c r="DQ122" s="159"/>
      <c r="DR122" s="159"/>
      <c r="DS122" s="159"/>
      <c r="DT122" s="159"/>
      <c r="DU122" s="159"/>
      <c r="DV122" s="159"/>
      <c r="DW122" s="159"/>
      <c r="DX122" s="159"/>
      <c r="DY122" s="159"/>
      <c r="DZ122" s="159"/>
      <c r="EA122" s="159"/>
      <c r="EB122" s="159"/>
      <c r="EC122" s="159"/>
      <c r="ED122" s="159"/>
      <c r="EE122" s="159"/>
      <c r="EF122" s="159"/>
      <c r="EG122" s="159"/>
      <c r="EH122" s="159"/>
      <c r="EI122" s="159"/>
      <c r="EJ122" s="159"/>
      <c r="EK122" s="159"/>
      <c r="EL122" s="159"/>
      <c r="EM122" s="159"/>
      <c r="EN122" s="159"/>
      <c r="EO122" s="159"/>
      <c r="EP122" s="159"/>
      <c r="EQ122" s="159"/>
      <c r="ER122" s="159"/>
      <c r="ES122" s="159"/>
      <c r="ET122" s="159"/>
      <c r="EU122" s="159"/>
      <c r="EV122" s="159"/>
      <c r="EW122" s="159"/>
      <c r="EX122" s="159"/>
      <c r="EY122" s="159"/>
      <c r="EZ122" s="159"/>
      <c r="FA122" s="159"/>
      <c r="FB122" s="159"/>
      <c r="FC122" s="159"/>
      <c r="FD122" s="159"/>
      <c r="FE122" s="159"/>
      <c r="FF122" s="159"/>
      <c r="FG122" s="159"/>
      <c r="FH122" s="159"/>
      <c r="FI122" s="159"/>
      <c r="FJ122" s="159"/>
      <c r="FK122" s="159"/>
      <c r="FL122" s="159"/>
      <c r="FM122" s="159"/>
      <c r="FN122" s="159"/>
      <c r="FO122" s="159"/>
      <c r="FP122" s="159"/>
      <c r="FQ122" s="159"/>
      <c r="FR122" s="159"/>
      <c r="FS122" s="159"/>
      <c r="FT122" s="159"/>
      <c r="FU122" s="159"/>
      <c r="FV122" s="159"/>
      <c r="FW122" s="159"/>
      <c r="FX122" s="159"/>
      <c r="FY122" s="159"/>
      <c r="FZ122" s="159"/>
      <c r="GA122" s="159"/>
      <c r="GB122" s="159"/>
      <c r="GC122" s="159"/>
      <c r="GD122" s="159"/>
      <c r="GE122" s="159"/>
      <c r="GF122" s="159"/>
      <c r="GG122" s="159"/>
      <c r="GH122" s="159"/>
      <c r="GI122" s="159"/>
      <c r="GJ122" s="159"/>
      <c r="GK122" s="159"/>
      <c r="GL122" s="159"/>
      <c r="GM122" s="159"/>
      <c r="GN122" s="159"/>
      <c r="GO122" s="159"/>
      <c r="GP122" s="159"/>
      <c r="GQ122" s="159"/>
      <c r="GR122" s="159"/>
      <c r="GS122" s="159"/>
      <c r="GT122" s="159"/>
      <c r="GU122" s="159"/>
      <c r="GV122" s="159"/>
      <c r="GW122" s="159"/>
      <c r="GX122" s="159"/>
      <c r="GY122" s="159"/>
      <c r="GZ122" s="159"/>
      <c r="HA122" s="159"/>
      <c r="HB122" s="159"/>
      <c r="HC122" s="159"/>
      <c r="HD122" s="159"/>
      <c r="HE122" s="159"/>
      <c r="HF122" s="159"/>
      <c r="HG122" s="159"/>
      <c r="HH122" s="159"/>
      <c r="HI122" s="159"/>
      <c r="HJ122" s="159"/>
      <c r="HK122" s="159"/>
      <c r="HL122" s="159"/>
      <c r="HM122" s="159"/>
      <c r="HN122" s="159"/>
      <c r="HO122" s="159"/>
      <c r="HP122" s="159"/>
      <c r="HQ122" s="159"/>
      <c r="HR122" s="159"/>
      <c r="HS122" s="159"/>
      <c r="HT122" s="159"/>
      <c r="HU122" s="159"/>
      <c r="HV122" s="159"/>
      <c r="HW122" s="159"/>
      <c r="HX122" s="159"/>
      <c r="HY122" s="159"/>
      <c r="HZ122" s="159"/>
      <c r="IA122" s="159"/>
      <c r="IB122" s="159"/>
      <c r="IC122" s="159"/>
      <c r="ID122" s="159"/>
      <c r="IE122" s="159"/>
      <c r="IF122" s="159"/>
      <c r="IG122" s="159"/>
      <c r="IH122" s="159"/>
      <c r="II122" s="159"/>
      <c r="IJ122" s="159"/>
      <c r="IK122" s="159"/>
      <c r="IL122" s="159"/>
      <c r="IM122" s="159"/>
      <c r="IN122" s="159"/>
      <c r="IO122" s="159"/>
      <c r="IP122" s="159"/>
      <c r="IQ122" s="159"/>
      <c r="IR122" s="159"/>
      <c r="IS122" s="159"/>
      <c r="IT122" s="159"/>
      <c r="IU122" s="159"/>
      <c r="IV122" s="159"/>
      <c r="IW122" s="159"/>
      <c r="IX122" s="159"/>
      <c r="IY122" s="159"/>
      <c r="IZ122" s="159"/>
      <c r="JA122" s="159"/>
      <c r="JB122" s="159"/>
      <c r="JC122" s="159"/>
      <c r="JD122" s="159"/>
      <c r="JE122" s="159"/>
      <c r="JF122" s="159"/>
      <c r="JG122" s="159"/>
      <c r="JH122" s="159"/>
      <c r="JI122" s="159"/>
      <c r="JJ122" s="159"/>
      <c r="JK122" s="159"/>
      <c r="JL122" s="159"/>
      <c r="JM122" s="159"/>
      <c r="JN122" s="159"/>
      <c r="JO122" s="159"/>
      <c r="JP122" s="159"/>
      <c r="JQ122" s="159"/>
      <c r="JR122" s="159"/>
      <c r="JS122" s="159"/>
      <c r="JT122" s="159"/>
      <c r="JU122" s="159"/>
      <c r="JV122" s="159"/>
      <c r="JW122" s="159"/>
      <c r="JX122" s="159"/>
      <c r="JY122" s="159"/>
      <c r="JZ122" s="159"/>
      <c r="KA122" s="159"/>
      <c r="KB122" s="159"/>
      <c r="KC122" s="159"/>
      <c r="KD122" s="159"/>
      <c r="KE122" s="159"/>
      <c r="KF122" s="159"/>
      <c r="KG122" s="159"/>
      <c r="KH122" s="159"/>
      <c r="KI122" s="159"/>
      <c r="KJ122" s="159"/>
      <c r="KK122" s="159"/>
      <c r="KL122" s="159"/>
      <c r="KM122" s="159"/>
      <c r="KN122" s="159"/>
      <c r="KO122" s="159"/>
      <c r="KP122" s="159"/>
      <c r="KQ122" s="159"/>
      <c r="KR122" s="159"/>
      <c r="KS122" s="159"/>
      <c r="KT122" s="159"/>
      <c r="KU122" s="159"/>
      <c r="KV122" s="159"/>
      <c r="KW122" s="159"/>
      <c r="KX122" s="159"/>
      <c r="KY122" s="159"/>
      <c r="KZ122" s="159"/>
      <c r="LA122" s="159"/>
      <c r="LB122" s="159"/>
      <c r="LC122" s="159"/>
      <c r="LD122" s="159"/>
      <c r="LE122" s="159"/>
      <c r="LF122" s="159"/>
      <c r="LG122" s="159"/>
      <c r="LH122" s="159"/>
      <c r="LI122" s="159"/>
      <c r="LJ122" s="159"/>
      <c r="LK122" s="159"/>
      <c r="LL122" s="159"/>
      <c r="LM122" s="159"/>
      <c r="LN122" s="159"/>
      <c r="LO122" s="159"/>
      <c r="LP122" s="159"/>
      <c r="LQ122" s="159"/>
      <c r="LR122" s="159"/>
      <c r="LS122" s="159"/>
      <c r="LT122" s="159"/>
      <c r="LU122" s="159"/>
      <c r="LV122" s="159"/>
      <c r="LW122" s="159"/>
      <c r="LX122" s="159"/>
      <c r="LY122" s="159"/>
      <c r="LZ122" s="159"/>
      <c r="MA122" s="159"/>
      <c r="MB122" s="159"/>
      <c r="MC122" s="159"/>
      <c r="MD122" s="159"/>
      <c r="ME122" s="159"/>
      <c r="MF122" s="159"/>
      <c r="MG122" s="159"/>
      <c r="MH122" s="159"/>
      <c r="MI122" s="159"/>
      <c r="MJ122" s="159"/>
      <c r="MK122" s="159"/>
      <c r="ML122" s="159"/>
      <c r="MM122" s="159"/>
      <c r="MN122" s="159"/>
      <c r="MO122" s="159"/>
      <c r="MP122" s="159"/>
      <c r="MQ122" s="159"/>
      <c r="MR122" s="159"/>
      <c r="MS122" s="159"/>
      <c r="MT122" s="159"/>
      <c r="MU122" s="159"/>
      <c r="MV122" s="159"/>
      <c r="MW122" s="159"/>
      <c r="MX122" s="159"/>
      <c r="MY122" s="159"/>
      <c r="MZ122" s="159"/>
      <c r="NA122" s="159"/>
      <c r="NB122" s="159"/>
      <c r="NC122" s="159"/>
      <c r="ND122" s="159"/>
      <c r="NE122" s="159"/>
      <c r="NF122" s="159"/>
      <c r="NG122" s="159"/>
      <c r="NH122" s="159"/>
      <c r="NI122" s="159"/>
      <c r="NJ122" s="159"/>
      <c r="NK122" s="159"/>
      <c r="NL122" s="159"/>
      <c r="NM122" s="159"/>
      <c r="NN122" s="159"/>
      <c r="NO122" s="159"/>
      <c r="NP122" s="159"/>
      <c r="NQ122" s="159"/>
      <c r="NR122" s="159"/>
      <c r="NS122" s="159"/>
      <c r="NT122" s="159"/>
      <c r="NU122" s="159"/>
      <c r="NV122" s="159"/>
      <c r="NW122" s="159"/>
      <c r="NX122" s="159"/>
      <c r="NY122" s="159"/>
      <c r="NZ122" s="159"/>
      <c r="OA122" s="159"/>
      <c r="OB122" s="159"/>
      <c r="OC122" s="159"/>
      <c r="OD122" s="159"/>
      <c r="OE122" s="159"/>
      <c r="OF122" s="159"/>
      <c r="OG122" s="159"/>
      <c r="OH122" s="159"/>
      <c r="OI122" s="159"/>
      <c r="OJ122" s="159"/>
      <c r="OK122" s="159"/>
      <c r="OL122" s="159"/>
      <c r="OM122" s="159"/>
      <c r="ON122" s="159"/>
      <c r="OO122" s="159"/>
      <c r="OP122" s="159"/>
      <c r="OQ122" s="159"/>
      <c r="OR122" s="159"/>
      <c r="OS122" s="159"/>
      <c r="OT122" s="159"/>
      <c r="OU122" s="159"/>
      <c r="OV122" s="159"/>
      <c r="OW122" s="159"/>
      <c r="OX122" s="159"/>
      <c r="OY122" s="159"/>
      <c r="OZ122" s="159"/>
      <c r="PA122" s="159"/>
      <c r="PB122" s="159"/>
      <c r="PC122" s="159"/>
      <c r="PD122" s="159"/>
      <c r="PE122" s="159"/>
      <c r="PF122" s="159"/>
      <c r="PG122" s="159"/>
      <c r="PH122" s="159"/>
      <c r="PI122" s="159"/>
      <c r="PJ122" s="159"/>
      <c r="PK122" s="159"/>
      <c r="PL122" s="159"/>
      <c r="PM122" s="159"/>
      <c r="PN122" s="159"/>
      <c r="PO122" s="159"/>
      <c r="PP122" s="159"/>
      <c r="PQ122" s="159"/>
      <c r="PR122" s="159"/>
      <c r="PS122" s="159"/>
      <c r="PT122" s="159"/>
      <c r="PU122" s="159"/>
      <c r="PV122" s="159"/>
      <c r="PW122" s="159"/>
      <c r="PX122" s="159"/>
      <c r="PY122" s="159"/>
      <c r="PZ122" s="159"/>
      <c r="QA122" s="159"/>
      <c r="QB122" s="159"/>
      <c r="QC122" s="159"/>
      <c r="QD122" s="159"/>
      <c r="QE122" s="159"/>
      <c r="QF122" s="159"/>
      <c r="QG122" s="159"/>
      <c r="QH122" s="159"/>
      <c r="QI122" s="159"/>
      <c r="QJ122" s="159"/>
      <c r="QK122" s="159"/>
      <c r="QL122" s="159"/>
      <c r="QM122" s="159"/>
      <c r="QN122" s="159"/>
      <c r="QO122" s="159"/>
      <c r="QP122" s="159"/>
      <c r="QQ122" s="159"/>
      <c r="QR122" s="159"/>
      <c r="QS122" s="159"/>
      <c r="QT122" s="159"/>
      <c r="QU122" s="159"/>
      <c r="QV122" s="159"/>
      <c r="QW122" s="159"/>
      <c r="QX122" s="159"/>
      <c r="QY122" s="159"/>
      <c r="QZ122" s="159"/>
      <c r="RA122" s="159"/>
      <c r="RB122" s="159"/>
      <c r="RC122" s="159"/>
      <c r="RD122" s="159"/>
      <c r="RE122" s="159"/>
      <c r="RF122" s="159"/>
      <c r="RG122" s="159"/>
      <c r="RH122" s="159"/>
      <c r="RI122" s="159"/>
      <c r="RJ122" s="159"/>
      <c r="RK122" s="159"/>
      <c r="RL122" s="159"/>
      <c r="RM122" s="159"/>
      <c r="RN122" s="159"/>
      <c r="RO122" s="159"/>
      <c r="RP122" s="159"/>
      <c r="RQ122" s="159"/>
      <c r="RR122" s="159"/>
      <c r="RS122" s="159"/>
      <c r="RT122" s="159"/>
      <c r="RU122" s="159"/>
      <c r="RV122" s="159"/>
      <c r="RW122" s="159"/>
      <c r="RX122" s="159"/>
      <c r="RY122" s="159"/>
      <c r="RZ122" s="159"/>
      <c r="SA122" s="159"/>
      <c r="SB122" s="159"/>
      <c r="SC122" s="159"/>
      <c r="SD122" s="159"/>
      <c r="SE122" s="159"/>
      <c r="SF122" s="159"/>
      <c r="SG122" s="159"/>
      <c r="SH122" s="159"/>
      <c r="SI122" s="159"/>
      <c r="SJ122" s="159"/>
      <c r="SK122" s="159"/>
      <c r="SL122" s="159"/>
      <c r="SM122" s="159"/>
      <c r="SN122" s="159"/>
      <c r="SO122" s="159"/>
      <c r="SP122" s="159"/>
      <c r="SQ122" s="159"/>
      <c r="SR122" s="159"/>
      <c r="SS122" s="159"/>
      <c r="ST122" s="159"/>
      <c r="SU122" s="159"/>
      <c r="SV122" s="159"/>
      <c r="SW122" s="159"/>
      <c r="SX122" s="159"/>
      <c r="SY122" s="159"/>
      <c r="SZ122" s="159"/>
      <c r="TA122" s="159"/>
      <c r="TB122" s="159"/>
      <c r="TC122" s="159"/>
      <c r="TD122" s="159"/>
      <c r="TE122" s="159"/>
      <c r="TF122" s="159"/>
      <c r="TG122" s="159"/>
      <c r="TH122" s="159"/>
      <c r="TI122" s="159"/>
      <c r="TJ122" s="159"/>
      <c r="TK122" s="159"/>
      <c r="TL122" s="159"/>
      <c r="TM122" s="159"/>
      <c r="TN122" s="159"/>
      <c r="TO122" s="159"/>
      <c r="TP122" s="159"/>
      <c r="TQ122" s="159"/>
      <c r="TR122" s="159"/>
      <c r="TS122" s="159"/>
      <c r="TT122" s="159"/>
      <c r="TU122" s="159"/>
      <c r="TV122" s="159"/>
      <c r="TW122" s="159"/>
      <c r="TX122" s="159"/>
      <c r="TY122" s="159"/>
      <c r="TZ122" s="159"/>
      <c r="UA122" s="159"/>
      <c r="UB122" s="159"/>
      <c r="UC122" s="159"/>
      <c r="UD122" s="159"/>
      <c r="UE122" s="159"/>
      <c r="UF122" s="159"/>
      <c r="UG122" s="159"/>
      <c r="UH122" s="159"/>
      <c r="UI122" s="159"/>
      <c r="UJ122" s="159"/>
      <c r="UK122" s="159"/>
      <c r="UL122" s="159"/>
      <c r="UM122" s="159"/>
      <c r="UN122" s="159"/>
      <c r="UO122" s="159"/>
      <c r="UP122" s="159"/>
      <c r="UQ122" s="159"/>
      <c r="UR122" s="159"/>
      <c r="US122" s="159"/>
      <c r="UT122" s="159"/>
      <c r="UU122" s="159"/>
      <c r="UV122" s="159"/>
      <c r="UW122" s="159"/>
      <c r="UX122" s="159"/>
      <c r="UY122" s="159"/>
      <c r="UZ122" s="159"/>
      <c r="VA122" s="159"/>
      <c r="VB122" s="159"/>
      <c r="VC122" s="159"/>
      <c r="VD122" s="159"/>
      <c r="VE122" s="159"/>
      <c r="VF122" s="159"/>
      <c r="VG122" s="159"/>
      <c r="VH122" s="159"/>
      <c r="VI122" s="159"/>
      <c r="VJ122" s="159"/>
      <c r="VK122" s="159"/>
      <c r="VL122" s="159"/>
      <c r="VM122" s="159"/>
      <c r="VN122" s="159"/>
      <c r="VO122" s="159"/>
      <c r="VP122" s="159"/>
      <c r="VQ122" s="159"/>
      <c r="VR122" s="159"/>
      <c r="VS122" s="159"/>
      <c r="VT122" s="159"/>
      <c r="VU122" s="159"/>
      <c r="VV122" s="159"/>
      <c r="VW122" s="159"/>
      <c r="VX122" s="159"/>
      <c r="VY122" s="159"/>
      <c r="VZ122" s="159"/>
      <c r="WA122" s="159"/>
      <c r="WB122" s="159"/>
      <c r="WC122" s="159"/>
      <c r="WD122" s="159"/>
      <c r="WE122" s="159"/>
      <c r="WF122" s="159"/>
      <c r="WG122" s="159"/>
      <c r="WH122" s="159"/>
      <c r="WI122" s="159"/>
      <c r="WJ122" s="159"/>
      <c r="WK122" s="159"/>
      <c r="WL122" s="159"/>
      <c r="WM122" s="159"/>
      <c r="WN122" s="159"/>
      <c r="WO122" s="159"/>
      <c r="WP122" s="159"/>
      <c r="WQ122" s="159"/>
      <c r="WR122" s="159"/>
      <c r="WS122" s="159"/>
      <c r="WT122" s="159"/>
      <c r="WU122" s="159"/>
      <c r="WV122" s="159"/>
      <c r="WW122" s="159"/>
      <c r="WX122" s="159"/>
      <c r="WY122" s="159"/>
      <c r="WZ122" s="159"/>
      <c r="XA122" s="159"/>
      <c r="XB122" s="159"/>
      <c r="XC122" s="159"/>
      <c r="XD122" s="159"/>
      <c r="XE122" s="159"/>
      <c r="XF122" s="159"/>
      <c r="XG122" s="159"/>
      <c r="XH122" s="159"/>
      <c r="XI122" s="159"/>
      <c r="XJ122" s="159"/>
      <c r="XK122" s="159"/>
      <c r="XL122" s="159"/>
      <c r="XM122" s="159"/>
      <c r="XN122" s="159"/>
      <c r="XO122" s="159"/>
      <c r="XP122" s="159"/>
      <c r="XQ122" s="159"/>
      <c r="XR122" s="159"/>
      <c r="XS122" s="159"/>
      <c r="XT122" s="159"/>
      <c r="XU122" s="159"/>
      <c r="XV122" s="159"/>
      <c r="XW122" s="159"/>
      <c r="XX122" s="159"/>
      <c r="XY122" s="159"/>
      <c r="XZ122" s="159"/>
      <c r="YA122" s="159"/>
      <c r="YB122" s="159"/>
      <c r="YC122" s="159"/>
      <c r="YD122" s="159"/>
      <c r="YE122" s="159"/>
      <c r="YF122" s="159"/>
      <c r="YG122" s="159"/>
      <c r="YH122" s="159"/>
      <c r="YI122" s="159"/>
      <c r="YJ122" s="159"/>
      <c r="YK122" s="159"/>
      <c r="YL122" s="159"/>
      <c r="YM122" s="159"/>
      <c r="YN122" s="159"/>
      <c r="YO122" s="159"/>
      <c r="YP122" s="159"/>
      <c r="YQ122" s="159"/>
      <c r="YR122" s="159"/>
      <c r="YS122" s="159"/>
      <c r="YT122" s="159"/>
      <c r="YU122" s="159"/>
      <c r="YV122" s="159"/>
      <c r="YW122" s="159"/>
      <c r="YX122" s="159"/>
      <c r="YY122" s="159"/>
      <c r="YZ122" s="159"/>
      <c r="ZA122" s="159"/>
      <c r="ZB122" s="159"/>
      <c r="ZC122" s="159"/>
      <c r="ZD122" s="159"/>
      <c r="ZE122" s="159"/>
      <c r="ZF122" s="159"/>
      <c r="ZG122" s="159"/>
      <c r="ZH122" s="159"/>
      <c r="ZI122" s="159"/>
      <c r="ZJ122" s="159"/>
      <c r="ZK122" s="159"/>
      <c r="ZL122" s="159"/>
      <c r="ZM122" s="159"/>
      <c r="ZN122" s="159"/>
      <c r="ZO122" s="159"/>
      <c r="ZP122" s="159"/>
      <c r="ZQ122" s="159"/>
      <c r="ZR122" s="159"/>
      <c r="ZS122" s="159"/>
      <c r="ZT122" s="159"/>
      <c r="ZU122" s="159"/>
      <c r="ZV122" s="159"/>
      <c r="ZW122" s="159"/>
      <c r="ZX122" s="159"/>
      <c r="ZY122" s="159"/>
      <c r="ZZ122" s="159"/>
      <c r="AAA122" s="159"/>
      <c r="AAB122" s="159"/>
      <c r="AAC122" s="159"/>
      <c r="AAD122" s="159"/>
      <c r="AAE122" s="159"/>
      <c r="AAF122" s="159"/>
      <c r="AAG122" s="159"/>
      <c r="AAH122" s="159"/>
      <c r="AAI122" s="159"/>
      <c r="AAJ122" s="159"/>
      <c r="AAK122" s="159"/>
      <c r="AAL122" s="159"/>
      <c r="AAM122" s="159"/>
      <c r="AAN122" s="159"/>
      <c r="AAO122" s="159"/>
      <c r="AAP122" s="159"/>
      <c r="AAQ122" s="159"/>
      <c r="AAR122" s="159"/>
      <c r="AAS122" s="159"/>
      <c r="AAT122" s="159"/>
      <c r="AAU122" s="159"/>
      <c r="AAV122" s="159"/>
      <c r="AAW122" s="159"/>
      <c r="AAX122" s="159"/>
      <c r="AAY122" s="159"/>
      <c r="AAZ122" s="159"/>
      <c r="ABA122" s="159"/>
      <c r="ABB122" s="159"/>
      <c r="ABC122" s="159"/>
      <c r="ABD122" s="159"/>
      <c r="ABE122" s="159"/>
      <c r="ABF122" s="159"/>
      <c r="ABG122" s="159"/>
      <c r="ABH122" s="159"/>
      <c r="ABI122" s="159"/>
      <c r="ABJ122" s="159"/>
      <c r="ABK122" s="159"/>
      <c r="ABL122" s="159"/>
      <c r="ABM122" s="159"/>
      <c r="ABN122" s="159"/>
      <c r="ABO122" s="159"/>
      <c r="ABP122" s="159"/>
      <c r="ABQ122" s="159"/>
      <c r="ABR122" s="159"/>
      <c r="ABS122" s="159"/>
      <c r="ABT122" s="159"/>
      <c r="ABU122" s="159"/>
      <c r="ABV122" s="159"/>
      <c r="ABW122" s="159"/>
      <c r="ABX122" s="159"/>
      <c r="ABY122" s="159"/>
      <c r="ABZ122" s="159"/>
      <c r="ACA122" s="159"/>
      <c r="ACB122" s="159"/>
      <c r="ACC122" s="159"/>
      <c r="ACD122" s="159"/>
      <c r="ACE122" s="159"/>
      <c r="ACF122" s="159"/>
      <c r="ACG122" s="159"/>
      <c r="ACH122" s="159"/>
      <c r="ACI122" s="159"/>
      <c r="ACJ122" s="159"/>
      <c r="ACK122" s="159"/>
      <c r="ACL122" s="159"/>
      <c r="ACM122" s="159"/>
      <c r="ACN122" s="159"/>
      <c r="ACO122" s="159"/>
      <c r="ACP122" s="159"/>
      <c r="ACQ122" s="159"/>
      <c r="ACR122" s="159"/>
      <c r="ACS122" s="159"/>
      <c r="ACT122" s="159"/>
      <c r="ACU122" s="159"/>
      <c r="ACV122" s="159"/>
      <c r="ACW122" s="159"/>
      <c r="ACX122" s="159"/>
      <c r="ACY122" s="159"/>
      <c r="ACZ122" s="159"/>
      <c r="ADA122" s="159"/>
      <c r="ADB122" s="159"/>
      <c r="ADC122" s="159"/>
      <c r="ADD122" s="159"/>
      <c r="ADE122" s="159"/>
      <c r="ADF122" s="159"/>
      <c r="ADG122" s="159"/>
      <c r="ADH122" s="159"/>
      <c r="ADI122" s="159"/>
      <c r="ADJ122" s="159"/>
      <c r="ADK122" s="159"/>
      <c r="ADL122" s="159"/>
      <c r="ADM122" s="159"/>
      <c r="ADN122" s="159"/>
      <c r="ADO122" s="159"/>
      <c r="ADP122" s="159"/>
      <c r="ADQ122" s="159"/>
      <c r="ADR122" s="159"/>
      <c r="ADS122" s="159"/>
      <c r="ADT122" s="159"/>
      <c r="ADU122" s="159"/>
      <c r="ADV122" s="159"/>
      <c r="ADW122" s="159"/>
      <c r="ADX122" s="159"/>
      <c r="ADY122" s="159"/>
      <c r="ADZ122" s="159"/>
      <c r="AEA122" s="159"/>
      <c r="AEB122" s="159"/>
      <c r="AEC122" s="159"/>
      <c r="AED122" s="159"/>
      <c r="AEE122" s="159"/>
      <c r="AEF122" s="159"/>
      <c r="AEG122" s="159"/>
      <c r="AEH122" s="159"/>
      <c r="AEI122" s="159"/>
      <c r="AEJ122" s="159"/>
      <c r="AEK122" s="159"/>
      <c r="AEL122" s="159"/>
      <c r="AEM122" s="159"/>
      <c r="AEN122" s="159"/>
      <c r="AEO122" s="159"/>
      <c r="AEP122" s="159"/>
      <c r="AEQ122" s="159"/>
      <c r="AER122" s="159"/>
      <c r="AES122" s="159"/>
      <c r="AET122" s="159"/>
      <c r="AEU122" s="159"/>
      <c r="AEV122" s="159"/>
      <c r="AEW122" s="159"/>
      <c r="AEX122" s="159"/>
      <c r="AEY122" s="159"/>
      <c r="AEZ122" s="159"/>
      <c r="AFA122" s="159"/>
      <c r="AFB122" s="159"/>
      <c r="AFC122" s="159"/>
      <c r="AFD122" s="159"/>
      <c r="AFE122" s="159"/>
      <c r="AFF122" s="159"/>
      <c r="AFG122" s="159"/>
      <c r="AFH122" s="159"/>
      <c r="AFI122" s="159"/>
      <c r="AFJ122" s="159"/>
      <c r="AFK122" s="159"/>
      <c r="AFL122" s="159"/>
      <c r="AFM122" s="159"/>
      <c r="AFN122" s="159"/>
      <c r="AFO122" s="159"/>
      <c r="AFP122" s="159"/>
      <c r="AFQ122" s="159"/>
      <c r="AFR122" s="159"/>
      <c r="AFS122" s="159"/>
      <c r="AFT122" s="159"/>
      <c r="AFU122" s="159"/>
      <c r="AFV122" s="159"/>
      <c r="AFW122" s="159"/>
      <c r="AFX122" s="159"/>
      <c r="AFY122" s="159"/>
      <c r="AFZ122" s="159"/>
      <c r="AGA122" s="159"/>
      <c r="AGB122" s="159"/>
      <c r="AGC122" s="159"/>
      <c r="AGD122" s="159"/>
      <c r="AGE122" s="159"/>
      <c r="AGF122" s="159"/>
      <c r="AGG122" s="159"/>
      <c r="AGH122" s="159"/>
      <c r="AGI122" s="159"/>
      <c r="AGJ122" s="159"/>
      <c r="AGK122" s="159"/>
      <c r="AGL122" s="159"/>
      <c r="AGM122" s="159"/>
      <c r="AGN122" s="159"/>
      <c r="AGO122" s="159"/>
      <c r="AGP122" s="159"/>
      <c r="AGQ122" s="159"/>
      <c r="AGR122" s="159"/>
      <c r="AGS122" s="159"/>
      <c r="AGT122" s="159"/>
      <c r="AGU122" s="159"/>
      <c r="AGV122" s="159"/>
      <c r="AGW122" s="159"/>
      <c r="AGX122" s="159"/>
      <c r="AGY122" s="159"/>
      <c r="AGZ122" s="159"/>
      <c r="AHA122" s="159"/>
      <c r="AHB122" s="159"/>
      <c r="AHC122" s="159"/>
      <c r="AHD122" s="159"/>
      <c r="AHE122" s="159"/>
      <c r="AHF122" s="159"/>
      <c r="AHG122" s="159"/>
      <c r="AHH122" s="159"/>
      <c r="AHI122" s="159"/>
      <c r="AHJ122" s="159"/>
      <c r="AHK122" s="159"/>
      <c r="AHL122" s="159"/>
      <c r="AHM122" s="159"/>
      <c r="AHN122" s="159"/>
      <c r="AHO122" s="159"/>
      <c r="AHP122" s="159"/>
      <c r="AHQ122" s="159"/>
      <c r="AHR122" s="159"/>
      <c r="AHS122" s="159"/>
      <c r="AHT122" s="159"/>
      <c r="AHU122" s="159"/>
      <c r="AHV122" s="159"/>
      <c r="AHW122" s="159"/>
      <c r="AHX122" s="159"/>
      <c r="AHY122" s="159"/>
      <c r="AHZ122" s="159"/>
      <c r="AIA122" s="159"/>
      <c r="AIB122" s="159"/>
      <c r="AIC122" s="159"/>
      <c r="AID122" s="159"/>
      <c r="AIE122" s="159"/>
      <c r="AIF122" s="159"/>
      <c r="AIG122" s="159"/>
      <c r="AIH122" s="159"/>
      <c r="AII122" s="159"/>
      <c r="AIJ122" s="159"/>
      <c r="AIK122" s="159"/>
      <c r="AIL122" s="159"/>
      <c r="AIM122" s="159"/>
      <c r="AIN122" s="159"/>
      <c r="AIO122" s="159"/>
      <c r="AIP122" s="159"/>
      <c r="AIQ122" s="159"/>
      <c r="AIR122" s="159"/>
      <c r="AIS122" s="159"/>
      <c r="AIT122" s="159"/>
      <c r="AIU122" s="159"/>
      <c r="AIV122" s="159"/>
      <c r="AIW122" s="159"/>
      <c r="AIX122" s="159"/>
      <c r="AIY122" s="159"/>
      <c r="AIZ122" s="159"/>
      <c r="AJA122" s="159"/>
      <c r="AJB122" s="159"/>
      <c r="AJC122" s="159"/>
      <c r="AJD122" s="159"/>
      <c r="AJE122" s="159"/>
      <c r="AJF122" s="159"/>
      <c r="AJG122" s="159"/>
      <c r="AJH122" s="159"/>
      <c r="AJI122" s="159"/>
      <c r="AJJ122" s="159"/>
      <c r="AJK122" s="159"/>
      <c r="AJL122" s="159"/>
      <c r="AJM122" s="159"/>
      <c r="AJN122" s="159"/>
      <c r="AJO122" s="159"/>
      <c r="AJP122" s="159"/>
      <c r="AJQ122" s="159"/>
      <c r="AJR122" s="159"/>
      <c r="AJS122" s="159"/>
      <c r="AJT122" s="159"/>
      <c r="AJU122" s="159"/>
      <c r="AJV122" s="159"/>
      <c r="AJW122" s="159"/>
      <c r="AJX122" s="159"/>
      <c r="AJY122" s="159"/>
      <c r="AJZ122" s="159"/>
      <c r="AKA122" s="159"/>
      <c r="AKB122" s="159"/>
      <c r="AKC122" s="159"/>
      <c r="AKD122" s="159"/>
      <c r="AKE122" s="159"/>
      <c r="AKF122" s="159"/>
      <c r="AKG122" s="159"/>
      <c r="AKH122" s="159"/>
      <c r="AKI122" s="159"/>
      <c r="AKJ122" s="159"/>
      <c r="AKK122" s="159"/>
      <c r="AKL122" s="159"/>
      <c r="AKM122" s="159"/>
      <c r="AKN122" s="159"/>
      <c r="AKO122" s="159"/>
      <c r="AKP122" s="159"/>
      <c r="AKQ122" s="159"/>
      <c r="AKR122" s="159"/>
      <c r="AKS122" s="159"/>
      <c r="AKT122" s="159"/>
      <c r="AKU122" s="159"/>
      <c r="AKV122" s="159"/>
      <c r="AKW122" s="159"/>
      <c r="AKX122" s="159"/>
      <c r="AKY122" s="159"/>
      <c r="AKZ122" s="159"/>
      <c r="ALA122" s="159"/>
      <c r="ALB122" s="159"/>
      <c r="ALC122" s="159"/>
      <c r="ALD122" s="159"/>
      <c r="ALE122" s="159"/>
      <c r="ALF122" s="159"/>
      <c r="ALG122" s="159"/>
      <c r="ALH122" s="159"/>
      <c r="ALI122" s="159"/>
      <c r="ALJ122" s="159"/>
      <c r="ALK122" s="159"/>
      <c r="ALL122" s="159"/>
      <c r="ALM122" s="159"/>
      <c r="ALN122" s="159"/>
      <c r="ALO122" s="159"/>
      <c r="ALP122" s="159"/>
      <c r="ALQ122" s="159"/>
      <c r="ALR122" s="159"/>
      <c r="ALS122" s="159"/>
      <c r="ALT122" s="159"/>
      <c r="ALU122" s="159"/>
      <c r="ALV122" s="159"/>
      <c r="ALW122" s="159"/>
      <c r="ALX122" s="159"/>
      <c r="ALY122" s="159"/>
      <c r="ALZ122" s="159"/>
      <c r="AMA122" s="159"/>
      <c r="AMB122" s="159"/>
      <c r="AMC122" s="159"/>
      <c r="AMD122" s="159"/>
      <c r="AME122" s="159"/>
      <c r="AMF122" s="159"/>
      <c r="AMG122" s="159"/>
      <c r="AMH122" s="159"/>
      <c r="AMI122" s="159"/>
      <c r="AMJ122" s="159"/>
      <c r="AMK122" s="159"/>
      <c r="AML122" s="159"/>
      <c r="AMM122" s="159"/>
      <c r="AMN122" s="159"/>
      <c r="AMO122" s="159"/>
    </row>
    <row r="123" spans="1:1029" s="161" customFormat="1" ht="26.25" thickBot="1" x14ac:dyDescent="0.3">
      <c r="A123" s="163">
        <v>46192</v>
      </c>
      <c r="B123" s="155" t="s">
        <v>138</v>
      </c>
      <c r="C123" s="155" t="s">
        <v>88</v>
      </c>
      <c r="D123" s="164" t="s">
        <v>168</v>
      </c>
      <c r="E123" s="154" t="s">
        <v>35</v>
      </c>
      <c r="F123" s="155" t="s">
        <v>30</v>
      </c>
      <c r="G123" s="155" t="s">
        <v>90</v>
      </c>
      <c r="H123" s="147" t="b">
        <f t="shared" si="8"/>
        <v>0</v>
      </c>
      <c r="I123" s="135" t="s">
        <v>42</v>
      </c>
      <c r="J123" s="135" t="s">
        <v>10</v>
      </c>
      <c r="K123" s="135" t="s">
        <v>11</v>
      </c>
      <c r="L123" s="147" t="b">
        <f t="shared" si="9"/>
        <v>0</v>
      </c>
      <c r="M123" s="135" t="s">
        <v>35</v>
      </c>
      <c r="N123" s="135" t="s">
        <v>10</v>
      </c>
      <c r="O123" s="135" t="s">
        <v>11</v>
      </c>
      <c r="P123" s="147" t="b">
        <f t="shared" si="10"/>
        <v>0</v>
      </c>
      <c r="Q123" s="156" t="s">
        <v>29</v>
      </c>
      <c r="R123" s="155" t="s">
        <v>10</v>
      </c>
      <c r="S123" s="155" t="s">
        <v>11</v>
      </c>
      <c r="T123" s="147" t="b">
        <f t="shared" si="11"/>
        <v>0</v>
      </c>
      <c r="U123" s="159"/>
      <c r="V123" s="159"/>
      <c r="W123" s="159"/>
      <c r="X123" s="159"/>
      <c r="Y123" s="159"/>
      <c r="Z123" s="159"/>
      <c r="AA123" s="159"/>
      <c r="AB123" s="159"/>
      <c r="AC123" s="159"/>
      <c r="AD123" s="159"/>
      <c r="AE123" s="159"/>
      <c r="AF123" s="159"/>
      <c r="AG123" s="159"/>
      <c r="AH123" s="159"/>
      <c r="AI123" s="159"/>
      <c r="AJ123" s="159"/>
      <c r="AK123" s="159"/>
      <c r="AL123" s="159"/>
      <c r="AM123" s="159"/>
      <c r="AN123" s="159"/>
      <c r="AO123" s="159"/>
      <c r="AP123" s="159"/>
      <c r="AQ123" s="159"/>
      <c r="AR123" s="159"/>
      <c r="AS123" s="159"/>
      <c r="AT123" s="159"/>
      <c r="AU123" s="159"/>
      <c r="AV123" s="159"/>
      <c r="AW123" s="159"/>
      <c r="AX123" s="159"/>
      <c r="AY123" s="159"/>
      <c r="AZ123" s="159"/>
      <c r="BA123" s="159"/>
      <c r="BB123" s="159"/>
      <c r="BC123" s="159"/>
      <c r="BD123" s="159"/>
      <c r="BE123" s="159"/>
      <c r="BF123" s="159"/>
      <c r="BG123" s="159"/>
      <c r="BH123" s="159"/>
      <c r="BI123" s="159"/>
      <c r="BJ123" s="159"/>
      <c r="BK123" s="159"/>
      <c r="BL123" s="159"/>
      <c r="BM123" s="159"/>
      <c r="BN123" s="159"/>
      <c r="BO123" s="159"/>
      <c r="BP123" s="159"/>
      <c r="BQ123" s="159"/>
      <c r="BR123" s="159"/>
      <c r="BS123" s="159"/>
      <c r="BT123" s="159"/>
      <c r="BU123" s="159"/>
      <c r="BV123" s="159"/>
      <c r="BW123" s="159"/>
      <c r="BX123" s="159"/>
      <c r="BY123" s="159"/>
      <c r="BZ123" s="159"/>
      <c r="CA123" s="159"/>
      <c r="CB123" s="159"/>
      <c r="CC123" s="159"/>
      <c r="CD123" s="159"/>
      <c r="CE123" s="159"/>
      <c r="CF123" s="159"/>
      <c r="CG123" s="159"/>
      <c r="CH123" s="159"/>
      <c r="CI123" s="159"/>
      <c r="CJ123" s="159"/>
      <c r="CK123" s="159"/>
      <c r="CL123" s="159"/>
      <c r="CM123" s="159"/>
      <c r="CN123" s="159"/>
      <c r="CO123" s="159"/>
      <c r="CP123" s="159"/>
      <c r="CQ123" s="159"/>
      <c r="CR123" s="159"/>
      <c r="CS123" s="159"/>
      <c r="CT123" s="159"/>
      <c r="CU123" s="159"/>
      <c r="CV123" s="159"/>
      <c r="CW123" s="159"/>
      <c r="CX123" s="159"/>
      <c r="CY123" s="159"/>
      <c r="CZ123" s="159"/>
      <c r="DA123" s="159"/>
      <c r="DB123" s="159"/>
      <c r="DC123" s="159"/>
      <c r="DD123" s="159"/>
      <c r="DE123" s="159"/>
      <c r="DF123" s="159"/>
      <c r="DG123" s="159"/>
      <c r="DH123" s="159"/>
      <c r="DI123" s="159"/>
      <c r="DJ123" s="159"/>
      <c r="DK123" s="159"/>
      <c r="DL123" s="159"/>
      <c r="DM123" s="159"/>
      <c r="DN123" s="159"/>
      <c r="DO123" s="159"/>
      <c r="DP123" s="159"/>
      <c r="DQ123" s="159"/>
      <c r="DR123" s="159"/>
      <c r="DS123" s="159"/>
      <c r="DT123" s="159"/>
      <c r="DU123" s="159"/>
      <c r="DV123" s="159"/>
      <c r="DW123" s="159"/>
      <c r="DX123" s="159"/>
      <c r="DY123" s="159"/>
      <c r="DZ123" s="159"/>
      <c r="EA123" s="159"/>
      <c r="EB123" s="159"/>
      <c r="EC123" s="159"/>
      <c r="ED123" s="159"/>
      <c r="EE123" s="159"/>
      <c r="EF123" s="159"/>
      <c r="EG123" s="159"/>
      <c r="EH123" s="159"/>
      <c r="EI123" s="159"/>
      <c r="EJ123" s="159"/>
      <c r="EK123" s="159"/>
      <c r="EL123" s="159"/>
      <c r="EM123" s="159"/>
      <c r="EN123" s="159"/>
      <c r="EO123" s="159"/>
      <c r="EP123" s="159"/>
      <c r="EQ123" s="159"/>
      <c r="ER123" s="159"/>
      <c r="ES123" s="159"/>
      <c r="ET123" s="159"/>
      <c r="EU123" s="159"/>
      <c r="EV123" s="159"/>
      <c r="EW123" s="159"/>
      <c r="EX123" s="159"/>
      <c r="EY123" s="159"/>
      <c r="EZ123" s="159"/>
      <c r="FA123" s="159"/>
      <c r="FB123" s="159"/>
      <c r="FC123" s="159"/>
      <c r="FD123" s="159"/>
      <c r="FE123" s="159"/>
      <c r="FF123" s="159"/>
      <c r="FG123" s="159"/>
      <c r="FH123" s="159"/>
      <c r="FI123" s="159"/>
      <c r="FJ123" s="159"/>
      <c r="FK123" s="159"/>
      <c r="FL123" s="159"/>
      <c r="FM123" s="159"/>
      <c r="FN123" s="159"/>
      <c r="FO123" s="159"/>
      <c r="FP123" s="159"/>
      <c r="FQ123" s="159"/>
      <c r="FR123" s="159"/>
      <c r="FS123" s="159"/>
      <c r="FT123" s="159"/>
      <c r="FU123" s="159"/>
      <c r="FV123" s="159"/>
      <c r="FW123" s="159"/>
      <c r="FX123" s="159"/>
      <c r="FY123" s="159"/>
      <c r="FZ123" s="159"/>
      <c r="GA123" s="159"/>
      <c r="GB123" s="159"/>
      <c r="GC123" s="159"/>
      <c r="GD123" s="159"/>
      <c r="GE123" s="159"/>
      <c r="GF123" s="159"/>
      <c r="GG123" s="159"/>
      <c r="GH123" s="159"/>
      <c r="GI123" s="159"/>
      <c r="GJ123" s="159"/>
      <c r="GK123" s="159"/>
      <c r="GL123" s="159"/>
      <c r="GM123" s="159"/>
      <c r="GN123" s="159"/>
      <c r="GO123" s="159"/>
      <c r="GP123" s="159"/>
      <c r="GQ123" s="159"/>
      <c r="GR123" s="159"/>
      <c r="GS123" s="159"/>
      <c r="GT123" s="159"/>
      <c r="GU123" s="159"/>
      <c r="GV123" s="159"/>
      <c r="GW123" s="159"/>
      <c r="GX123" s="159"/>
      <c r="GY123" s="159"/>
      <c r="GZ123" s="159"/>
      <c r="HA123" s="159"/>
      <c r="HB123" s="159"/>
      <c r="HC123" s="159"/>
      <c r="HD123" s="159"/>
      <c r="HE123" s="159"/>
      <c r="HF123" s="159"/>
      <c r="HG123" s="159"/>
      <c r="HH123" s="159"/>
      <c r="HI123" s="159"/>
      <c r="HJ123" s="159"/>
      <c r="HK123" s="159"/>
      <c r="HL123" s="159"/>
      <c r="HM123" s="159"/>
      <c r="HN123" s="159"/>
      <c r="HO123" s="159"/>
      <c r="HP123" s="159"/>
      <c r="HQ123" s="159"/>
      <c r="HR123" s="159"/>
      <c r="HS123" s="159"/>
      <c r="HT123" s="159"/>
      <c r="HU123" s="159"/>
      <c r="HV123" s="159"/>
      <c r="HW123" s="159"/>
      <c r="HX123" s="159"/>
      <c r="HY123" s="159"/>
      <c r="HZ123" s="159"/>
      <c r="IA123" s="159"/>
      <c r="IB123" s="159"/>
      <c r="IC123" s="159"/>
      <c r="ID123" s="159"/>
      <c r="IE123" s="159"/>
      <c r="IF123" s="159"/>
      <c r="IG123" s="159"/>
      <c r="IH123" s="159"/>
      <c r="II123" s="159"/>
      <c r="IJ123" s="159"/>
      <c r="IK123" s="159"/>
      <c r="IL123" s="159"/>
      <c r="IM123" s="159"/>
      <c r="IN123" s="159"/>
      <c r="IO123" s="159"/>
      <c r="IP123" s="159"/>
      <c r="IQ123" s="159"/>
      <c r="IR123" s="159"/>
      <c r="IS123" s="159"/>
      <c r="IT123" s="159"/>
      <c r="IU123" s="159"/>
      <c r="IV123" s="159"/>
      <c r="IW123" s="159"/>
      <c r="IX123" s="159"/>
      <c r="IY123" s="159"/>
      <c r="IZ123" s="159"/>
      <c r="JA123" s="159"/>
      <c r="JB123" s="159"/>
      <c r="JC123" s="159"/>
      <c r="JD123" s="159"/>
      <c r="JE123" s="159"/>
      <c r="JF123" s="159"/>
      <c r="JG123" s="159"/>
      <c r="JH123" s="159"/>
      <c r="JI123" s="159"/>
      <c r="JJ123" s="159"/>
      <c r="JK123" s="159"/>
      <c r="JL123" s="159"/>
      <c r="JM123" s="159"/>
      <c r="JN123" s="159"/>
      <c r="JO123" s="159"/>
      <c r="JP123" s="159"/>
      <c r="JQ123" s="159"/>
      <c r="JR123" s="159"/>
      <c r="JS123" s="159"/>
      <c r="JT123" s="159"/>
      <c r="JU123" s="159"/>
      <c r="JV123" s="159"/>
      <c r="JW123" s="159"/>
      <c r="JX123" s="159"/>
      <c r="JY123" s="159"/>
      <c r="JZ123" s="159"/>
      <c r="KA123" s="159"/>
      <c r="KB123" s="159"/>
      <c r="KC123" s="159"/>
      <c r="KD123" s="159"/>
      <c r="KE123" s="159"/>
      <c r="KF123" s="159"/>
      <c r="KG123" s="159"/>
      <c r="KH123" s="159"/>
      <c r="KI123" s="159"/>
      <c r="KJ123" s="159"/>
      <c r="KK123" s="159"/>
      <c r="KL123" s="159"/>
      <c r="KM123" s="159"/>
      <c r="KN123" s="159"/>
      <c r="KO123" s="159"/>
      <c r="KP123" s="159"/>
      <c r="KQ123" s="159"/>
      <c r="KR123" s="159"/>
      <c r="KS123" s="159"/>
      <c r="KT123" s="159"/>
      <c r="KU123" s="159"/>
      <c r="KV123" s="159"/>
      <c r="KW123" s="159"/>
      <c r="KX123" s="159"/>
      <c r="KY123" s="159"/>
      <c r="KZ123" s="159"/>
      <c r="LA123" s="159"/>
      <c r="LB123" s="159"/>
      <c r="LC123" s="159"/>
      <c r="LD123" s="159"/>
      <c r="LE123" s="159"/>
      <c r="LF123" s="159"/>
      <c r="LG123" s="159"/>
      <c r="LH123" s="159"/>
      <c r="LI123" s="159"/>
      <c r="LJ123" s="159"/>
      <c r="LK123" s="159"/>
      <c r="LL123" s="159"/>
      <c r="LM123" s="159"/>
      <c r="LN123" s="159"/>
      <c r="LO123" s="159"/>
      <c r="LP123" s="159"/>
      <c r="LQ123" s="159"/>
      <c r="LR123" s="159"/>
      <c r="LS123" s="159"/>
      <c r="LT123" s="159"/>
      <c r="LU123" s="159"/>
      <c r="LV123" s="159"/>
      <c r="LW123" s="159"/>
      <c r="LX123" s="159"/>
      <c r="LY123" s="159"/>
      <c r="LZ123" s="159"/>
      <c r="MA123" s="159"/>
      <c r="MB123" s="159"/>
      <c r="MC123" s="159"/>
      <c r="MD123" s="159"/>
      <c r="ME123" s="159"/>
      <c r="MF123" s="159"/>
      <c r="MG123" s="159"/>
      <c r="MH123" s="159"/>
      <c r="MI123" s="159"/>
      <c r="MJ123" s="159"/>
      <c r="MK123" s="159"/>
      <c r="ML123" s="159"/>
      <c r="MM123" s="159"/>
      <c r="MN123" s="159"/>
      <c r="MO123" s="159"/>
      <c r="MP123" s="159"/>
      <c r="MQ123" s="159"/>
      <c r="MR123" s="159"/>
      <c r="MS123" s="159"/>
      <c r="MT123" s="159"/>
      <c r="MU123" s="159"/>
      <c r="MV123" s="159"/>
      <c r="MW123" s="159"/>
      <c r="MX123" s="159"/>
      <c r="MY123" s="159"/>
      <c r="MZ123" s="159"/>
      <c r="NA123" s="159"/>
      <c r="NB123" s="159"/>
      <c r="NC123" s="159"/>
      <c r="ND123" s="159"/>
      <c r="NE123" s="159"/>
      <c r="NF123" s="159"/>
      <c r="NG123" s="159"/>
      <c r="NH123" s="159"/>
      <c r="NI123" s="159"/>
      <c r="NJ123" s="159"/>
      <c r="NK123" s="159"/>
      <c r="NL123" s="159"/>
      <c r="NM123" s="159"/>
      <c r="NN123" s="159"/>
      <c r="NO123" s="159"/>
      <c r="NP123" s="159"/>
      <c r="NQ123" s="159"/>
      <c r="NR123" s="159"/>
      <c r="NS123" s="159"/>
      <c r="NT123" s="159"/>
      <c r="NU123" s="159"/>
      <c r="NV123" s="159"/>
      <c r="NW123" s="159"/>
      <c r="NX123" s="159"/>
      <c r="NY123" s="159"/>
      <c r="NZ123" s="159"/>
      <c r="OA123" s="159"/>
      <c r="OB123" s="159"/>
      <c r="OC123" s="159"/>
      <c r="OD123" s="159"/>
      <c r="OE123" s="159"/>
      <c r="OF123" s="159"/>
      <c r="OG123" s="159"/>
      <c r="OH123" s="159"/>
      <c r="OI123" s="159"/>
      <c r="OJ123" s="159"/>
      <c r="OK123" s="159"/>
      <c r="OL123" s="159"/>
      <c r="OM123" s="159"/>
      <c r="ON123" s="159"/>
      <c r="OO123" s="159"/>
      <c r="OP123" s="159"/>
      <c r="OQ123" s="159"/>
      <c r="OR123" s="159"/>
      <c r="OS123" s="159"/>
      <c r="OT123" s="159"/>
      <c r="OU123" s="159"/>
      <c r="OV123" s="159"/>
      <c r="OW123" s="159"/>
      <c r="OX123" s="159"/>
      <c r="OY123" s="159"/>
      <c r="OZ123" s="159"/>
      <c r="PA123" s="159"/>
      <c r="PB123" s="159"/>
      <c r="PC123" s="159"/>
      <c r="PD123" s="159"/>
      <c r="PE123" s="159"/>
      <c r="PF123" s="159"/>
      <c r="PG123" s="159"/>
      <c r="PH123" s="159"/>
      <c r="PI123" s="159"/>
      <c r="PJ123" s="159"/>
      <c r="PK123" s="159"/>
      <c r="PL123" s="159"/>
      <c r="PM123" s="159"/>
      <c r="PN123" s="159"/>
      <c r="PO123" s="159"/>
      <c r="PP123" s="159"/>
      <c r="PQ123" s="159"/>
      <c r="PR123" s="159"/>
      <c r="PS123" s="159"/>
      <c r="PT123" s="159"/>
      <c r="PU123" s="159"/>
      <c r="PV123" s="159"/>
      <c r="PW123" s="159"/>
      <c r="PX123" s="159"/>
      <c r="PY123" s="159"/>
      <c r="PZ123" s="159"/>
      <c r="QA123" s="159"/>
      <c r="QB123" s="159"/>
      <c r="QC123" s="159"/>
      <c r="QD123" s="159"/>
      <c r="QE123" s="159"/>
      <c r="QF123" s="159"/>
      <c r="QG123" s="159"/>
      <c r="QH123" s="159"/>
      <c r="QI123" s="159"/>
      <c r="QJ123" s="159"/>
      <c r="QK123" s="159"/>
      <c r="QL123" s="159"/>
      <c r="QM123" s="159"/>
      <c r="QN123" s="159"/>
      <c r="QO123" s="159"/>
      <c r="QP123" s="159"/>
      <c r="QQ123" s="159"/>
      <c r="QR123" s="159"/>
      <c r="QS123" s="159"/>
      <c r="QT123" s="159"/>
      <c r="QU123" s="159"/>
      <c r="QV123" s="159"/>
      <c r="QW123" s="159"/>
      <c r="QX123" s="159"/>
      <c r="QY123" s="159"/>
      <c r="QZ123" s="159"/>
      <c r="RA123" s="159"/>
      <c r="RB123" s="159"/>
      <c r="RC123" s="159"/>
      <c r="RD123" s="159"/>
      <c r="RE123" s="159"/>
      <c r="RF123" s="159"/>
      <c r="RG123" s="159"/>
      <c r="RH123" s="159"/>
      <c r="RI123" s="159"/>
      <c r="RJ123" s="159"/>
      <c r="RK123" s="159"/>
      <c r="RL123" s="159"/>
      <c r="RM123" s="159"/>
      <c r="RN123" s="159"/>
      <c r="RO123" s="159"/>
      <c r="RP123" s="159"/>
      <c r="RQ123" s="159"/>
      <c r="RR123" s="159"/>
      <c r="RS123" s="159"/>
      <c r="RT123" s="159"/>
      <c r="RU123" s="159"/>
      <c r="RV123" s="159"/>
      <c r="RW123" s="159"/>
      <c r="RX123" s="159"/>
      <c r="RY123" s="159"/>
      <c r="RZ123" s="159"/>
      <c r="SA123" s="159"/>
      <c r="SB123" s="159"/>
      <c r="SC123" s="159"/>
      <c r="SD123" s="159"/>
      <c r="SE123" s="159"/>
      <c r="SF123" s="159"/>
      <c r="SG123" s="159"/>
      <c r="SH123" s="159"/>
      <c r="SI123" s="159"/>
      <c r="SJ123" s="159"/>
      <c r="SK123" s="159"/>
      <c r="SL123" s="159"/>
      <c r="SM123" s="159"/>
      <c r="SN123" s="159"/>
      <c r="SO123" s="159"/>
      <c r="SP123" s="159"/>
      <c r="SQ123" s="159"/>
      <c r="SR123" s="159"/>
      <c r="SS123" s="159"/>
      <c r="ST123" s="159"/>
      <c r="SU123" s="159"/>
      <c r="SV123" s="159"/>
      <c r="SW123" s="159"/>
      <c r="SX123" s="159"/>
      <c r="SY123" s="159"/>
      <c r="SZ123" s="159"/>
      <c r="TA123" s="159"/>
      <c r="TB123" s="159"/>
      <c r="TC123" s="159"/>
      <c r="TD123" s="159"/>
      <c r="TE123" s="159"/>
      <c r="TF123" s="159"/>
      <c r="TG123" s="159"/>
      <c r="TH123" s="159"/>
      <c r="TI123" s="159"/>
      <c r="TJ123" s="159"/>
      <c r="TK123" s="159"/>
      <c r="TL123" s="159"/>
      <c r="TM123" s="159"/>
      <c r="TN123" s="159"/>
      <c r="TO123" s="159"/>
      <c r="TP123" s="159"/>
      <c r="TQ123" s="159"/>
      <c r="TR123" s="159"/>
      <c r="TS123" s="159"/>
      <c r="TT123" s="159"/>
      <c r="TU123" s="159"/>
      <c r="TV123" s="159"/>
      <c r="TW123" s="159"/>
      <c r="TX123" s="159"/>
      <c r="TY123" s="159"/>
      <c r="TZ123" s="159"/>
      <c r="UA123" s="159"/>
      <c r="UB123" s="159"/>
      <c r="UC123" s="159"/>
      <c r="UD123" s="159"/>
      <c r="UE123" s="159"/>
      <c r="UF123" s="159"/>
      <c r="UG123" s="159"/>
      <c r="UH123" s="159"/>
      <c r="UI123" s="159"/>
      <c r="UJ123" s="159"/>
      <c r="UK123" s="159"/>
      <c r="UL123" s="159"/>
      <c r="UM123" s="159"/>
      <c r="UN123" s="159"/>
      <c r="UO123" s="159"/>
      <c r="UP123" s="159"/>
      <c r="UQ123" s="159"/>
      <c r="UR123" s="159"/>
      <c r="US123" s="159"/>
      <c r="UT123" s="159"/>
      <c r="UU123" s="159"/>
      <c r="UV123" s="159"/>
      <c r="UW123" s="159"/>
      <c r="UX123" s="159"/>
      <c r="UY123" s="159"/>
      <c r="UZ123" s="159"/>
      <c r="VA123" s="159"/>
      <c r="VB123" s="159"/>
      <c r="VC123" s="159"/>
      <c r="VD123" s="159"/>
      <c r="VE123" s="159"/>
      <c r="VF123" s="159"/>
      <c r="VG123" s="159"/>
      <c r="VH123" s="159"/>
      <c r="VI123" s="159"/>
      <c r="VJ123" s="159"/>
      <c r="VK123" s="159"/>
      <c r="VL123" s="159"/>
      <c r="VM123" s="159"/>
      <c r="VN123" s="159"/>
      <c r="VO123" s="159"/>
      <c r="VP123" s="159"/>
      <c r="VQ123" s="159"/>
      <c r="VR123" s="159"/>
      <c r="VS123" s="159"/>
      <c r="VT123" s="159"/>
      <c r="VU123" s="159"/>
      <c r="VV123" s="159"/>
      <c r="VW123" s="159"/>
      <c r="VX123" s="159"/>
      <c r="VY123" s="159"/>
      <c r="VZ123" s="159"/>
      <c r="WA123" s="159"/>
      <c r="WB123" s="159"/>
      <c r="WC123" s="159"/>
      <c r="WD123" s="159"/>
      <c r="WE123" s="159"/>
      <c r="WF123" s="159"/>
      <c r="WG123" s="159"/>
      <c r="WH123" s="159"/>
      <c r="WI123" s="159"/>
      <c r="WJ123" s="159"/>
      <c r="WK123" s="159"/>
      <c r="WL123" s="159"/>
      <c r="WM123" s="159"/>
      <c r="WN123" s="159"/>
      <c r="WO123" s="159"/>
      <c r="WP123" s="159"/>
      <c r="WQ123" s="159"/>
      <c r="WR123" s="159"/>
      <c r="WS123" s="159"/>
      <c r="WT123" s="159"/>
      <c r="WU123" s="159"/>
      <c r="WV123" s="159"/>
      <c r="WW123" s="159"/>
      <c r="WX123" s="159"/>
      <c r="WY123" s="159"/>
      <c r="WZ123" s="159"/>
      <c r="XA123" s="159"/>
      <c r="XB123" s="159"/>
      <c r="XC123" s="159"/>
      <c r="XD123" s="159"/>
      <c r="XE123" s="159"/>
      <c r="XF123" s="159"/>
      <c r="XG123" s="159"/>
      <c r="XH123" s="159"/>
      <c r="XI123" s="159"/>
      <c r="XJ123" s="159"/>
      <c r="XK123" s="159"/>
      <c r="XL123" s="159"/>
      <c r="XM123" s="159"/>
      <c r="XN123" s="159"/>
      <c r="XO123" s="159"/>
      <c r="XP123" s="159"/>
      <c r="XQ123" s="159"/>
      <c r="XR123" s="159"/>
      <c r="XS123" s="159"/>
      <c r="XT123" s="159"/>
      <c r="XU123" s="159"/>
      <c r="XV123" s="159"/>
      <c r="XW123" s="159"/>
      <c r="XX123" s="159"/>
      <c r="XY123" s="159"/>
      <c r="XZ123" s="159"/>
      <c r="YA123" s="159"/>
      <c r="YB123" s="159"/>
      <c r="YC123" s="159"/>
      <c r="YD123" s="159"/>
      <c r="YE123" s="159"/>
      <c r="YF123" s="159"/>
      <c r="YG123" s="159"/>
      <c r="YH123" s="159"/>
      <c r="YI123" s="159"/>
      <c r="YJ123" s="159"/>
      <c r="YK123" s="159"/>
      <c r="YL123" s="159"/>
      <c r="YM123" s="159"/>
      <c r="YN123" s="159"/>
      <c r="YO123" s="159"/>
      <c r="YP123" s="159"/>
      <c r="YQ123" s="159"/>
      <c r="YR123" s="159"/>
      <c r="YS123" s="159"/>
      <c r="YT123" s="159"/>
      <c r="YU123" s="159"/>
      <c r="YV123" s="159"/>
      <c r="YW123" s="159"/>
      <c r="YX123" s="159"/>
      <c r="YY123" s="159"/>
      <c r="YZ123" s="159"/>
      <c r="ZA123" s="159"/>
      <c r="ZB123" s="159"/>
      <c r="ZC123" s="159"/>
      <c r="ZD123" s="159"/>
      <c r="ZE123" s="159"/>
      <c r="ZF123" s="159"/>
      <c r="ZG123" s="159"/>
      <c r="ZH123" s="159"/>
      <c r="ZI123" s="159"/>
      <c r="ZJ123" s="159"/>
      <c r="ZK123" s="159"/>
      <c r="ZL123" s="159"/>
      <c r="ZM123" s="159"/>
      <c r="ZN123" s="159"/>
      <c r="ZO123" s="159"/>
      <c r="ZP123" s="159"/>
      <c r="ZQ123" s="159"/>
      <c r="ZR123" s="159"/>
      <c r="ZS123" s="159"/>
      <c r="ZT123" s="159"/>
      <c r="ZU123" s="159"/>
      <c r="ZV123" s="159"/>
      <c r="ZW123" s="159"/>
      <c r="ZX123" s="159"/>
      <c r="ZY123" s="159"/>
      <c r="ZZ123" s="159"/>
      <c r="AAA123" s="159"/>
      <c r="AAB123" s="159"/>
      <c r="AAC123" s="159"/>
      <c r="AAD123" s="159"/>
      <c r="AAE123" s="159"/>
      <c r="AAF123" s="159"/>
      <c r="AAG123" s="159"/>
      <c r="AAH123" s="159"/>
      <c r="AAI123" s="159"/>
      <c r="AAJ123" s="159"/>
      <c r="AAK123" s="159"/>
      <c r="AAL123" s="159"/>
      <c r="AAM123" s="159"/>
      <c r="AAN123" s="159"/>
      <c r="AAO123" s="159"/>
      <c r="AAP123" s="159"/>
      <c r="AAQ123" s="159"/>
      <c r="AAR123" s="159"/>
      <c r="AAS123" s="159"/>
      <c r="AAT123" s="159"/>
      <c r="AAU123" s="159"/>
      <c r="AAV123" s="159"/>
      <c r="AAW123" s="159"/>
      <c r="AAX123" s="159"/>
      <c r="AAY123" s="159"/>
      <c r="AAZ123" s="159"/>
      <c r="ABA123" s="159"/>
      <c r="ABB123" s="159"/>
      <c r="ABC123" s="159"/>
      <c r="ABD123" s="159"/>
      <c r="ABE123" s="159"/>
      <c r="ABF123" s="159"/>
      <c r="ABG123" s="159"/>
      <c r="ABH123" s="159"/>
      <c r="ABI123" s="159"/>
      <c r="ABJ123" s="159"/>
      <c r="ABK123" s="159"/>
      <c r="ABL123" s="159"/>
      <c r="ABM123" s="159"/>
      <c r="ABN123" s="159"/>
      <c r="ABO123" s="159"/>
      <c r="ABP123" s="159"/>
      <c r="ABQ123" s="159"/>
      <c r="ABR123" s="159"/>
      <c r="ABS123" s="159"/>
      <c r="ABT123" s="159"/>
      <c r="ABU123" s="159"/>
      <c r="ABV123" s="159"/>
      <c r="ABW123" s="159"/>
      <c r="ABX123" s="159"/>
      <c r="ABY123" s="159"/>
      <c r="ABZ123" s="159"/>
      <c r="ACA123" s="159"/>
      <c r="ACB123" s="159"/>
      <c r="ACC123" s="159"/>
      <c r="ACD123" s="159"/>
      <c r="ACE123" s="159"/>
      <c r="ACF123" s="159"/>
      <c r="ACG123" s="159"/>
      <c r="ACH123" s="159"/>
      <c r="ACI123" s="159"/>
      <c r="ACJ123" s="159"/>
      <c r="ACK123" s="159"/>
      <c r="ACL123" s="159"/>
      <c r="ACM123" s="159"/>
      <c r="ACN123" s="159"/>
      <c r="ACO123" s="159"/>
      <c r="ACP123" s="159"/>
      <c r="ACQ123" s="159"/>
      <c r="ACR123" s="159"/>
      <c r="ACS123" s="159"/>
      <c r="ACT123" s="159"/>
      <c r="ACU123" s="159"/>
      <c r="ACV123" s="159"/>
      <c r="ACW123" s="159"/>
      <c r="ACX123" s="159"/>
      <c r="ACY123" s="159"/>
      <c r="ACZ123" s="159"/>
      <c r="ADA123" s="159"/>
      <c r="ADB123" s="159"/>
      <c r="ADC123" s="159"/>
      <c r="ADD123" s="159"/>
      <c r="ADE123" s="159"/>
      <c r="ADF123" s="159"/>
      <c r="ADG123" s="159"/>
      <c r="ADH123" s="159"/>
      <c r="ADI123" s="159"/>
      <c r="ADJ123" s="159"/>
      <c r="ADK123" s="159"/>
      <c r="ADL123" s="159"/>
      <c r="ADM123" s="159"/>
      <c r="ADN123" s="159"/>
      <c r="ADO123" s="159"/>
      <c r="ADP123" s="159"/>
      <c r="ADQ123" s="159"/>
      <c r="ADR123" s="159"/>
      <c r="ADS123" s="159"/>
      <c r="ADT123" s="159"/>
      <c r="ADU123" s="159"/>
      <c r="ADV123" s="159"/>
      <c r="ADW123" s="159"/>
      <c r="ADX123" s="159"/>
      <c r="ADY123" s="159"/>
      <c r="ADZ123" s="159"/>
      <c r="AEA123" s="159"/>
      <c r="AEB123" s="159"/>
      <c r="AEC123" s="159"/>
      <c r="AED123" s="159"/>
      <c r="AEE123" s="159"/>
      <c r="AEF123" s="159"/>
      <c r="AEG123" s="159"/>
      <c r="AEH123" s="159"/>
      <c r="AEI123" s="159"/>
      <c r="AEJ123" s="159"/>
      <c r="AEK123" s="159"/>
      <c r="AEL123" s="159"/>
      <c r="AEM123" s="159"/>
      <c r="AEN123" s="159"/>
      <c r="AEO123" s="159"/>
      <c r="AEP123" s="159"/>
      <c r="AEQ123" s="159"/>
      <c r="AER123" s="159"/>
      <c r="AES123" s="159"/>
      <c r="AET123" s="159"/>
      <c r="AEU123" s="159"/>
      <c r="AEV123" s="159"/>
      <c r="AEW123" s="159"/>
      <c r="AEX123" s="159"/>
      <c r="AEY123" s="159"/>
      <c r="AEZ123" s="159"/>
      <c r="AFA123" s="159"/>
      <c r="AFB123" s="159"/>
      <c r="AFC123" s="159"/>
      <c r="AFD123" s="159"/>
      <c r="AFE123" s="159"/>
      <c r="AFF123" s="159"/>
      <c r="AFG123" s="159"/>
      <c r="AFH123" s="159"/>
      <c r="AFI123" s="159"/>
      <c r="AFJ123" s="159"/>
      <c r="AFK123" s="159"/>
      <c r="AFL123" s="159"/>
      <c r="AFM123" s="159"/>
      <c r="AFN123" s="159"/>
      <c r="AFO123" s="159"/>
      <c r="AFP123" s="159"/>
      <c r="AFQ123" s="159"/>
      <c r="AFR123" s="159"/>
      <c r="AFS123" s="159"/>
      <c r="AFT123" s="159"/>
      <c r="AFU123" s="159"/>
      <c r="AFV123" s="159"/>
      <c r="AFW123" s="159"/>
      <c r="AFX123" s="159"/>
      <c r="AFY123" s="159"/>
      <c r="AFZ123" s="159"/>
      <c r="AGA123" s="159"/>
      <c r="AGB123" s="159"/>
      <c r="AGC123" s="159"/>
      <c r="AGD123" s="159"/>
      <c r="AGE123" s="159"/>
      <c r="AGF123" s="159"/>
      <c r="AGG123" s="159"/>
      <c r="AGH123" s="159"/>
      <c r="AGI123" s="159"/>
      <c r="AGJ123" s="159"/>
      <c r="AGK123" s="159"/>
      <c r="AGL123" s="159"/>
      <c r="AGM123" s="159"/>
      <c r="AGN123" s="159"/>
      <c r="AGO123" s="159"/>
      <c r="AGP123" s="159"/>
      <c r="AGQ123" s="159"/>
      <c r="AGR123" s="159"/>
      <c r="AGS123" s="159"/>
      <c r="AGT123" s="159"/>
      <c r="AGU123" s="159"/>
      <c r="AGV123" s="159"/>
      <c r="AGW123" s="159"/>
      <c r="AGX123" s="159"/>
      <c r="AGY123" s="159"/>
      <c r="AGZ123" s="159"/>
      <c r="AHA123" s="159"/>
      <c r="AHB123" s="159"/>
      <c r="AHC123" s="159"/>
      <c r="AHD123" s="159"/>
      <c r="AHE123" s="159"/>
      <c r="AHF123" s="159"/>
      <c r="AHG123" s="159"/>
      <c r="AHH123" s="159"/>
      <c r="AHI123" s="159"/>
      <c r="AHJ123" s="159"/>
      <c r="AHK123" s="159"/>
      <c r="AHL123" s="159"/>
      <c r="AHM123" s="159"/>
      <c r="AHN123" s="159"/>
      <c r="AHO123" s="159"/>
      <c r="AHP123" s="159"/>
      <c r="AHQ123" s="159"/>
      <c r="AHR123" s="159"/>
      <c r="AHS123" s="159"/>
      <c r="AHT123" s="159"/>
      <c r="AHU123" s="159"/>
      <c r="AHV123" s="159"/>
      <c r="AHW123" s="159"/>
      <c r="AHX123" s="159"/>
      <c r="AHY123" s="159"/>
      <c r="AHZ123" s="159"/>
      <c r="AIA123" s="159"/>
      <c r="AIB123" s="159"/>
      <c r="AIC123" s="159"/>
      <c r="AID123" s="159"/>
      <c r="AIE123" s="159"/>
      <c r="AIF123" s="159"/>
      <c r="AIG123" s="159"/>
      <c r="AIH123" s="159"/>
      <c r="AII123" s="159"/>
      <c r="AIJ123" s="159"/>
      <c r="AIK123" s="159"/>
      <c r="AIL123" s="159"/>
      <c r="AIM123" s="159"/>
      <c r="AIN123" s="159"/>
      <c r="AIO123" s="159"/>
      <c r="AIP123" s="159"/>
      <c r="AIQ123" s="159"/>
      <c r="AIR123" s="159"/>
      <c r="AIS123" s="159"/>
      <c r="AIT123" s="159"/>
      <c r="AIU123" s="159"/>
      <c r="AIV123" s="159"/>
      <c r="AIW123" s="159"/>
      <c r="AIX123" s="159"/>
      <c r="AIY123" s="159"/>
      <c r="AIZ123" s="159"/>
      <c r="AJA123" s="159"/>
      <c r="AJB123" s="159"/>
      <c r="AJC123" s="159"/>
      <c r="AJD123" s="159"/>
      <c r="AJE123" s="159"/>
      <c r="AJF123" s="159"/>
      <c r="AJG123" s="159"/>
      <c r="AJH123" s="159"/>
      <c r="AJI123" s="159"/>
      <c r="AJJ123" s="159"/>
      <c r="AJK123" s="159"/>
      <c r="AJL123" s="159"/>
      <c r="AJM123" s="159"/>
      <c r="AJN123" s="159"/>
      <c r="AJO123" s="159"/>
      <c r="AJP123" s="159"/>
      <c r="AJQ123" s="159"/>
      <c r="AJR123" s="159"/>
      <c r="AJS123" s="159"/>
      <c r="AJT123" s="159"/>
      <c r="AJU123" s="159"/>
      <c r="AJV123" s="159"/>
      <c r="AJW123" s="159"/>
      <c r="AJX123" s="159"/>
      <c r="AJY123" s="159"/>
      <c r="AJZ123" s="159"/>
      <c r="AKA123" s="159"/>
      <c r="AKB123" s="159"/>
      <c r="AKC123" s="159"/>
      <c r="AKD123" s="159"/>
      <c r="AKE123" s="159"/>
      <c r="AKF123" s="159"/>
      <c r="AKG123" s="159"/>
      <c r="AKH123" s="159"/>
      <c r="AKI123" s="159"/>
      <c r="AKJ123" s="159"/>
      <c r="AKK123" s="159"/>
      <c r="AKL123" s="159"/>
      <c r="AKM123" s="159"/>
      <c r="AKN123" s="159"/>
      <c r="AKO123" s="159"/>
      <c r="AKP123" s="159"/>
      <c r="AKQ123" s="159"/>
      <c r="AKR123" s="159"/>
      <c r="AKS123" s="159"/>
      <c r="AKT123" s="159"/>
      <c r="AKU123" s="159"/>
      <c r="AKV123" s="159"/>
      <c r="AKW123" s="159"/>
      <c r="AKX123" s="159"/>
      <c r="AKY123" s="159"/>
      <c r="AKZ123" s="159"/>
      <c r="ALA123" s="159"/>
      <c r="ALB123" s="159"/>
      <c r="ALC123" s="159"/>
      <c r="ALD123" s="159"/>
      <c r="ALE123" s="159"/>
      <c r="ALF123" s="159"/>
      <c r="ALG123" s="159"/>
      <c r="ALH123" s="159"/>
      <c r="ALI123" s="159"/>
      <c r="ALJ123" s="159"/>
      <c r="ALK123" s="159"/>
      <c r="ALL123" s="159"/>
      <c r="ALM123" s="159"/>
      <c r="ALN123" s="159"/>
      <c r="ALO123" s="159"/>
      <c r="ALP123" s="159"/>
      <c r="ALQ123" s="159"/>
      <c r="ALR123" s="159"/>
      <c r="ALS123" s="159"/>
      <c r="ALT123" s="159"/>
      <c r="ALU123" s="159"/>
      <c r="ALV123" s="159"/>
      <c r="ALW123" s="159"/>
      <c r="ALX123" s="159"/>
      <c r="ALY123" s="159"/>
      <c r="ALZ123" s="159"/>
      <c r="AMA123" s="159"/>
      <c r="AMB123" s="159"/>
      <c r="AMC123" s="159"/>
      <c r="AMD123" s="159"/>
      <c r="AME123" s="159"/>
      <c r="AMF123" s="159"/>
      <c r="AMG123" s="159"/>
      <c r="AMH123" s="159"/>
      <c r="AMI123" s="159"/>
      <c r="AMJ123" s="159"/>
      <c r="AMK123" s="159"/>
      <c r="AML123" s="159"/>
      <c r="AMM123" s="159"/>
      <c r="AMN123" s="159"/>
      <c r="AMO123" s="159"/>
    </row>
    <row r="124" spans="1:1029" ht="26.25" thickTop="1" x14ac:dyDescent="0.25">
      <c r="A124" s="33">
        <v>46195</v>
      </c>
      <c r="B124" s="34" t="s">
        <v>42</v>
      </c>
      <c r="C124" s="34" t="s">
        <v>57</v>
      </c>
      <c r="D124" s="106" t="s">
        <v>31</v>
      </c>
      <c r="E124" s="35" t="s">
        <v>101</v>
      </c>
      <c r="F124" s="34" t="s">
        <v>130</v>
      </c>
      <c r="G124" s="34" t="s">
        <v>21</v>
      </c>
      <c r="H124" s="140" t="b">
        <f t="shared" si="8"/>
        <v>0</v>
      </c>
      <c r="I124" s="35" t="str">
        <f>CHOOSE(MATCH(MAX(SUM(H$9:$H123), SUM(P$9:$P123), SUM(T$9:$T123)),CHOOSE({1;2;3}, SUM(H$9:$H123), SUM(P$9:$P123), SUM(T$9:$T123)),0),E124,M124,Q124)</f>
        <v>Nudel mit Käsesoße</v>
      </c>
      <c r="J124" s="37" t="str">
        <f>CHOOSE(MATCH(MAX(SUM($H$9:H123), SUM($P$9:P123), SUM($T$9:T123)),CHOOSE({1;2;3}, SUM($H$9:H123), SUM($P$9:P123), SUM($T$9:T123)),0),F124,N124,R124)</f>
        <v>Champignonschnitzel</v>
      </c>
      <c r="K124" s="37" t="str">
        <f>CHOOSE(MATCH(MAX(SUM($H$9:H123), SUM($P$9:P123), SUM($T$9:T123)),CHOOSE({1;2;3}, SUM($H$9:H123), SUM($P$9:P123), SUM($T$9:T123)),0),G124,O124,S124)</f>
        <v>Reis</v>
      </c>
      <c r="L124" s="140" t="b">
        <f t="shared" si="9"/>
        <v>0</v>
      </c>
      <c r="M124" s="123" t="s">
        <v>19</v>
      </c>
      <c r="N124" s="123" t="s">
        <v>130</v>
      </c>
      <c r="O124" s="123" t="s">
        <v>21</v>
      </c>
      <c r="P124" s="140" t="b">
        <f t="shared" si="10"/>
        <v>0</v>
      </c>
      <c r="Q124" s="37" t="s">
        <v>22</v>
      </c>
      <c r="R124" s="34" t="s">
        <v>119</v>
      </c>
      <c r="S124" s="34" t="s">
        <v>21</v>
      </c>
      <c r="T124" s="140" t="b">
        <f t="shared" si="11"/>
        <v>0</v>
      </c>
    </row>
    <row r="125" spans="1:1029" x14ac:dyDescent="0.25">
      <c r="A125" s="8">
        <v>46196</v>
      </c>
      <c r="B125" s="16" t="s">
        <v>64</v>
      </c>
      <c r="C125" s="16" t="s">
        <v>275</v>
      </c>
      <c r="D125" s="105" t="s">
        <v>104</v>
      </c>
      <c r="E125" s="18" t="s">
        <v>19</v>
      </c>
      <c r="F125" s="16" t="s">
        <v>270</v>
      </c>
      <c r="G125" s="16" t="s">
        <v>13</v>
      </c>
      <c r="H125" s="17" t="b">
        <f t="shared" si="8"/>
        <v>0</v>
      </c>
      <c r="I125" s="11" t="str">
        <f>CHOOSE(MATCH(MAX(SUM(H$9:$H124), SUM(P$9:$P124), SUM(T$9:$T124)),CHOOSE({1;2;3}, SUM(H$9:$H124), SUM(P$9:$P124), SUM(T$9:$T124)),0),E125,M125,Q125)</f>
        <v>Amatriciana</v>
      </c>
      <c r="J125" s="13" t="str">
        <f>CHOOSE(MATCH(MAX(SUM($H$9:H124), SUM($P$9:P124), SUM($T$9:T124)),CHOOSE({1;2;3}, SUM($H$9:H124), SUM($P$9:P124), SUM($T$9:T124)),0),F125,N125,R125)</f>
        <v>Schweinschopf</v>
      </c>
      <c r="K125" s="13" t="str">
        <f>CHOOSE(MATCH(MAX(SUM($H$9:H124), SUM($P$9:P124), SUM($T$9:T124)),CHOOSE({1;2;3}, SUM($H$9:H124), SUM($P$9:P124), SUM($T$9:T124)),0),G125,O125,S125)</f>
        <v>Spatzlen</v>
      </c>
      <c r="L125" s="17" t="b">
        <f t="shared" si="9"/>
        <v>0</v>
      </c>
      <c r="M125" s="13" t="str">
        <f>CHOOSE(MATCH(MAX(SUM($H$9:H124), SUM($L$9:L124), SUM($T$9:T124)),CHOOSE({1;2;3}, SUM($H$9:H124), SUM($L$9:L124), SUM($T$9:T124)),0),E125,I125,Q125)</f>
        <v>Amatriciana</v>
      </c>
      <c r="N125" s="13" t="str">
        <f>CHOOSE(MATCH(MAX(SUM($H$9:H124), SUM($L$9:L124), SUM($T$9:T124)),CHOOSE({1;2;3}, SUM($H$9:H124), SUM($L$9:L124), SUM($T$9:T124)),0),F125,J125,R125)</f>
        <v>Schweinschopf</v>
      </c>
      <c r="O125" s="13" t="str">
        <f>CHOOSE(MATCH(MAX(SUM($H$9:H124), SUM($L$9:L124), SUM($T$9:T124)),CHOOSE({1;2;3}, SUM($H$9:H124), SUM($L$9:L124), SUM($T$9:T124)),0),G125,K125,S125)</f>
        <v>Spatzlen</v>
      </c>
      <c r="P125" s="17" t="b">
        <f t="shared" si="10"/>
        <v>0</v>
      </c>
      <c r="Q125" s="19" t="s">
        <v>8</v>
      </c>
      <c r="R125" s="16" t="s">
        <v>125</v>
      </c>
      <c r="S125" s="16" t="s">
        <v>104</v>
      </c>
      <c r="T125" s="17">
        <f t="shared" si="11"/>
        <v>0.5</v>
      </c>
    </row>
    <row r="126" spans="1:1029" ht="25.5" x14ac:dyDescent="0.25">
      <c r="A126" s="8">
        <v>46197</v>
      </c>
      <c r="B126" s="16" t="s">
        <v>32</v>
      </c>
      <c r="C126" s="16" t="s">
        <v>82</v>
      </c>
      <c r="D126" s="105" t="s">
        <v>21</v>
      </c>
      <c r="E126" s="118" t="s">
        <v>53</v>
      </c>
      <c r="F126" s="99" t="s">
        <v>119</v>
      </c>
      <c r="G126" s="99" t="s">
        <v>21</v>
      </c>
      <c r="H126" s="141">
        <f t="shared" si="8"/>
        <v>0.5</v>
      </c>
      <c r="I126" s="120" t="str">
        <f>CHOOSE(MATCH(MAX(SUM(H$9:$H125), SUM(P$9:$P125), SUM(T$9:$T125)),CHOOSE({1;2;3}, SUM(H$9:$H125), SUM(P$9:$P125), SUM(T$9:$T125)),0),E126,M126,Q126)</f>
        <v>Ravioli mit Parmesan-Butter</v>
      </c>
      <c r="J126" s="121" t="str">
        <f>CHOOSE(MATCH(MAX(SUM($H$9:H125), SUM($P$9:P125), SUM($T$9:T125)),CHOOSE({1;2;3}, SUM($H$9:H125), SUM($P$9:P125), SUM($T$9:T125)),0),F126,N126,R126)</f>
        <v>Chilli con carne</v>
      </c>
      <c r="K126" s="121" t="str">
        <f>CHOOSE(MATCH(MAX(SUM($H$9:H125), SUM($P$9:P125), SUM($T$9:T125)),CHOOSE({1;2;3}, SUM($H$9:H125), SUM($P$9:P125), SUM($T$9:T125)),0),G126,O126,S126)</f>
        <v>Reis</v>
      </c>
      <c r="L126" s="141">
        <f t="shared" si="9"/>
        <v>0.5</v>
      </c>
      <c r="M126" s="121" t="str">
        <f>CHOOSE(MATCH(MAX(SUM($H$9:H125), SUM($L$9:L125), SUM($T$9:T125)),CHOOSE({1;2;3}, SUM($H$9:H125), SUM($L$9:L125), SUM($T$9:T125)),0),E126,I126,Q126)</f>
        <v>Ravioli mit Parmesan-Butter</v>
      </c>
      <c r="N126" s="121" t="str">
        <f>CHOOSE(MATCH(MAX(SUM($H$9:H125), SUM($L$9:L125), SUM($T$9:T125)),CHOOSE({1;2;3}, SUM($H$9:H125), SUM($L$9:L125), SUM($T$9:T125)),0),F126,J126,R126)</f>
        <v>Chilli con carne</v>
      </c>
      <c r="O126" s="121" t="str">
        <f>CHOOSE(MATCH(MAX(SUM($H$9:H125), SUM($L$9:L125), SUM($T$9:T125)),CHOOSE({1;2;3}, SUM($H$9:H125), SUM($L$9:L125), SUM($T$9:T125)),0),G126,K126,S126)</f>
        <v>Reis</v>
      </c>
      <c r="P126" s="141">
        <f t="shared" si="10"/>
        <v>0.5</v>
      </c>
      <c r="Q126" s="149" t="s">
        <v>53</v>
      </c>
      <c r="R126" s="16" t="s">
        <v>26</v>
      </c>
      <c r="S126" s="16" t="s">
        <v>16</v>
      </c>
      <c r="T126" s="17" t="b">
        <f t="shared" si="11"/>
        <v>0</v>
      </c>
    </row>
    <row r="127" spans="1:1029" x14ac:dyDescent="0.25">
      <c r="A127" s="8">
        <v>46198</v>
      </c>
      <c r="B127" s="16" t="s">
        <v>22</v>
      </c>
      <c r="C127" s="16" t="s">
        <v>10</v>
      </c>
      <c r="D127" s="105" t="s">
        <v>11</v>
      </c>
      <c r="E127" s="18" t="s">
        <v>101</v>
      </c>
      <c r="F127" s="16" t="s">
        <v>51</v>
      </c>
      <c r="G127" s="16" t="s">
        <v>52</v>
      </c>
      <c r="H127" s="17" t="b">
        <f t="shared" si="8"/>
        <v>0</v>
      </c>
      <c r="I127" s="11" t="str">
        <f>CHOOSE(MATCH(MAX(SUM(H$9:$H126), SUM(P$9:$P126), SUM(T$9:$T126)),CHOOSE({1;2;3}, SUM(H$9:$H126), SUM(P$9:$P126), SUM(T$9:$T126)),0),E127,M127,Q127)</f>
        <v>Nudel mit Käsesoße</v>
      </c>
      <c r="J127" s="13" t="str">
        <f>CHOOSE(MATCH(MAX(SUM($H$9:H126), SUM($P$9:P126), SUM($T$9:T126)),CHOOSE({1;2;3}, SUM($H$9:H126), SUM($P$9:P126), SUM($T$9:T126)),0),F127,N127,R127)</f>
        <v>Schweinsfilet</v>
      </c>
      <c r="K127" s="13" t="str">
        <f>CHOOSE(MATCH(MAX(SUM($H$9:H126), SUM($P$9:P126), SUM($T$9:T126)),CHOOSE({1;2;3}, SUM($H$9:H126), SUM($P$9:P126), SUM($T$9:T126)),0),G127,O127,S127)</f>
        <v>Kroketten</v>
      </c>
      <c r="L127" s="17" t="b">
        <f t="shared" si="9"/>
        <v>0</v>
      </c>
      <c r="M127" s="13" t="str">
        <f>CHOOSE(MATCH(MAX(SUM($H$9:H126), SUM($L$9:L126), SUM($T$9:T126)),CHOOSE({1;2;3}, SUM($H$9:H126), SUM($L$9:L126), SUM($T$9:T126)),0),E127,I127,Q127)</f>
        <v>Nudel mit Käsesoße</v>
      </c>
      <c r="N127" s="13" t="str">
        <f>CHOOSE(MATCH(MAX(SUM($H$9:H126), SUM($L$9:L126), SUM($T$9:T126)),CHOOSE({1;2;3}, SUM($H$9:H126), SUM($L$9:L126), SUM($T$9:T126)),0),F127,J127,R127)</f>
        <v>Schweinsfilet</v>
      </c>
      <c r="O127" s="13" t="str">
        <f>CHOOSE(MATCH(MAX(SUM($H$9:H126), SUM($L$9:L126), SUM($T$9:T126)),CHOOSE({1;2;3}, SUM($H$9:H126), SUM($L$9:L126), SUM($T$9:T126)),0),G127,K127,S127)</f>
        <v>Kroketten</v>
      </c>
      <c r="P127" s="17" t="b">
        <f t="shared" si="10"/>
        <v>0</v>
      </c>
      <c r="Q127" s="19" t="s">
        <v>113</v>
      </c>
      <c r="R127" s="16" t="s">
        <v>77</v>
      </c>
      <c r="S127" s="16" t="s">
        <v>13</v>
      </c>
      <c r="T127" s="17" t="b">
        <f t="shared" si="11"/>
        <v>0</v>
      </c>
    </row>
    <row r="128" spans="1:1029" ht="26.25" thickBot="1" x14ac:dyDescent="0.3">
      <c r="A128" s="39">
        <v>46199</v>
      </c>
      <c r="B128" s="55" t="s">
        <v>50</v>
      </c>
      <c r="C128" s="55" t="s">
        <v>252</v>
      </c>
      <c r="D128" s="111" t="s">
        <v>16</v>
      </c>
      <c r="E128" s="112" t="s">
        <v>276</v>
      </c>
      <c r="F128" s="55" t="s">
        <v>38</v>
      </c>
      <c r="G128" s="55" t="s">
        <v>16</v>
      </c>
      <c r="H128" s="142">
        <f t="shared" si="8"/>
        <v>0.5</v>
      </c>
      <c r="I128" s="104" t="str">
        <f>CHOOSE(MATCH(MAX(SUM(H$9:$H127), SUM(P$9:$P127), SUM(T$9:$T127)),CHOOSE({1;2;3}, SUM(H$9:$H127), SUM(P$9:$P127), SUM(T$9:$T127)),0),E128,M128,Q128)</f>
        <v>Algio Olio</v>
      </c>
      <c r="J128" s="103" t="str">
        <f>CHOOSE(MATCH(MAX(SUM($H$9:H127), SUM($P$9:P127), SUM($T$9:T127)),CHOOSE({1;2;3}, SUM($H$9:H127), SUM($P$9:P127), SUM($T$9:T127)),0),F128,N128,R128)</f>
        <v>Wienerschnitzel</v>
      </c>
      <c r="K128" s="103" t="str">
        <f>CHOOSE(MATCH(MAX(SUM($H$9:H127), SUM($P$9:P127), SUM($T$9:T127)),CHOOSE({1;2;3}, SUM($H$9:H127), SUM($P$9:P127), SUM($T$9:T127)),0),G128,O128,S128)</f>
        <v>Kartoffelsalat</v>
      </c>
      <c r="L128" s="142">
        <f t="shared" si="9"/>
        <v>0.5</v>
      </c>
      <c r="M128" s="103" t="str">
        <f>CHOOSE(MATCH(MAX(SUM($H$9:H127), SUM($L$9:L127), SUM($T$9:T127)),CHOOSE({1;2;3}, SUM($H$9:H127), SUM($L$9:L127), SUM($T$9:T127)),0),E128,I128,Q128)</f>
        <v>Algio Olio</v>
      </c>
      <c r="N128" s="103" t="str">
        <f>CHOOSE(MATCH(MAX(SUM($H$9:H127), SUM($L$9:L127), SUM($T$9:T127)),CHOOSE({1;2;3}, SUM($H$9:H127), SUM($L$9:L127), SUM($T$9:T127)),0),F128,J128,R128)</f>
        <v>Wienerschnitzel</v>
      </c>
      <c r="O128" s="103" t="str">
        <f>CHOOSE(MATCH(MAX(SUM($H$9:H127), SUM($L$9:L127), SUM($T$9:T127)),CHOOSE({1;2;3}, SUM($H$9:H127), SUM($L$9:L127), SUM($T$9:T127)),0),G128,K128,S128)</f>
        <v>Kartoffelsalat</v>
      </c>
      <c r="P128" s="142">
        <f t="shared" si="10"/>
        <v>0.5</v>
      </c>
      <c r="Q128" s="44" t="s">
        <v>73</v>
      </c>
      <c r="R128" s="55" t="s">
        <v>277</v>
      </c>
      <c r="S128" s="55" t="s">
        <v>31</v>
      </c>
      <c r="T128" s="142" t="b">
        <f t="shared" si="11"/>
        <v>0</v>
      </c>
    </row>
    <row r="129" spans="1:1029" ht="26.25" thickTop="1" x14ac:dyDescent="0.25">
      <c r="A129" s="8">
        <v>46202</v>
      </c>
      <c r="B129" s="9" t="s">
        <v>101</v>
      </c>
      <c r="C129" s="9" t="s">
        <v>88</v>
      </c>
      <c r="D129" s="101" t="s">
        <v>52</v>
      </c>
      <c r="E129" s="11" t="s">
        <v>73</v>
      </c>
      <c r="F129" s="9" t="s">
        <v>130</v>
      </c>
      <c r="G129" s="9" t="s">
        <v>90</v>
      </c>
      <c r="H129" s="10" t="b">
        <f t="shared" si="8"/>
        <v>0</v>
      </c>
      <c r="I129" s="13" t="str">
        <f>CHOOSE(MATCH(MAX(SUM(H$9:$H128), SUM(P$9:$P128), SUM(T$9:$T128)),CHOOSE({1;2;3}, SUM(H$9:$H128), SUM(P$9:$P128), SUM(T$9:$T128)),0),E129,M129,Q129)</f>
        <v>Nudel mit Thunfischsoße</v>
      </c>
      <c r="J129" s="13" t="str">
        <f>CHOOSE(MATCH(MAX(SUM($H$9:H128), SUM($P$9:P128), SUM($T$9:T128)),CHOOSE({1;2;3}, SUM($H$9:H128), SUM($P$9:P128), SUM($T$9:T128)),0),F129,N129,R129)</f>
        <v>Champignonschnitzel</v>
      </c>
      <c r="K129" s="13" t="str">
        <f>CHOOSE(MATCH(MAX(SUM($H$9:H128), SUM($P$9:P128), SUM($T$9:T128)),CHOOSE({1;2;3}, SUM($H$9:H128), SUM($P$9:P128), SUM($T$9:T128)),0),G129,O129,S129)</f>
        <v>Kartoffelgratin</v>
      </c>
      <c r="L129" s="10" t="b">
        <f t="shared" si="9"/>
        <v>0</v>
      </c>
      <c r="M129" s="13" t="str">
        <f>CHOOSE(MATCH(MAX(SUM($H$9:H128), SUM($L$9:L128), SUM($T$9:T128)),CHOOSE({1;2;3}, SUM($H$9:H128), SUM($L$9:L128), SUM($T$9:T128)),0),E129,I129,Q129)</f>
        <v>Nudel mit Thunfischsoße</v>
      </c>
      <c r="N129" s="13" t="str">
        <f>CHOOSE(MATCH(MAX(SUM($H$9:H128), SUM($L$9:L128), SUM($T$9:T128)),CHOOSE({1;2;3}, SUM($H$9:H128), SUM($L$9:L128), SUM($T$9:T128)),0),F129,J129,R129)</f>
        <v>Champignonschnitzel</v>
      </c>
      <c r="O129" s="13" t="str">
        <f>CHOOSE(MATCH(MAX(SUM($H$9:H128), SUM($L$9:L128), SUM($T$9:T128)),CHOOSE({1;2;3}, SUM($H$9:H128), SUM($L$9:L128), SUM($T$9:T128)),0),G129,K129,S129)</f>
        <v>Kartoffelgratin</v>
      </c>
      <c r="P129" s="10" t="b">
        <f t="shared" si="10"/>
        <v>0</v>
      </c>
      <c r="Q129" s="13" t="s">
        <v>101</v>
      </c>
      <c r="R129" s="9" t="s">
        <v>130</v>
      </c>
      <c r="S129" s="9" t="s">
        <v>21</v>
      </c>
      <c r="T129" s="10">
        <f t="shared" si="11"/>
        <v>1</v>
      </c>
    </row>
    <row r="130" spans="1:1029" ht="25.5" x14ac:dyDescent="0.25">
      <c r="A130" s="8">
        <v>46203</v>
      </c>
      <c r="B130" s="16" t="s">
        <v>138</v>
      </c>
      <c r="C130" s="16" t="s">
        <v>121</v>
      </c>
      <c r="D130" s="105" t="s">
        <v>104</v>
      </c>
      <c r="E130" s="18" t="s">
        <v>47</v>
      </c>
      <c r="F130" s="16" t="s">
        <v>30</v>
      </c>
      <c r="G130" s="16" t="s">
        <v>31</v>
      </c>
      <c r="H130" s="17" t="b">
        <f t="shared" si="8"/>
        <v>0</v>
      </c>
      <c r="I130" s="13" t="str">
        <f>CHOOSE(MATCH(MAX(SUM(H$9:$H129), SUM(P$9:$P129), SUM(T$9:$T129)),CHOOSE({1;2;3}, SUM(H$9:$H129), SUM(P$9:$P129), SUM(T$9:$T129)),0),E130,M130,Q130)</f>
        <v>Nudel mit Ragu</v>
      </c>
      <c r="J130" s="13" t="str">
        <f>CHOOSE(MATCH(MAX(SUM($H$9:H129), SUM($P$9:P129), SUM($T$9:T129)),CHOOSE({1;2;3}, SUM($H$9:H129), SUM($P$9:P129), SUM($T$9:T129)),0),F130,N130,R130)</f>
        <v>Hühnerhaxlen</v>
      </c>
      <c r="K130" s="13" t="str">
        <f>CHOOSE(MATCH(MAX(SUM($H$9:H129), SUM($P$9:P129), SUM($T$9:T129)),CHOOSE({1;2;3}, SUM($H$9:H129), SUM($P$9:P129), SUM($T$9:T129)),0),G130,O130,S130)</f>
        <v>Pommes</v>
      </c>
      <c r="L130" s="17" t="b">
        <f t="shared" si="9"/>
        <v>0</v>
      </c>
      <c r="M130" s="13" t="str">
        <f>CHOOSE(MATCH(MAX(SUM($H$9:H129), SUM($L$9:L129), SUM($T$9:T129)),CHOOSE({1;2;3}, SUM($H$9:H129), SUM($L$9:L129), SUM($T$9:T129)),0),E130,I130,Q130)</f>
        <v>Nudel mit Ragu</v>
      </c>
      <c r="N130" s="13" t="str">
        <f>CHOOSE(MATCH(MAX(SUM($H$9:H129), SUM($L$9:L129), SUM($T$9:T129)),CHOOSE({1;2;3}, SUM($H$9:H129), SUM($L$9:L129), SUM($T$9:T129)),0),F130,J130,R130)</f>
        <v>Hühnerhaxlen</v>
      </c>
      <c r="O130" s="13" t="str">
        <f>CHOOSE(MATCH(MAX(SUM($H$9:H129), SUM($L$9:L129), SUM($T$9:T129)),CHOOSE({1;2;3}, SUM($H$9:H129), SUM($L$9:L129), SUM($T$9:T129)),0),G130,K130,S130)</f>
        <v>Pommes</v>
      </c>
      <c r="P130" s="17" t="b">
        <f t="shared" si="10"/>
        <v>0</v>
      </c>
      <c r="Q130" s="19" t="s">
        <v>105</v>
      </c>
      <c r="R130" s="16" t="s">
        <v>77</v>
      </c>
      <c r="S130" s="16" t="s">
        <v>27</v>
      </c>
      <c r="T130" s="17" t="b">
        <f t="shared" si="11"/>
        <v>0</v>
      </c>
    </row>
    <row r="131" spans="1:1029" ht="25.5" x14ac:dyDescent="0.25">
      <c r="A131" s="8">
        <v>46204</v>
      </c>
      <c r="B131" s="16" t="s">
        <v>47</v>
      </c>
      <c r="C131" s="16" t="s">
        <v>270</v>
      </c>
      <c r="D131" s="105" t="s">
        <v>199</v>
      </c>
      <c r="E131" s="18" t="s">
        <v>73</v>
      </c>
      <c r="F131" s="16" t="s">
        <v>57</v>
      </c>
      <c r="G131" s="16" t="s">
        <v>16</v>
      </c>
      <c r="H131" s="17" t="b">
        <f t="shared" si="8"/>
        <v>0</v>
      </c>
      <c r="I131" s="13" t="str">
        <f>CHOOSE(MATCH(MAX(SUM(H$9:$H130), SUM(P$9:$P130), SUM(T$9:$T130)),CHOOSE({1;2;3}, SUM(H$9:$H130), SUM(P$9:$P130), SUM(T$9:$T130)),0),E131,M131,Q131)</f>
        <v>Nudel mit Thunfischsoße</v>
      </c>
      <c r="J131" s="13" t="str">
        <f>CHOOSE(MATCH(MAX(SUM($H$9:H130), SUM($P$9:P130), SUM($T$9:T130)),CHOOSE({1;2;3}, SUM($H$9:H130), SUM($P$9:P130), SUM($T$9:T130)),0),F131,N131,R131)</f>
        <v>Truthahnschnitzel</v>
      </c>
      <c r="K131" s="13" t="str">
        <f>CHOOSE(MATCH(MAX(SUM($H$9:H130), SUM($P$9:P130), SUM($T$9:T130)),CHOOSE({1;2;3}, SUM($H$9:H130), SUM($P$9:P130), SUM($T$9:T130)),0),G131,O131,S131)</f>
        <v>Kartoffelsalat</v>
      </c>
      <c r="L131" s="17" t="b">
        <f t="shared" si="9"/>
        <v>0</v>
      </c>
      <c r="M131" s="13" t="str">
        <f>CHOOSE(MATCH(MAX(SUM($H$9:H130), SUM($L$9:L130), SUM($T$9:T130)),CHOOSE({1;2;3}, SUM($H$9:H130), SUM($L$9:L130), SUM($T$9:T130)),0),E131,I131,Q131)</f>
        <v>Nudel mit Thunfischsoße</v>
      </c>
      <c r="N131" s="13" t="str">
        <f>CHOOSE(MATCH(MAX(SUM($H$9:H130), SUM($L$9:L130), SUM($T$9:T130)),CHOOSE({1;2;3}, SUM($H$9:H130), SUM($L$9:L130), SUM($T$9:T130)),0),F131,J131,R131)</f>
        <v>Truthahnschnitzel</v>
      </c>
      <c r="O131" s="13" t="str">
        <f>CHOOSE(MATCH(MAX(SUM($H$9:H130), SUM($L$9:L130), SUM($T$9:T130)),CHOOSE({1;2;3}, SUM($H$9:H130), SUM($L$9:L130), SUM($T$9:T130)),0),G131,K131,S131)</f>
        <v>Kartoffelsalat</v>
      </c>
      <c r="P131" s="17" t="b">
        <f t="shared" si="10"/>
        <v>0</v>
      </c>
      <c r="Q131" s="19" t="s">
        <v>42</v>
      </c>
      <c r="R131" s="16" t="s">
        <v>45</v>
      </c>
      <c r="S131" s="16" t="s">
        <v>21</v>
      </c>
      <c r="T131" s="17" t="b">
        <f t="shared" si="11"/>
        <v>0</v>
      </c>
    </row>
    <row r="132" spans="1:1029" ht="25.5" x14ac:dyDescent="0.25">
      <c r="A132" s="8">
        <v>46205</v>
      </c>
      <c r="B132" s="16" t="s">
        <v>278</v>
      </c>
      <c r="C132" s="16" t="s">
        <v>279</v>
      </c>
      <c r="D132" s="105" t="s">
        <v>31</v>
      </c>
      <c r="E132" s="18" t="s">
        <v>29</v>
      </c>
      <c r="F132" s="16" t="s">
        <v>38</v>
      </c>
      <c r="G132" s="16" t="s">
        <v>31</v>
      </c>
      <c r="H132" s="17">
        <f t="shared" si="8"/>
        <v>0.5</v>
      </c>
      <c r="I132" s="13" t="str">
        <f>CHOOSE(MATCH(MAX(SUM(H$9:$H131), SUM(P$9:$P131), SUM(T$9:$T131)),CHOOSE({1;2;3}, SUM(H$9:$H131), SUM(P$9:$P131), SUM(T$9:$T131)),0),E132,M132,Q132)</f>
        <v>Schlutzer</v>
      </c>
      <c r="J132" s="13" t="str">
        <f>CHOOSE(MATCH(MAX(SUM($H$9:H131), SUM($P$9:P131), SUM($T$9:T131)),CHOOSE({1;2;3}, SUM($H$9:H131), SUM($P$9:P131), SUM($T$9:T131)),0),F132,N132,R132)</f>
        <v>Wienerschnitzel</v>
      </c>
      <c r="K132" s="13" t="str">
        <f>CHOOSE(MATCH(MAX(SUM($H$9:H131), SUM($P$9:P131), SUM($T$9:T131)),CHOOSE({1;2;3}, SUM($H$9:H131), SUM($P$9:P131), SUM($T$9:T131)),0),G132,O132,S132)</f>
        <v>Pommes</v>
      </c>
      <c r="L132" s="17">
        <f t="shared" si="9"/>
        <v>0.5</v>
      </c>
      <c r="M132" s="13" t="str">
        <f>CHOOSE(MATCH(MAX(SUM($H$9:H131), SUM($L$9:L131), SUM($T$9:T131)),CHOOSE({1;2;3}, SUM($H$9:H131), SUM($L$9:L131), SUM($T$9:T131)),0),E132,I132,Q132)</f>
        <v>Schlutzer</v>
      </c>
      <c r="N132" s="13" t="str">
        <f>CHOOSE(MATCH(MAX(SUM($H$9:H131), SUM($L$9:L131), SUM($T$9:T131)),CHOOSE({1;2;3}, SUM($H$9:H131), SUM($L$9:L131), SUM($T$9:T131)),0),F132,J132,R132)</f>
        <v>Wienerschnitzel</v>
      </c>
      <c r="O132" s="13" t="str">
        <f>CHOOSE(MATCH(MAX(SUM($H$9:H131), SUM($L$9:L131), SUM($T$9:T131)),CHOOSE({1;2;3}, SUM($H$9:H131), SUM($L$9:L131), SUM($T$9:T131)),0),G132,K132,S132)</f>
        <v>Pommes</v>
      </c>
      <c r="P132" s="17">
        <f t="shared" si="10"/>
        <v>0.5</v>
      </c>
      <c r="Q132" s="19" t="s">
        <v>193</v>
      </c>
      <c r="R132" s="16" t="s">
        <v>38</v>
      </c>
      <c r="S132" s="16" t="s">
        <v>16</v>
      </c>
      <c r="T132" s="17" t="b">
        <f t="shared" si="11"/>
        <v>0</v>
      </c>
    </row>
    <row r="133" spans="1:1029" ht="26.25" thickBot="1" x14ac:dyDescent="0.3">
      <c r="A133" s="107">
        <v>46206</v>
      </c>
      <c r="B133" s="69" t="s">
        <v>84</v>
      </c>
      <c r="C133" s="69" t="s">
        <v>77</v>
      </c>
      <c r="D133" s="108" t="s">
        <v>21</v>
      </c>
      <c r="E133" s="109" t="s">
        <v>193</v>
      </c>
      <c r="F133" s="69" t="s">
        <v>82</v>
      </c>
      <c r="G133" s="69" t="s">
        <v>21</v>
      </c>
      <c r="H133" s="148">
        <f t="shared" si="8"/>
        <v>0.5</v>
      </c>
      <c r="I133" s="116" t="str">
        <f>CHOOSE(MATCH(MAX(SUM(H$9:$H132), SUM(P$9:$P132), SUM(T$9:$T132)),CHOOSE({1;2;3}, SUM(H$9:$H132), SUM(P$9:$P132), SUM(T$9:$T132)),0),E133,M133,Q133)</f>
        <v>Aglio Olio</v>
      </c>
      <c r="J133" s="116" t="str">
        <f>CHOOSE(MATCH(MAX(SUM($H$9:H132), SUM($P$9:P132), SUM($T$9:T132)),CHOOSE({1;2;3}, SUM($H$9:H132), SUM($P$9:P132), SUM($T$9:T132)),0),F133,N133,R133)</f>
        <v>Truthahngeschnetzeltes</v>
      </c>
      <c r="K133" s="116" t="str">
        <f>CHOOSE(MATCH(MAX(SUM($H$9:H132), SUM($P$9:P132), SUM($T$9:T132)),CHOOSE({1;2;3}, SUM($H$9:H132), SUM($P$9:P132), SUM($T$9:T132)),0),G133,O133,S133)</f>
        <v>Reis</v>
      </c>
      <c r="L133" s="148">
        <f t="shared" si="9"/>
        <v>0.5</v>
      </c>
      <c r="M133" s="116" t="str">
        <f>CHOOSE(MATCH(MAX(SUM($H$9:H132), SUM($L$9:L132), SUM($T$9:T132)),CHOOSE({1;2;3}, SUM($H$9:H132), SUM($L$9:L132), SUM($T$9:T132)),0),E133,I133,Q133)</f>
        <v>Aglio Olio</v>
      </c>
      <c r="N133" s="116" t="str">
        <f>CHOOSE(MATCH(MAX(SUM($H$9:H132), SUM($L$9:L132), SUM($T$9:T132)),CHOOSE({1;2;3}, SUM($H$9:H132), SUM($L$9:L132), SUM($T$9:T132)),0),F133,J133,R133)</f>
        <v>Truthahngeschnetzeltes</v>
      </c>
      <c r="O133" s="116" t="str">
        <f>CHOOSE(MATCH(MAX(SUM($H$9:H132), SUM($L$9:L132), SUM($T$9:T132)),CHOOSE({1;2;3}, SUM($H$9:H132), SUM($L$9:L132), SUM($T$9:T132)),0),G133,K133,S133)</f>
        <v>Reis</v>
      </c>
      <c r="P133" s="148">
        <f t="shared" si="10"/>
        <v>0.5</v>
      </c>
      <c r="Q133" s="110" t="s">
        <v>35</v>
      </c>
      <c r="R133" s="69" t="s">
        <v>57</v>
      </c>
      <c r="S133" s="69" t="s">
        <v>21</v>
      </c>
      <c r="T133" s="148">
        <f t="shared" si="11"/>
        <v>0.5</v>
      </c>
    </row>
    <row r="134" spans="1:1029" s="161" customFormat="1" ht="26.25" thickTop="1" x14ac:dyDescent="0.25">
      <c r="A134" s="170">
        <v>46209</v>
      </c>
      <c r="B134" s="100" t="s">
        <v>22</v>
      </c>
      <c r="C134" s="100" t="s">
        <v>38</v>
      </c>
      <c r="D134" s="171" t="s">
        <v>16</v>
      </c>
      <c r="E134" s="122" t="s">
        <v>42</v>
      </c>
      <c r="F134" s="100" t="s">
        <v>130</v>
      </c>
      <c r="G134" s="100" t="s">
        <v>90</v>
      </c>
      <c r="H134" s="143" t="b">
        <f t="shared" si="8"/>
        <v>0</v>
      </c>
      <c r="I134" s="122" t="str">
        <f>CHOOSE(MATCH(MAX(SUM(H$9:$H133), SUM(P$9:$P133), SUM(T$9:$T133)),CHOOSE({1;2;3}, SUM(H$9:$H133), SUM(P$9:$P133), SUM(T$9:$T133)),0),E134,M134,Q134)</f>
        <v>Hirten</v>
      </c>
      <c r="J134" s="123" t="str">
        <f>CHOOSE(MATCH(MAX(SUM($H$9:H133), SUM($P$9:P133), SUM($T$9:T133)),CHOOSE({1;2;3}, SUM($H$9:H133), SUM($P$9:P133), SUM($T$9:T133)),0),F134,N134,R134)</f>
        <v>Champignonschnitzel</v>
      </c>
      <c r="K134" s="123" t="str">
        <f>CHOOSE(MATCH(MAX(SUM($H$9:H133), SUM($P$9:P133), SUM($T$9:T133)),CHOOSE({1;2;3}, SUM($H$9:H133), SUM($P$9:P133), SUM($T$9:T133)),0),G134,O134,S134)</f>
        <v>Kartoffelgratin</v>
      </c>
      <c r="L134" s="143" t="b">
        <f t="shared" si="9"/>
        <v>0</v>
      </c>
      <c r="M134" s="123" t="s">
        <v>22</v>
      </c>
      <c r="N134" s="123" t="s">
        <v>130</v>
      </c>
      <c r="O134" s="123" t="s">
        <v>21</v>
      </c>
      <c r="P134" s="143">
        <f t="shared" si="10"/>
        <v>1</v>
      </c>
      <c r="Q134" s="123" t="s">
        <v>19</v>
      </c>
      <c r="R134" s="100" t="s">
        <v>130</v>
      </c>
      <c r="S134" s="100" t="s">
        <v>21</v>
      </c>
      <c r="T134" s="143" t="b">
        <f t="shared" si="11"/>
        <v>0</v>
      </c>
      <c r="U134" s="159"/>
      <c r="V134" s="159"/>
      <c r="W134" s="159"/>
      <c r="X134" s="159"/>
      <c r="Y134" s="159"/>
      <c r="Z134" s="159"/>
      <c r="AA134" s="159"/>
      <c r="AB134" s="159"/>
      <c r="AC134" s="159"/>
      <c r="AD134" s="159"/>
      <c r="AE134" s="159"/>
      <c r="AF134" s="159"/>
      <c r="AG134" s="159"/>
      <c r="AH134" s="159"/>
      <c r="AI134" s="159"/>
      <c r="AJ134" s="159"/>
      <c r="AK134" s="159"/>
      <c r="AL134" s="159"/>
      <c r="AM134" s="159"/>
      <c r="AN134" s="159"/>
      <c r="AO134" s="159"/>
      <c r="AP134" s="159"/>
      <c r="AQ134" s="159"/>
      <c r="AR134" s="159"/>
      <c r="AS134" s="159"/>
      <c r="AT134" s="159"/>
      <c r="AU134" s="159"/>
      <c r="AV134" s="159"/>
      <c r="AW134" s="159"/>
      <c r="AX134" s="159"/>
      <c r="AY134" s="159"/>
      <c r="AZ134" s="159"/>
      <c r="BA134" s="159"/>
      <c r="BB134" s="159"/>
      <c r="BC134" s="159"/>
      <c r="BD134" s="159"/>
      <c r="BE134" s="159"/>
      <c r="BF134" s="159"/>
      <c r="BG134" s="159"/>
      <c r="BH134" s="159"/>
      <c r="BI134" s="159"/>
      <c r="BJ134" s="159"/>
      <c r="BK134" s="159"/>
      <c r="BL134" s="159"/>
      <c r="BM134" s="159"/>
      <c r="BN134" s="159"/>
      <c r="BO134" s="159"/>
      <c r="BP134" s="159"/>
      <c r="BQ134" s="159"/>
      <c r="BR134" s="159"/>
      <c r="BS134" s="159"/>
      <c r="BT134" s="159"/>
      <c r="BU134" s="159"/>
      <c r="BV134" s="159"/>
      <c r="BW134" s="159"/>
      <c r="BX134" s="159"/>
      <c r="BY134" s="159"/>
      <c r="BZ134" s="159"/>
      <c r="CA134" s="159"/>
      <c r="CB134" s="159"/>
      <c r="CC134" s="159"/>
      <c r="CD134" s="159"/>
      <c r="CE134" s="159"/>
      <c r="CF134" s="159"/>
      <c r="CG134" s="159"/>
      <c r="CH134" s="159"/>
      <c r="CI134" s="159"/>
      <c r="CJ134" s="159"/>
      <c r="CK134" s="159"/>
      <c r="CL134" s="159"/>
      <c r="CM134" s="159"/>
      <c r="CN134" s="159"/>
      <c r="CO134" s="159"/>
      <c r="CP134" s="159"/>
      <c r="CQ134" s="159"/>
      <c r="CR134" s="159"/>
      <c r="CS134" s="159"/>
      <c r="CT134" s="159"/>
      <c r="CU134" s="159"/>
      <c r="CV134" s="159"/>
      <c r="CW134" s="159"/>
      <c r="CX134" s="159"/>
      <c r="CY134" s="159"/>
      <c r="CZ134" s="159"/>
      <c r="DA134" s="159"/>
      <c r="DB134" s="159"/>
      <c r="DC134" s="159"/>
      <c r="DD134" s="159"/>
      <c r="DE134" s="159"/>
      <c r="DF134" s="159"/>
      <c r="DG134" s="159"/>
      <c r="DH134" s="159"/>
      <c r="DI134" s="159"/>
      <c r="DJ134" s="159"/>
      <c r="DK134" s="159"/>
      <c r="DL134" s="159"/>
      <c r="DM134" s="159"/>
      <c r="DN134" s="159"/>
      <c r="DO134" s="159"/>
      <c r="DP134" s="159"/>
      <c r="DQ134" s="159"/>
      <c r="DR134" s="159"/>
      <c r="DS134" s="159"/>
      <c r="DT134" s="159"/>
      <c r="DU134" s="159"/>
      <c r="DV134" s="159"/>
      <c r="DW134" s="159"/>
      <c r="DX134" s="159"/>
      <c r="DY134" s="159"/>
      <c r="DZ134" s="159"/>
      <c r="EA134" s="159"/>
      <c r="EB134" s="159"/>
      <c r="EC134" s="159"/>
      <c r="ED134" s="159"/>
      <c r="EE134" s="159"/>
      <c r="EF134" s="159"/>
      <c r="EG134" s="159"/>
      <c r="EH134" s="159"/>
      <c r="EI134" s="159"/>
      <c r="EJ134" s="159"/>
      <c r="EK134" s="159"/>
      <c r="EL134" s="159"/>
      <c r="EM134" s="159"/>
      <c r="EN134" s="159"/>
      <c r="EO134" s="159"/>
      <c r="EP134" s="159"/>
      <c r="EQ134" s="159"/>
      <c r="ER134" s="159"/>
      <c r="ES134" s="159"/>
      <c r="ET134" s="159"/>
      <c r="EU134" s="159"/>
      <c r="EV134" s="159"/>
      <c r="EW134" s="159"/>
      <c r="EX134" s="159"/>
      <c r="EY134" s="159"/>
      <c r="EZ134" s="159"/>
      <c r="FA134" s="159"/>
      <c r="FB134" s="159"/>
      <c r="FC134" s="159"/>
      <c r="FD134" s="159"/>
      <c r="FE134" s="159"/>
      <c r="FF134" s="159"/>
      <c r="FG134" s="159"/>
      <c r="FH134" s="159"/>
      <c r="FI134" s="159"/>
      <c r="FJ134" s="159"/>
      <c r="FK134" s="159"/>
      <c r="FL134" s="159"/>
      <c r="FM134" s="159"/>
      <c r="FN134" s="159"/>
      <c r="FO134" s="159"/>
      <c r="FP134" s="159"/>
      <c r="FQ134" s="159"/>
      <c r="FR134" s="159"/>
      <c r="FS134" s="159"/>
      <c r="FT134" s="159"/>
      <c r="FU134" s="159"/>
      <c r="FV134" s="159"/>
      <c r="FW134" s="159"/>
      <c r="FX134" s="159"/>
      <c r="FY134" s="159"/>
      <c r="FZ134" s="159"/>
      <c r="GA134" s="159"/>
      <c r="GB134" s="159"/>
      <c r="GC134" s="159"/>
      <c r="GD134" s="159"/>
      <c r="GE134" s="159"/>
      <c r="GF134" s="159"/>
      <c r="GG134" s="159"/>
      <c r="GH134" s="159"/>
      <c r="GI134" s="159"/>
      <c r="GJ134" s="159"/>
      <c r="GK134" s="159"/>
      <c r="GL134" s="159"/>
      <c r="GM134" s="159"/>
      <c r="GN134" s="159"/>
      <c r="GO134" s="159"/>
      <c r="GP134" s="159"/>
      <c r="GQ134" s="159"/>
      <c r="GR134" s="159"/>
      <c r="GS134" s="159"/>
      <c r="GT134" s="159"/>
      <c r="GU134" s="159"/>
      <c r="GV134" s="159"/>
      <c r="GW134" s="159"/>
      <c r="GX134" s="159"/>
      <c r="GY134" s="159"/>
      <c r="GZ134" s="159"/>
      <c r="HA134" s="159"/>
      <c r="HB134" s="159"/>
      <c r="HC134" s="159"/>
      <c r="HD134" s="159"/>
      <c r="HE134" s="159"/>
      <c r="HF134" s="159"/>
      <c r="HG134" s="159"/>
      <c r="HH134" s="159"/>
      <c r="HI134" s="159"/>
      <c r="HJ134" s="159"/>
      <c r="HK134" s="159"/>
      <c r="HL134" s="159"/>
      <c r="HM134" s="159"/>
      <c r="HN134" s="159"/>
      <c r="HO134" s="159"/>
      <c r="HP134" s="159"/>
      <c r="HQ134" s="159"/>
      <c r="HR134" s="159"/>
      <c r="HS134" s="159"/>
      <c r="HT134" s="159"/>
      <c r="HU134" s="159"/>
      <c r="HV134" s="159"/>
      <c r="HW134" s="159"/>
      <c r="HX134" s="159"/>
      <c r="HY134" s="159"/>
      <c r="HZ134" s="159"/>
      <c r="IA134" s="159"/>
      <c r="IB134" s="159"/>
      <c r="IC134" s="159"/>
      <c r="ID134" s="159"/>
      <c r="IE134" s="159"/>
      <c r="IF134" s="159"/>
      <c r="IG134" s="159"/>
      <c r="IH134" s="159"/>
      <c r="II134" s="159"/>
      <c r="IJ134" s="159"/>
      <c r="IK134" s="159"/>
      <c r="IL134" s="159"/>
      <c r="IM134" s="159"/>
      <c r="IN134" s="159"/>
      <c r="IO134" s="159"/>
      <c r="IP134" s="159"/>
      <c r="IQ134" s="159"/>
      <c r="IR134" s="159"/>
      <c r="IS134" s="159"/>
      <c r="IT134" s="159"/>
      <c r="IU134" s="159"/>
      <c r="IV134" s="159"/>
      <c r="IW134" s="159"/>
      <c r="IX134" s="159"/>
      <c r="IY134" s="159"/>
      <c r="IZ134" s="159"/>
      <c r="JA134" s="159"/>
      <c r="JB134" s="159"/>
      <c r="JC134" s="159"/>
      <c r="JD134" s="159"/>
      <c r="JE134" s="159"/>
      <c r="JF134" s="159"/>
      <c r="JG134" s="159"/>
      <c r="JH134" s="159"/>
      <c r="JI134" s="159"/>
      <c r="JJ134" s="159"/>
      <c r="JK134" s="159"/>
      <c r="JL134" s="159"/>
      <c r="JM134" s="159"/>
      <c r="JN134" s="159"/>
      <c r="JO134" s="159"/>
      <c r="JP134" s="159"/>
      <c r="JQ134" s="159"/>
      <c r="JR134" s="159"/>
      <c r="JS134" s="159"/>
      <c r="JT134" s="159"/>
      <c r="JU134" s="159"/>
      <c r="JV134" s="159"/>
      <c r="JW134" s="159"/>
      <c r="JX134" s="159"/>
      <c r="JY134" s="159"/>
      <c r="JZ134" s="159"/>
      <c r="KA134" s="159"/>
      <c r="KB134" s="159"/>
      <c r="KC134" s="159"/>
      <c r="KD134" s="159"/>
      <c r="KE134" s="159"/>
      <c r="KF134" s="159"/>
      <c r="KG134" s="159"/>
      <c r="KH134" s="159"/>
      <c r="KI134" s="159"/>
      <c r="KJ134" s="159"/>
      <c r="KK134" s="159"/>
      <c r="KL134" s="159"/>
      <c r="KM134" s="159"/>
      <c r="KN134" s="159"/>
      <c r="KO134" s="159"/>
      <c r="KP134" s="159"/>
      <c r="KQ134" s="159"/>
      <c r="KR134" s="159"/>
      <c r="KS134" s="159"/>
      <c r="KT134" s="159"/>
      <c r="KU134" s="159"/>
      <c r="KV134" s="159"/>
      <c r="KW134" s="159"/>
      <c r="KX134" s="159"/>
      <c r="KY134" s="159"/>
      <c r="KZ134" s="159"/>
      <c r="LA134" s="159"/>
      <c r="LB134" s="159"/>
      <c r="LC134" s="159"/>
      <c r="LD134" s="159"/>
      <c r="LE134" s="159"/>
      <c r="LF134" s="159"/>
      <c r="LG134" s="159"/>
      <c r="LH134" s="159"/>
      <c r="LI134" s="159"/>
      <c r="LJ134" s="159"/>
      <c r="LK134" s="159"/>
      <c r="LL134" s="159"/>
      <c r="LM134" s="159"/>
      <c r="LN134" s="159"/>
      <c r="LO134" s="159"/>
      <c r="LP134" s="159"/>
      <c r="LQ134" s="159"/>
      <c r="LR134" s="159"/>
      <c r="LS134" s="159"/>
      <c r="LT134" s="159"/>
      <c r="LU134" s="159"/>
      <c r="LV134" s="159"/>
      <c r="LW134" s="159"/>
      <c r="LX134" s="159"/>
      <c r="LY134" s="159"/>
      <c r="LZ134" s="159"/>
      <c r="MA134" s="159"/>
      <c r="MB134" s="159"/>
      <c r="MC134" s="159"/>
      <c r="MD134" s="159"/>
      <c r="ME134" s="159"/>
      <c r="MF134" s="159"/>
      <c r="MG134" s="159"/>
      <c r="MH134" s="159"/>
      <c r="MI134" s="159"/>
      <c r="MJ134" s="159"/>
      <c r="MK134" s="159"/>
      <c r="ML134" s="159"/>
      <c r="MM134" s="159"/>
      <c r="MN134" s="159"/>
      <c r="MO134" s="159"/>
      <c r="MP134" s="159"/>
      <c r="MQ134" s="159"/>
      <c r="MR134" s="159"/>
      <c r="MS134" s="159"/>
      <c r="MT134" s="159"/>
      <c r="MU134" s="159"/>
      <c r="MV134" s="159"/>
      <c r="MW134" s="159"/>
      <c r="MX134" s="159"/>
      <c r="MY134" s="159"/>
      <c r="MZ134" s="159"/>
      <c r="NA134" s="159"/>
      <c r="NB134" s="159"/>
      <c r="NC134" s="159"/>
      <c r="ND134" s="159"/>
      <c r="NE134" s="159"/>
      <c r="NF134" s="159"/>
      <c r="NG134" s="159"/>
      <c r="NH134" s="159"/>
      <c r="NI134" s="159"/>
      <c r="NJ134" s="159"/>
      <c r="NK134" s="159"/>
      <c r="NL134" s="159"/>
      <c r="NM134" s="159"/>
      <c r="NN134" s="159"/>
      <c r="NO134" s="159"/>
      <c r="NP134" s="159"/>
      <c r="NQ134" s="159"/>
      <c r="NR134" s="159"/>
      <c r="NS134" s="159"/>
      <c r="NT134" s="159"/>
      <c r="NU134" s="159"/>
      <c r="NV134" s="159"/>
      <c r="NW134" s="159"/>
      <c r="NX134" s="159"/>
      <c r="NY134" s="159"/>
      <c r="NZ134" s="159"/>
      <c r="OA134" s="159"/>
      <c r="OB134" s="159"/>
      <c r="OC134" s="159"/>
      <c r="OD134" s="159"/>
      <c r="OE134" s="159"/>
      <c r="OF134" s="159"/>
      <c r="OG134" s="159"/>
      <c r="OH134" s="159"/>
      <c r="OI134" s="159"/>
      <c r="OJ134" s="159"/>
      <c r="OK134" s="159"/>
      <c r="OL134" s="159"/>
      <c r="OM134" s="159"/>
      <c r="ON134" s="159"/>
      <c r="OO134" s="159"/>
      <c r="OP134" s="159"/>
      <c r="OQ134" s="159"/>
      <c r="OR134" s="159"/>
      <c r="OS134" s="159"/>
      <c r="OT134" s="159"/>
      <c r="OU134" s="159"/>
      <c r="OV134" s="159"/>
      <c r="OW134" s="159"/>
      <c r="OX134" s="159"/>
      <c r="OY134" s="159"/>
      <c r="OZ134" s="159"/>
      <c r="PA134" s="159"/>
      <c r="PB134" s="159"/>
      <c r="PC134" s="159"/>
      <c r="PD134" s="159"/>
      <c r="PE134" s="159"/>
      <c r="PF134" s="159"/>
      <c r="PG134" s="159"/>
      <c r="PH134" s="159"/>
      <c r="PI134" s="159"/>
      <c r="PJ134" s="159"/>
      <c r="PK134" s="159"/>
      <c r="PL134" s="159"/>
      <c r="PM134" s="159"/>
      <c r="PN134" s="159"/>
      <c r="PO134" s="159"/>
      <c r="PP134" s="159"/>
      <c r="PQ134" s="159"/>
      <c r="PR134" s="159"/>
      <c r="PS134" s="159"/>
      <c r="PT134" s="159"/>
      <c r="PU134" s="159"/>
      <c r="PV134" s="159"/>
      <c r="PW134" s="159"/>
      <c r="PX134" s="159"/>
      <c r="PY134" s="159"/>
      <c r="PZ134" s="159"/>
      <c r="QA134" s="159"/>
      <c r="QB134" s="159"/>
      <c r="QC134" s="159"/>
      <c r="QD134" s="159"/>
      <c r="QE134" s="159"/>
      <c r="QF134" s="159"/>
      <c r="QG134" s="159"/>
      <c r="QH134" s="159"/>
      <c r="QI134" s="159"/>
      <c r="QJ134" s="159"/>
      <c r="QK134" s="159"/>
      <c r="QL134" s="159"/>
      <c r="QM134" s="159"/>
      <c r="QN134" s="159"/>
      <c r="QO134" s="159"/>
      <c r="QP134" s="159"/>
      <c r="QQ134" s="159"/>
      <c r="QR134" s="159"/>
      <c r="QS134" s="159"/>
      <c r="QT134" s="159"/>
      <c r="QU134" s="159"/>
      <c r="QV134" s="159"/>
      <c r="QW134" s="159"/>
      <c r="QX134" s="159"/>
      <c r="QY134" s="159"/>
      <c r="QZ134" s="159"/>
      <c r="RA134" s="159"/>
      <c r="RB134" s="159"/>
      <c r="RC134" s="159"/>
      <c r="RD134" s="159"/>
      <c r="RE134" s="159"/>
      <c r="RF134" s="159"/>
      <c r="RG134" s="159"/>
      <c r="RH134" s="159"/>
      <c r="RI134" s="159"/>
      <c r="RJ134" s="159"/>
      <c r="RK134" s="159"/>
      <c r="RL134" s="159"/>
      <c r="RM134" s="159"/>
      <c r="RN134" s="159"/>
      <c r="RO134" s="159"/>
      <c r="RP134" s="159"/>
      <c r="RQ134" s="159"/>
      <c r="RR134" s="159"/>
      <c r="RS134" s="159"/>
      <c r="RT134" s="159"/>
      <c r="RU134" s="159"/>
      <c r="RV134" s="159"/>
      <c r="RW134" s="159"/>
      <c r="RX134" s="159"/>
      <c r="RY134" s="159"/>
      <c r="RZ134" s="159"/>
      <c r="SA134" s="159"/>
      <c r="SB134" s="159"/>
      <c r="SC134" s="159"/>
      <c r="SD134" s="159"/>
      <c r="SE134" s="159"/>
      <c r="SF134" s="159"/>
      <c r="SG134" s="159"/>
      <c r="SH134" s="159"/>
      <c r="SI134" s="159"/>
      <c r="SJ134" s="159"/>
      <c r="SK134" s="159"/>
      <c r="SL134" s="159"/>
      <c r="SM134" s="159"/>
      <c r="SN134" s="159"/>
      <c r="SO134" s="159"/>
      <c r="SP134" s="159"/>
      <c r="SQ134" s="159"/>
      <c r="SR134" s="159"/>
      <c r="SS134" s="159"/>
      <c r="ST134" s="159"/>
      <c r="SU134" s="159"/>
      <c r="SV134" s="159"/>
      <c r="SW134" s="159"/>
      <c r="SX134" s="159"/>
      <c r="SY134" s="159"/>
      <c r="SZ134" s="159"/>
      <c r="TA134" s="159"/>
      <c r="TB134" s="159"/>
      <c r="TC134" s="159"/>
      <c r="TD134" s="159"/>
      <c r="TE134" s="159"/>
      <c r="TF134" s="159"/>
      <c r="TG134" s="159"/>
      <c r="TH134" s="159"/>
      <c r="TI134" s="159"/>
      <c r="TJ134" s="159"/>
      <c r="TK134" s="159"/>
      <c r="TL134" s="159"/>
      <c r="TM134" s="159"/>
      <c r="TN134" s="159"/>
      <c r="TO134" s="159"/>
      <c r="TP134" s="159"/>
      <c r="TQ134" s="159"/>
      <c r="TR134" s="159"/>
      <c r="TS134" s="159"/>
      <c r="TT134" s="159"/>
      <c r="TU134" s="159"/>
      <c r="TV134" s="159"/>
      <c r="TW134" s="159"/>
      <c r="TX134" s="159"/>
      <c r="TY134" s="159"/>
      <c r="TZ134" s="159"/>
      <c r="UA134" s="159"/>
      <c r="UB134" s="159"/>
      <c r="UC134" s="159"/>
      <c r="UD134" s="159"/>
      <c r="UE134" s="159"/>
      <c r="UF134" s="159"/>
      <c r="UG134" s="159"/>
      <c r="UH134" s="159"/>
      <c r="UI134" s="159"/>
      <c r="UJ134" s="159"/>
      <c r="UK134" s="159"/>
      <c r="UL134" s="159"/>
      <c r="UM134" s="159"/>
      <c r="UN134" s="159"/>
      <c r="UO134" s="159"/>
      <c r="UP134" s="159"/>
      <c r="UQ134" s="159"/>
      <c r="UR134" s="159"/>
      <c r="US134" s="159"/>
      <c r="UT134" s="159"/>
      <c r="UU134" s="159"/>
      <c r="UV134" s="159"/>
      <c r="UW134" s="159"/>
      <c r="UX134" s="159"/>
      <c r="UY134" s="159"/>
      <c r="UZ134" s="159"/>
      <c r="VA134" s="159"/>
      <c r="VB134" s="159"/>
      <c r="VC134" s="159"/>
      <c r="VD134" s="159"/>
      <c r="VE134" s="159"/>
      <c r="VF134" s="159"/>
      <c r="VG134" s="159"/>
      <c r="VH134" s="159"/>
      <c r="VI134" s="159"/>
      <c r="VJ134" s="159"/>
      <c r="VK134" s="159"/>
      <c r="VL134" s="159"/>
      <c r="VM134" s="159"/>
      <c r="VN134" s="159"/>
      <c r="VO134" s="159"/>
      <c r="VP134" s="159"/>
      <c r="VQ134" s="159"/>
      <c r="VR134" s="159"/>
      <c r="VS134" s="159"/>
      <c r="VT134" s="159"/>
      <c r="VU134" s="159"/>
      <c r="VV134" s="159"/>
      <c r="VW134" s="159"/>
      <c r="VX134" s="159"/>
      <c r="VY134" s="159"/>
      <c r="VZ134" s="159"/>
      <c r="WA134" s="159"/>
      <c r="WB134" s="159"/>
      <c r="WC134" s="159"/>
      <c r="WD134" s="159"/>
      <c r="WE134" s="159"/>
      <c r="WF134" s="159"/>
      <c r="WG134" s="159"/>
      <c r="WH134" s="159"/>
      <c r="WI134" s="159"/>
      <c r="WJ134" s="159"/>
      <c r="WK134" s="159"/>
      <c r="WL134" s="159"/>
      <c r="WM134" s="159"/>
      <c r="WN134" s="159"/>
      <c r="WO134" s="159"/>
      <c r="WP134" s="159"/>
      <c r="WQ134" s="159"/>
      <c r="WR134" s="159"/>
      <c r="WS134" s="159"/>
      <c r="WT134" s="159"/>
      <c r="WU134" s="159"/>
      <c r="WV134" s="159"/>
      <c r="WW134" s="159"/>
      <c r="WX134" s="159"/>
      <c r="WY134" s="159"/>
      <c r="WZ134" s="159"/>
      <c r="XA134" s="159"/>
      <c r="XB134" s="159"/>
      <c r="XC134" s="159"/>
      <c r="XD134" s="159"/>
      <c r="XE134" s="159"/>
      <c r="XF134" s="159"/>
      <c r="XG134" s="159"/>
      <c r="XH134" s="159"/>
      <c r="XI134" s="159"/>
      <c r="XJ134" s="159"/>
      <c r="XK134" s="159"/>
      <c r="XL134" s="159"/>
      <c r="XM134" s="159"/>
      <c r="XN134" s="159"/>
      <c r="XO134" s="159"/>
      <c r="XP134" s="159"/>
      <c r="XQ134" s="159"/>
      <c r="XR134" s="159"/>
      <c r="XS134" s="159"/>
      <c r="XT134" s="159"/>
      <c r="XU134" s="159"/>
      <c r="XV134" s="159"/>
      <c r="XW134" s="159"/>
      <c r="XX134" s="159"/>
      <c r="XY134" s="159"/>
      <c r="XZ134" s="159"/>
      <c r="YA134" s="159"/>
      <c r="YB134" s="159"/>
      <c r="YC134" s="159"/>
      <c r="YD134" s="159"/>
      <c r="YE134" s="159"/>
      <c r="YF134" s="159"/>
      <c r="YG134" s="159"/>
      <c r="YH134" s="159"/>
      <c r="YI134" s="159"/>
      <c r="YJ134" s="159"/>
      <c r="YK134" s="159"/>
      <c r="YL134" s="159"/>
      <c r="YM134" s="159"/>
      <c r="YN134" s="159"/>
      <c r="YO134" s="159"/>
      <c r="YP134" s="159"/>
      <c r="YQ134" s="159"/>
      <c r="YR134" s="159"/>
      <c r="YS134" s="159"/>
      <c r="YT134" s="159"/>
      <c r="YU134" s="159"/>
      <c r="YV134" s="159"/>
      <c r="YW134" s="159"/>
      <c r="YX134" s="159"/>
      <c r="YY134" s="159"/>
      <c r="YZ134" s="159"/>
      <c r="ZA134" s="159"/>
      <c r="ZB134" s="159"/>
      <c r="ZC134" s="159"/>
      <c r="ZD134" s="159"/>
      <c r="ZE134" s="159"/>
      <c r="ZF134" s="159"/>
      <c r="ZG134" s="159"/>
      <c r="ZH134" s="159"/>
      <c r="ZI134" s="159"/>
      <c r="ZJ134" s="159"/>
      <c r="ZK134" s="159"/>
      <c r="ZL134" s="159"/>
      <c r="ZM134" s="159"/>
      <c r="ZN134" s="159"/>
      <c r="ZO134" s="159"/>
      <c r="ZP134" s="159"/>
      <c r="ZQ134" s="159"/>
      <c r="ZR134" s="159"/>
      <c r="ZS134" s="159"/>
      <c r="ZT134" s="159"/>
      <c r="ZU134" s="159"/>
      <c r="ZV134" s="159"/>
      <c r="ZW134" s="159"/>
      <c r="ZX134" s="159"/>
      <c r="ZY134" s="159"/>
      <c r="ZZ134" s="159"/>
      <c r="AAA134" s="159"/>
      <c r="AAB134" s="159"/>
      <c r="AAC134" s="159"/>
      <c r="AAD134" s="159"/>
      <c r="AAE134" s="159"/>
      <c r="AAF134" s="159"/>
      <c r="AAG134" s="159"/>
      <c r="AAH134" s="159"/>
      <c r="AAI134" s="159"/>
      <c r="AAJ134" s="159"/>
      <c r="AAK134" s="159"/>
      <c r="AAL134" s="159"/>
      <c r="AAM134" s="159"/>
      <c r="AAN134" s="159"/>
      <c r="AAO134" s="159"/>
      <c r="AAP134" s="159"/>
      <c r="AAQ134" s="159"/>
      <c r="AAR134" s="159"/>
      <c r="AAS134" s="159"/>
      <c r="AAT134" s="159"/>
      <c r="AAU134" s="159"/>
      <c r="AAV134" s="159"/>
      <c r="AAW134" s="159"/>
      <c r="AAX134" s="159"/>
      <c r="AAY134" s="159"/>
      <c r="AAZ134" s="159"/>
      <c r="ABA134" s="159"/>
      <c r="ABB134" s="159"/>
      <c r="ABC134" s="159"/>
      <c r="ABD134" s="159"/>
      <c r="ABE134" s="159"/>
      <c r="ABF134" s="159"/>
      <c r="ABG134" s="159"/>
      <c r="ABH134" s="159"/>
      <c r="ABI134" s="159"/>
      <c r="ABJ134" s="159"/>
      <c r="ABK134" s="159"/>
      <c r="ABL134" s="159"/>
      <c r="ABM134" s="159"/>
      <c r="ABN134" s="159"/>
      <c r="ABO134" s="159"/>
      <c r="ABP134" s="159"/>
      <c r="ABQ134" s="159"/>
      <c r="ABR134" s="159"/>
      <c r="ABS134" s="159"/>
      <c r="ABT134" s="159"/>
      <c r="ABU134" s="159"/>
      <c r="ABV134" s="159"/>
      <c r="ABW134" s="159"/>
      <c r="ABX134" s="159"/>
      <c r="ABY134" s="159"/>
      <c r="ABZ134" s="159"/>
      <c r="ACA134" s="159"/>
      <c r="ACB134" s="159"/>
      <c r="ACC134" s="159"/>
      <c r="ACD134" s="159"/>
      <c r="ACE134" s="159"/>
      <c r="ACF134" s="159"/>
      <c r="ACG134" s="159"/>
      <c r="ACH134" s="159"/>
      <c r="ACI134" s="159"/>
      <c r="ACJ134" s="159"/>
      <c r="ACK134" s="159"/>
      <c r="ACL134" s="159"/>
      <c r="ACM134" s="159"/>
      <c r="ACN134" s="159"/>
      <c r="ACO134" s="159"/>
      <c r="ACP134" s="159"/>
      <c r="ACQ134" s="159"/>
      <c r="ACR134" s="159"/>
      <c r="ACS134" s="159"/>
      <c r="ACT134" s="159"/>
      <c r="ACU134" s="159"/>
      <c r="ACV134" s="159"/>
      <c r="ACW134" s="159"/>
      <c r="ACX134" s="159"/>
      <c r="ACY134" s="159"/>
      <c r="ACZ134" s="159"/>
      <c r="ADA134" s="159"/>
      <c r="ADB134" s="159"/>
      <c r="ADC134" s="159"/>
      <c r="ADD134" s="159"/>
      <c r="ADE134" s="159"/>
      <c r="ADF134" s="159"/>
      <c r="ADG134" s="159"/>
      <c r="ADH134" s="159"/>
      <c r="ADI134" s="159"/>
      <c r="ADJ134" s="159"/>
      <c r="ADK134" s="159"/>
      <c r="ADL134" s="159"/>
      <c r="ADM134" s="159"/>
      <c r="ADN134" s="159"/>
      <c r="ADO134" s="159"/>
      <c r="ADP134" s="159"/>
      <c r="ADQ134" s="159"/>
      <c r="ADR134" s="159"/>
      <c r="ADS134" s="159"/>
      <c r="ADT134" s="159"/>
      <c r="ADU134" s="159"/>
      <c r="ADV134" s="159"/>
      <c r="ADW134" s="159"/>
      <c r="ADX134" s="159"/>
      <c r="ADY134" s="159"/>
      <c r="ADZ134" s="159"/>
      <c r="AEA134" s="159"/>
      <c r="AEB134" s="159"/>
      <c r="AEC134" s="159"/>
      <c r="AED134" s="159"/>
      <c r="AEE134" s="159"/>
      <c r="AEF134" s="159"/>
      <c r="AEG134" s="159"/>
      <c r="AEH134" s="159"/>
      <c r="AEI134" s="159"/>
      <c r="AEJ134" s="159"/>
      <c r="AEK134" s="159"/>
      <c r="AEL134" s="159"/>
      <c r="AEM134" s="159"/>
      <c r="AEN134" s="159"/>
      <c r="AEO134" s="159"/>
      <c r="AEP134" s="159"/>
      <c r="AEQ134" s="159"/>
      <c r="AER134" s="159"/>
      <c r="AES134" s="159"/>
      <c r="AET134" s="159"/>
      <c r="AEU134" s="159"/>
      <c r="AEV134" s="159"/>
      <c r="AEW134" s="159"/>
      <c r="AEX134" s="159"/>
      <c r="AEY134" s="159"/>
      <c r="AEZ134" s="159"/>
      <c r="AFA134" s="159"/>
      <c r="AFB134" s="159"/>
      <c r="AFC134" s="159"/>
      <c r="AFD134" s="159"/>
      <c r="AFE134" s="159"/>
      <c r="AFF134" s="159"/>
      <c r="AFG134" s="159"/>
      <c r="AFH134" s="159"/>
      <c r="AFI134" s="159"/>
      <c r="AFJ134" s="159"/>
      <c r="AFK134" s="159"/>
      <c r="AFL134" s="159"/>
      <c r="AFM134" s="159"/>
      <c r="AFN134" s="159"/>
      <c r="AFO134" s="159"/>
      <c r="AFP134" s="159"/>
      <c r="AFQ134" s="159"/>
      <c r="AFR134" s="159"/>
      <c r="AFS134" s="159"/>
      <c r="AFT134" s="159"/>
      <c r="AFU134" s="159"/>
      <c r="AFV134" s="159"/>
      <c r="AFW134" s="159"/>
      <c r="AFX134" s="159"/>
      <c r="AFY134" s="159"/>
      <c r="AFZ134" s="159"/>
      <c r="AGA134" s="159"/>
      <c r="AGB134" s="159"/>
      <c r="AGC134" s="159"/>
      <c r="AGD134" s="159"/>
      <c r="AGE134" s="159"/>
      <c r="AGF134" s="159"/>
      <c r="AGG134" s="159"/>
      <c r="AGH134" s="159"/>
      <c r="AGI134" s="159"/>
      <c r="AGJ134" s="159"/>
      <c r="AGK134" s="159"/>
      <c r="AGL134" s="159"/>
      <c r="AGM134" s="159"/>
      <c r="AGN134" s="159"/>
      <c r="AGO134" s="159"/>
      <c r="AGP134" s="159"/>
      <c r="AGQ134" s="159"/>
      <c r="AGR134" s="159"/>
      <c r="AGS134" s="159"/>
      <c r="AGT134" s="159"/>
      <c r="AGU134" s="159"/>
      <c r="AGV134" s="159"/>
      <c r="AGW134" s="159"/>
      <c r="AGX134" s="159"/>
      <c r="AGY134" s="159"/>
      <c r="AGZ134" s="159"/>
      <c r="AHA134" s="159"/>
      <c r="AHB134" s="159"/>
      <c r="AHC134" s="159"/>
      <c r="AHD134" s="159"/>
      <c r="AHE134" s="159"/>
      <c r="AHF134" s="159"/>
      <c r="AHG134" s="159"/>
      <c r="AHH134" s="159"/>
      <c r="AHI134" s="159"/>
      <c r="AHJ134" s="159"/>
      <c r="AHK134" s="159"/>
      <c r="AHL134" s="159"/>
      <c r="AHM134" s="159"/>
      <c r="AHN134" s="159"/>
      <c r="AHO134" s="159"/>
      <c r="AHP134" s="159"/>
      <c r="AHQ134" s="159"/>
      <c r="AHR134" s="159"/>
      <c r="AHS134" s="159"/>
      <c r="AHT134" s="159"/>
      <c r="AHU134" s="159"/>
      <c r="AHV134" s="159"/>
      <c r="AHW134" s="159"/>
      <c r="AHX134" s="159"/>
      <c r="AHY134" s="159"/>
      <c r="AHZ134" s="159"/>
      <c r="AIA134" s="159"/>
      <c r="AIB134" s="159"/>
      <c r="AIC134" s="159"/>
      <c r="AID134" s="159"/>
      <c r="AIE134" s="159"/>
      <c r="AIF134" s="159"/>
      <c r="AIG134" s="159"/>
      <c r="AIH134" s="159"/>
      <c r="AII134" s="159"/>
      <c r="AIJ134" s="159"/>
      <c r="AIK134" s="159"/>
      <c r="AIL134" s="159"/>
      <c r="AIM134" s="159"/>
      <c r="AIN134" s="159"/>
      <c r="AIO134" s="159"/>
      <c r="AIP134" s="159"/>
      <c r="AIQ134" s="159"/>
      <c r="AIR134" s="159"/>
      <c r="AIS134" s="159"/>
      <c r="AIT134" s="159"/>
      <c r="AIU134" s="159"/>
      <c r="AIV134" s="159"/>
      <c r="AIW134" s="159"/>
      <c r="AIX134" s="159"/>
      <c r="AIY134" s="159"/>
      <c r="AIZ134" s="159"/>
      <c r="AJA134" s="159"/>
      <c r="AJB134" s="159"/>
      <c r="AJC134" s="159"/>
      <c r="AJD134" s="159"/>
      <c r="AJE134" s="159"/>
      <c r="AJF134" s="159"/>
      <c r="AJG134" s="159"/>
      <c r="AJH134" s="159"/>
      <c r="AJI134" s="159"/>
      <c r="AJJ134" s="159"/>
      <c r="AJK134" s="159"/>
      <c r="AJL134" s="159"/>
      <c r="AJM134" s="159"/>
      <c r="AJN134" s="159"/>
      <c r="AJO134" s="159"/>
      <c r="AJP134" s="159"/>
      <c r="AJQ134" s="159"/>
      <c r="AJR134" s="159"/>
      <c r="AJS134" s="159"/>
      <c r="AJT134" s="159"/>
      <c r="AJU134" s="159"/>
      <c r="AJV134" s="159"/>
      <c r="AJW134" s="159"/>
      <c r="AJX134" s="159"/>
      <c r="AJY134" s="159"/>
      <c r="AJZ134" s="159"/>
      <c r="AKA134" s="159"/>
      <c r="AKB134" s="159"/>
      <c r="AKC134" s="159"/>
      <c r="AKD134" s="159"/>
      <c r="AKE134" s="159"/>
      <c r="AKF134" s="159"/>
      <c r="AKG134" s="159"/>
      <c r="AKH134" s="159"/>
      <c r="AKI134" s="159"/>
      <c r="AKJ134" s="159"/>
      <c r="AKK134" s="159"/>
      <c r="AKL134" s="159"/>
      <c r="AKM134" s="159"/>
      <c r="AKN134" s="159"/>
      <c r="AKO134" s="159"/>
      <c r="AKP134" s="159"/>
      <c r="AKQ134" s="159"/>
      <c r="AKR134" s="159"/>
      <c r="AKS134" s="159"/>
      <c r="AKT134" s="159"/>
      <c r="AKU134" s="159"/>
      <c r="AKV134" s="159"/>
      <c r="AKW134" s="159"/>
      <c r="AKX134" s="159"/>
      <c r="AKY134" s="159"/>
      <c r="AKZ134" s="159"/>
      <c r="ALA134" s="159"/>
      <c r="ALB134" s="159"/>
      <c r="ALC134" s="159"/>
      <c r="ALD134" s="159"/>
      <c r="ALE134" s="159"/>
      <c r="ALF134" s="159"/>
      <c r="ALG134" s="159"/>
      <c r="ALH134" s="159"/>
      <c r="ALI134" s="159"/>
      <c r="ALJ134" s="159"/>
      <c r="ALK134" s="159"/>
      <c r="ALL134" s="159"/>
      <c r="ALM134" s="159"/>
      <c r="ALN134" s="159"/>
      <c r="ALO134" s="159"/>
      <c r="ALP134" s="159"/>
      <c r="ALQ134" s="159"/>
      <c r="ALR134" s="159"/>
      <c r="ALS134" s="159"/>
      <c r="ALT134" s="159"/>
      <c r="ALU134" s="159"/>
      <c r="ALV134" s="159"/>
      <c r="ALW134" s="159"/>
      <c r="ALX134" s="159"/>
      <c r="ALY134" s="159"/>
      <c r="ALZ134" s="159"/>
      <c r="AMA134" s="159"/>
      <c r="AMB134" s="159"/>
      <c r="AMC134" s="159"/>
      <c r="AMD134" s="159"/>
      <c r="AME134" s="159"/>
      <c r="AMF134" s="159"/>
      <c r="AMG134" s="159"/>
      <c r="AMH134" s="159"/>
      <c r="AMI134" s="159"/>
      <c r="AMJ134" s="159"/>
      <c r="AMK134" s="159"/>
      <c r="AML134" s="159"/>
      <c r="AMM134" s="159"/>
      <c r="AMN134" s="159"/>
      <c r="AMO134" s="159"/>
    </row>
    <row r="135" spans="1:1029" s="161" customFormat="1" ht="25.5" x14ac:dyDescent="0.25">
      <c r="A135" s="138">
        <v>46210</v>
      </c>
      <c r="B135" s="99" t="s">
        <v>8</v>
      </c>
      <c r="C135" s="99" t="s">
        <v>130</v>
      </c>
      <c r="D135" s="160" t="s">
        <v>21</v>
      </c>
      <c r="E135" s="118" t="s">
        <v>105</v>
      </c>
      <c r="F135" s="99" t="s">
        <v>77</v>
      </c>
      <c r="G135" s="99" t="s">
        <v>21</v>
      </c>
      <c r="H135" s="141">
        <f t="shared" si="8"/>
        <v>0.5</v>
      </c>
      <c r="I135" s="120" t="s">
        <v>35</v>
      </c>
      <c r="J135" s="121" t="s">
        <v>117</v>
      </c>
      <c r="K135" s="121" t="s">
        <v>21</v>
      </c>
      <c r="L135" s="141">
        <f t="shared" si="9"/>
        <v>0.5</v>
      </c>
      <c r="M135" s="121" t="s">
        <v>101</v>
      </c>
      <c r="N135" s="121" t="s">
        <v>82</v>
      </c>
      <c r="O135" s="121" t="s">
        <v>168</v>
      </c>
      <c r="P135" s="141" t="b">
        <f t="shared" si="10"/>
        <v>0</v>
      </c>
      <c r="Q135" s="149" t="s">
        <v>29</v>
      </c>
      <c r="R135" s="99" t="s">
        <v>57</v>
      </c>
      <c r="S135" s="99" t="s">
        <v>27</v>
      </c>
      <c r="T135" s="141" t="b">
        <f t="shared" si="11"/>
        <v>0</v>
      </c>
      <c r="U135" s="159"/>
      <c r="V135" s="159"/>
      <c r="W135" s="159"/>
      <c r="X135" s="159"/>
      <c r="Y135" s="159"/>
      <c r="Z135" s="159"/>
      <c r="AA135" s="159"/>
      <c r="AB135" s="159"/>
      <c r="AC135" s="159"/>
      <c r="AD135" s="159"/>
      <c r="AE135" s="159"/>
      <c r="AF135" s="159"/>
      <c r="AG135" s="159"/>
      <c r="AH135" s="159"/>
      <c r="AI135" s="159"/>
      <c r="AJ135" s="159"/>
      <c r="AK135" s="159"/>
      <c r="AL135" s="159"/>
      <c r="AM135" s="159"/>
      <c r="AN135" s="159"/>
      <c r="AO135" s="159"/>
      <c r="AP135" s="159"/>
      <c r="AQ135" s="159"/>
      <c r="AR135" s="159"/>
      <c r="AS135" s="159"/>
      <c r="AT135" s="159"/>
      <c r="AU135" s="159"/>
      <c r="AV135" s="159"/>
      <c r="AW135" s="159"/>
      <c r="AX135" s="159"/>
      <c r="AY135" s="159"/>
      <c r="AZ135" s="159"/>
      <c r="BA135" s="159"/>
      <c r="BB135" s="159"/>
      <c r="BC135" s="159"/>
      <c r="BD135" s="159"/>
      <c r="BE135" s="159"/>
      <c r="BF135" s="159"/>
      <c r="BG135" s="159"/>
      <c r="BH135" s="159"/>
      <c r="BI135" s="159"/>
      <c r="BJ135" s="159"/>
      <c r="BK135" s="159"/>
      <c r="BL135" s="159"/>
      <c r="BM135" s="159"/>
      <c r="BN135" s="159"/>
      <c r="BO135" s="159"/>
      <c r="BP135" s="159"/>
      <c r="BQ135" s="159"/>
      <c r="BR135" s="159"/>
      <c r="BS135" s="159"/>
      <c r="BT135" s="159"/>
      <c r="BU135" s="159"/>
      <c r="BV135" s="159"/>
      <c r="BW135" s="159"/>
      <c r="BX135" s="159"/>
      <c r="BY135" s="159"/>
      <c r="BZ135" s="159"/>
      <c r="CA135" s="159"/>
      <c r="CB135" s="159"/>
      <c r="CC135" s="159"/>
      <c r="CD135" s="159"/>
      <c r="CE135" s="159"/>
      <c r="CF135" s="159"/>
      <c r="CG135" s="159"/>
      <c r="CH135" s="159"/>
      <c r="CI135" s="159"/>
      <c r="CJ135" s="159"/>
      <c r="CK135" s="159"/>
      <c r="CL135" s="159"/>
      <c r="CM135" s="159"/>
      <c r="CN135" s="159"/>
      <c r="CO135" s="159"/>
      <c r="CP135" s="159"/>
      <c r="CQ135" s="159"/>
      <c r="CR135" s="159"/>
      <c r="CS135" s="159"/>
      <c r="CT135" s="159"/>
      <c r="CU135" s="159"/>
      <c r="CV135" s="159"/>
      <c r="CW135" s="159"/>
      <c r="CX135" s="159"/>
      <c r="CY135" s="159"/>
      <c r="CZ135" s="159"/>
      <c r="DA135" s="159"/>
      <c r="DB135" s="159"/>
      <c r="DC135" s="159"/>
      <c r="DD135" s="159"/>
      <c r="DE135" s="159"/>
      <c r="DF135" s="159"/>
      <c r="DG135" s="159"/>
      <c r="DH135" s="159"/>
      <c r="DI135" s="159"/>
      <c r="DJ135" s="159"/>
      <c r="DK135" s="159"/>
      <c r="DL135" s="159"/>
      <c r="DM135" s="159"/>
      <c r="DN135" s="159"/>
      <c r="DO135" s="159"/>
      <c r="DP135" s="159"/>
      <c r="DQ135" s="159"/>
      <c r="DR135" s="159"/>
      <c r="DS135" s="159"/>
      <c r="DT135" s="159"/>
      <c r="DU135" s="159"/>
      <c r="DV135" s="159"/>
      <c r="DW135" s="159"/>
      <c r="DX135" s="159"/>
      <c r="DY135" s="159"/>
      <c r="DZ135" s="159"/>
      <c r="EA135" s="159"/>
      <c r="EB135" s="159"/>
      <c r="EC135" s="159"/>
      <c r="ED135" s="159"/>
      <c r="EE135" s="159"/>
      <c r="EF135" s="159"/>
      <c r="EG135" s="159"/>
      <c r="EH135" s="159"/>
      <c r="EI135" s="159"/>
      <c r="EJ135" s="159"/>
      <c r="EK135" s="159"/>
      <c r="EL135" s="159"/>
      <c r="EM135" s="159"/>
      <c r="EN135" s="159"/>
      <c r="EO135" s="159"/>
      <c r="EP135" s="159"/>
      <c r="EQ135" s="159"/>
      <c r="ER135" s="159"/>
      <c r="ES135" s="159"/>
      <c r="ET135" s="159"/>
      <c r="EU135" s="159"/>
      <c r="EV135" s="159"/>
      <c r="EW135" s="159"/>
      <c r="EX135" s="159"/>
      <c r="EY135" s="159"/>
      <c r="EZ135" s="159"/>
      <c r="FA135" s="159"/>
      <c r="FB135" s="159"/>
      <c r="FC135" s="159"/>
      <c r="FD135" s="159"/>
      <c r="FE135" s="159"/>
      <c r="FF135" s="159"/>
      <c r="FG135" s="159"/>
      <c r="FH135" s="159"/>
      <c r="FI135" s="159"/>
      <c r="FJ135" s="159"/>
      <c r="FK135" s="159"/>
      <c r="FL135" s="159"/>
      <c r="FM135" s="159"/>
      <c r="FN135" s="159"/>
      <c r="FO135" s="159"/>
      <c r="FP135" s="159"/>
      <c r="FQ135" s="159"/>
      <c r="FR135" s="159"/>
      <c r="FS135" s="159"/>
      <c r="FT135" s="159"/>
      <c r="FU135" s="159"/>
      <c r="FV135" s="159"/>
      <c r="FW135" s="159"/>
      <c r="FX135" s="159"/>
      <c r="FY135" s="159"/>
      <c r="FZ135" s="159"/>
      <c r="GA135" s="159"/>
      <c r="GB135" s="159"/>
      <c r="GC135" s="159"/>
      <c r="GD135" s="159"/>
      <c r="GE135" s="159"/>
      <c r="GF135" s="159"/>
      <c r="GG135" s="159"/>
      <c r="GH135" s="159"/>
      <c r="GI135" s="159"/>
      <c r="GJ135" s="159"/>
      <c r="GK135" s="159"/>
      <c r="GL135" s="159"/>
      <c r="GM135" s="159"/>
      <c r="GN135" s="159"/>
      <c r="GO135" s="159"/>
      <c r="GP135" s="159"/>
      <c r="GQ135" s="159"/>
      <c r="GR135" s="159"/>
      <c r="GS135" s="159"/>
      <c r="GT135" s="159"/>
      <c r="GU135" s="159"/>
      <c r="GV135" s="159"/>
      <c r="GW135" s="159"/>
      <c r="GX135" s="159"/>
      <c r="GY135" s="159"/>
      <c r="GZ135" s="159"/>
      <c r="HA135" s="159"/>
      <c r="HB135" s="159"/>
      <c r="HC135" s="159"/>
      <c r="HD135" s="159"/>
      <c r="HE135" s="159"/>
      <c r="HF135" s="159"/>
      <c r="HG135" s="159"/>
      <c r="HH135" s="159"/>
      <c r="HI135" s="159"/>
      <c r="HJ135" s="159"/>
      <c r="HK135" s="159"/>
      <c r="HL135" s="159"/>
      <c r="HM135" s="159"/>
      <c r="HN135" s="159"/>
      <c r="HO135" s="159"/>
      <c r="HP135" s="159"/>
      <c r="HQ135" s="159"/>
      <c r="HR135" s="159"/>
      <c r="HS135" s="159"/>
      <c r="HT135" s="159"/>
      <c r="HU135" s="159"/>
      <c r="HV135" s="159"/>
      <c r="HW135" s="159"/>
      <c r="HX135" s="159"/>
      <c r="HY135" s="159"/>
      <c r="HZ135" s="159"/>
      <c r="IA135" s="159"/>
      <c r="IB135" s="159"/>
      <c r="IC135" s="159"/>
      <c r="ID135" s="159"/>
      <c r="IE135" s="159"/>
      <c r="IF135" s="159"/>
      <c r="IG135" s="159"/>
      <c r="IH135" s="159"/>
      <c r="II135" s="159"/>
      <c r="IJ135" s="159"/>
      <c r="IK135" s="159"/>
      <c r="IL135" s="159"/>
      <c r="IM135" s="159"/>
      <c r="IN135" s="159"/>
      <c r="IO135" s="159"/>
      <c r="IP135" s="159"/>
      <c r="IQ135" s="159"/>
      <c r="IR135" s="159"/>
      <c r="IS135" s="159"/>
      <c r="IT135" s="159"/>
      <c r="IU135" s="159"/>
      <c r="IV135" s="159"/>
      <c r="IW135" s="159"/>
      <c r="IX135" s="159"/>
      <c r="IY135" s="159"/>
      <c r="IZ135" s="159"/>
      <c r="JA135" s="159"/>
      <c r="JB135" s="159"/>
      <c r="JC135" s="159"/>
      <c r="JD135" s="159"/>
      <c r="JE135" s="159"/>
      <c r="JF135" s="159"/>
      <c r="JG135" s="159"/>
      <c r="JH135" s="159"/>
      <c r="JI135" s="159"/>
      <c r="JJ135" s="159"/>
      <c r="JK135" s="159"/>
      <c r="JL135" s="159"/>
      <c r="JM135" s="159"/>
      <c r="JN135" s="159"/>
      <c r="JO135" s="159"/>
      <c r="JP135" s="159"/>
      <c r="JQ135" s="159"/>
      <c r="JR135" s="159"/>
      <c r="JS135" s="159"/>
      <c r="JT135" s="159"/>
      <c r="JU135" s="159"/>
      <c r="JV135" s="159"/>
      <c r="JW135" s="159"/>
      <c r="JX135" s="159"/>
      <c r="JY135" s="159"/>
      <c r="JZ135" s="159"/>
      <c r="KA135" s="159"/>
      <c r="KB135" s="159"/>
      <c r="KC135" s="159"/>
      <c r="KD135" s="159"/>
      <c r="KE135" s="159"/>
      <c r="KF135" s="159"/>
      <c r="KG135" s="159"/>
      <c r="KH135" s="159"/>
      <c r="KI135" s="159"/>
      <c r="KJ135" s="159"/>
      <c r="KK135" s="159"/>
      <c r="KL135" s="159"/>
      <c r="KM135" s="159"/>
      <c r="KN135" s="159"/>
      <c r="KO135" s="159"/>
      <c r="KP135" s="159"/>
      <c r="KQ135" s="159"/>
      <c r="KR135" s="159"/>
      <c r="KS135" s="159"/>
      <c r="KT135" s="159"/>
      <c r="KU135" s="159"/>
      <c r="KV135" s="159"/>
      <c r="KW135" s="159"/>
      <c r="KX135" s="159"/>
      <c r="KY135" s="159"/>
      <c r="KZ135" s="159"/>
      <c r="LA135" s="159"/>
      <c r="LB135" s="159"/>
      <c r="LC135" s="159"/>
      <c r="LD135" s="159"/>
      <c r="LE135" s="159"/>
      <c r="LF135" s="159"/>
      <c r="LG135" s="159"/>
      <c r="LH135" s="159"/>
      <c r="LI135" s="159"/>
      <c r="LJ135" s="159"/>
      <c r="LK135" s="159"/>
      <c r="LL135" s="159"/>
      <c r="LM135" s="159"/>
      <c r="LN135" s="159"/>
      <c r="LO135" s="159"/>
      <c r="LP135" s="159"/>
      <c r="LQ135" s="159"/>
      <c r="LR135" s="159"/>
      <c r="LS135" s="159"/>
      <c r="LT135" s="159"/>
      <c r="LU135" s="159"/>
      <c r="LV135" s="159"/>
      <c r="LW135" s="159"/>
      <c r="LX135" s="159"/>
      <c r="LY135" s="159"/>
      <c r="LZ135" s="159"/>
      <c r="MA135" s="159"/>
      <c r="MB135" s="159"/>
      <c r="MC135" s="159"/>
      <c r="MD135" s="159"/>
      <c r="ME135" s="159"/>
      <c r="MF135" s="159"/>
      <c r="MG135" s="159"/>
      <c r="MH135" s="159"/>
      <c r="MI135" s="159"/>
      <c r="MJ135" s="159"/>
      <c r="MK135" s="159"/>
      <c r="ML135" s="159"/>
      <c r="MM135" s="159"/>
      <c r="MN135" s="159"/>
      <c r="MO135" s="159"/>
      <c r="MP135" s="159"/>
      <c r="MQ135" s="159"/>
      <c r="MR135" s="159"/>
      <c r="MS135" s="159"/>
      <c r="MT135" s="159"/>
      <c r="MU135" s="159"/>
      <c r="MV135" s="159"/>
      <c r="MW135" s="159"/>
      <c r="MX135" s="159"/>
      <c r="MY135" s="159"/>
      <c r="MZ135" s="159"/>
      <c r="NA135" s="159"/>
      <c r="NB135" s="159"/>
      <c r="NC135" s="159"/>
      <c r="ND135" s="159"/>
      <c r="NE135" s="159"/>
      <c r="NF135" s="159"/>
      <c r="NG135" s="159"/>
      <c r="NH135" s="159"/>
      <c r="NI135" s="159"/>
      <c r="NJ135" s="159"/>
      <c r="NK135" s="159"/>
      <c r="NL135" s="159"/>
      <c r="NM135" s="159"/>
      <c r="NN135" s="159"/>
      <c r="NO135" s="159"/>
      <c r="NP135" s="159"/>
      <c r="NQ135" s="159"/>
      <c r="NR135" s="159"/>
      <c r="NS135" s="159"/>
      <c r="NT135" s="159"/>
      <c r="NU135" s="159"/>
      <c r="NV135" s="159"/>
      <c r="NW135" s="159"/>
      <c r="NX135" s="159"/>
      <c r="NY135" s="159"/>
      <c r="NZ135" s="159"/>
      <c r="OA135" s="159"/>
      <c r="OB135" s="159"/>
      <c r="OC135" s="159"/>
      <c r="OD135" s="159"/>
      <c r="OE135" s="159"/>
      <c r="OF135" s="159"/>
      <c r="OG135" s="159"/>
      <c r="OH135" s="159"/>
      <c r="OI135" s="159"/>
      <c r="OJ135" s="159"/>
      <c r="OK135" s="159"/>
      <c r="OL135" s="159"/>
      <c r="OM135" s="159"/>
      <c r="ON135" s="159"/>
      <c r="OO135" s="159"/>
      <c r="OP135" s="159"/>
      <c r="OQ135" s="159"/>
      <c r="OR135" s="159"/>
      <c r="OS135" s="159"/>
      <c r="OT135" s="159"/>
      <c r="OU135" s="159"/>
      <c r="OV135" s="159"/>
      <c r="OW135" s="159"/>
      <c r="OX135" s="159"/>
      <c r="OY135" s="159"/>
      <c r="OZ135" s="159"/>
      <c r="PA135" s="159"/>
      <c r="PB135" s="159"/>
      <c r="PC135" s="159"/>
      <c r="PD135" s="159"/>
      <c r="PE135" s="159"/>
      <c r="PF135" s="159"/>
      <c r="PG135" s="159"/>
      <c r="PH135" s="159"/>
      <c r="PI135" s="159"/>
      <c r="PJ135" s="159"/>
      <c r="PK135" s="159"/>
      <c r="PL135" s="159"/>
      <c r="PM135" s="159"/>
      <c r="PN135" s="159"/>
      <c r="PO135" s="159"/>
      <c r="PP135" s="159"/>
      <c r="PQ135" s="159"/>
      <c r="PR135" s="159"/>
      <c r="PS135" s="159"/>
      <c r="PT135" s="159"/>
      <c r="PU135" s="159"/>
      <c r="PV135" s="159"/>
      <c r="PW135" s="159"/>
      <c r="PX135" s="159"/>
      <c r="PY135" s="159"/>
      <c r="PZ135" s="159"/>
      <c r="QA135" s="159"/>
      <c r="QB135" s="159"/>
      <c r="QC135" s="159"/>
      <c r="QD135" s="159"/>
      <c r="QE135" s="159"/>
      <c r="QF135" s="159"/>
      <c r="QG135" s="159"/>
      <c r="QH135" s="159"/>
      <c r="QI135" s="159"/>
      <c r="QJ135" s="159"/>
      <c r="QK135" s="159"/>
      <c r="QL135" s="159"/>
      <c r="QM135" s="159"/>
      <c r="QN135" s="159"/>
      <c r="QO135" s="159"/>
      <c r="QP135" s="159"/>
      <c r="QQ135" s="159"/>
      <c r="QR135" s="159"/>
      <c r="QS135" s="159"/>
      <c r="QT135" s="159"/>
      <c r="QU135" s="159"/>
      <c r="QV135" s="159"/>
      <c r="QW135" s="159"/>
      <c r="QX135" s="159"/>
      <c r="QY135" s="159"/>
      <c r="QZ135" s="159"/>
      <c r="RA135" s="159"/>
      <c r="RB135" s="159"/>
      <c r="RC135" s="159"/>
      <c r="RD135" s="159"/>
      <c r="RE135" s="159"/>
      <c r="RF135" s="159"/>
      <c r="RG135" s="159"/>
      <c r="RH135" s="159"/>
      <c r="RI135" s="159"/>
      <c r="RJ135" s="159"/>
      <c r="RK135" s="159"/>
      <c r="RL135" s="159"/>
      <c r="RM135" s="159"/>
      <c r="RN135" s="159"/>
      <c r="RO135" s="159"/>
      <c r="RP135" s="159"/>
      <c r="RQ135" s="159"/>
      <c r="RR135" s="159"/>
      <c r="RS135" s="159"/>
      <c r="RT135" s="159"/>
      <c r="RU135" s="159"/>
      <c r="RV135" s="159"/>
      <c r="RW135" s="159"/>
      <c r="RX135" s="159"/>
      <c r="RY135" s="159"/>
      <c r="RZ135" s="159"/>
      <c r="SA135" s="159"/>
      <c r="SB135" s="159"/>
      <c r="SC135" s="159"/>
      <c r="SD135" s="159"/>
      <c r="SE135" s="159"/>
      <c r="SF135" s="159"/>
      <c r="SG135" s="159"/>
      <c r="SH135" s="159"/>
      <c r="SI135" s="159"/>
      <c r="SJ135" s="159"/>
      <c r="SK135" s="159"/>
      <c r="SL135" s="159"/>
      <c r="SM135" s="159"/>
      <c r="SN135" s="159"/>
      <c r="SO135" s="159"/>
      <c r="SP135" s="159"/>
      <c r="SQ135" s="159"/>
      <c r="SR135" s="159"/>
      <c r="SS135" s="159"/>
      <c r="ST135" s="159"/>
      <c r="SU135" s="159"/>
      <c r="SV135" s="159"/>
      <c r="SW135" s="159"/>
      <c r="SX135" s="159"/>
      <c r="SY135" s="159"/>
      <c r="SZ135" s="159"/>
      <c r="TA135" s="159"/>
      <c r="TB135" s="159"/>
      <c r="TC135" s="159"/>
      <c r="TD135" s="159"/>
      <c r="TE135" s="159"/>
      <c r="TF135" s="159"/>
      <c r="TG135" s="159"/>
      <c r="TH135" s="159"/>
      <c r="TI135" s="159"/>
      <c r="TJ135" s="159"/>
      <c r="TK135" s="159"/>
      <c r="TL135" s="159"/>
      <c r="TM135" s="159"/>
      <c r="TN135" s="159"/>
      <c r="TO135" s="159"/>
      <c r="TP135" s="159"/>
      <c r="TQ135" s="159"/>
      <c r="TR135" s="159"/>
      <c r="TS135" s="159"/>
      <c r="TT135" s="159"/>
      <c r="TU135" s="159"/>
      <c r="TV135" s="159"/>
      <c r="TW135" s="159"/>
      <c r="TX135" s="159"/>
      <c r="TY135" s="159"/>
      <c r="TZ135" s="159"/>
      <c r="UA135" s="159"/>
      <c r="UB135" s="159"/>
      <c r="UC135" s="159"/>
      <c r="UD135" s="159"/>
      <c r="UE135" s="159"/>
      <c r="UF135" s="159"/>
      <c r="UG135" s="159"/>
      <c r="UH135" s="159"/>
      <c r="UI135" s="159"/>
      <c r="UJ135" s="159"/>
      <c r="UK135" s="159"/>
      <c r="UL135" s="159"/>
      <c r="UM135" s="159"/>
      <c r="UN135" s="159"/>
      <c r="UO135" s="159"/>
      <c r="UP135" s="159"/>
      <c r="UQ135" s="159"/>
      <c r="UR135" s="159"/>
      <c r="US135" s="159"/>
      <c r="UT135" s="159"/>
      <c r="UU135" s="159"/>
      <c r="UV135" s="159"/>
      <c r="UW135" s="159"/>
      <c r="UX135" s="159"/>
      <c r="UY135" s="159"/>
      <c r="UZ135" s="159"/>
      <c r="VA135" s="159"/>
      <c r="VB135" s="159"/>
      <c r="VC135" s="159"/>
      <c r="VD135" s="159"/>
      <c r="VE135" s="159"/>
      <c r="VF135" s="159"/>
      <c r="VG135" s="159"/>
      <c r="VH135" s="159"/>
      <c r="VI135" s="159"/>
      <c r="VJ135" s="159"/>
      <c r="VK135" s="159"/>
      <c r="VL135" s="159"/>
      <c r="VM135" s="159"/>
      <c r="VN135" s="159"/>
      <c r="VO135" s="159"/>
      <c r="VP135" s="159"/>
      <c r="VQ135" s="159"/>
      <c r="VR135" s="159"/>
      <c r="VS135" s="159"/>
      <c r="VT135" s="159"/>
      <c r="VU135" s="159"/>
      <c r="VV135" s="159"/>
      <c r="VW135" s="159"/>
      <c r="VX135" s="159"/>
      <c r="VY135" s="159"/>
      <c r="VZ135" s="159"/>
      <c r="WA135" s="159"/>
      <c r="WB135" s="159"/>
      <c r="WC135" s="159"/>
      <c r="WD135" s="159"/>
      <c r="WE135" s="159"/>
      <c r="WF135" s="159"/>
      <c r="WG135" s="159"/>
      <c r="WH135" s="159"/>
      <c r="WI135" s="159"/>
      <c r="WJ135" s="159"/>
      <c r="WK135" s="159"/>
      <c r="WL135" s="159"/>
      <c r="WM135" s="159"/>
      <c r="WN135" s="159"/>
      <c r="WO135" s="159"/>
      <c r="WP135" s="159"/>
      <c r="WQ135" s="159"/>
      <c r="WR135" s="159"/>
      <c r="WS135" s="159"/>
      <c r="WT135" s="159"/>
      <c r="WU135" s="159"/>
      <c r="WV135" s="159"/>
      <c r="WW135" s="159"/>
      <c r="WX135" s="159"/>
      <c r="WY135" s="159"/>
      <c r="WZ135" s="159"/>
      <c r="XA135" s="159"/>
      <c r="XB135" s="159"/>
      <c r="XC135" s="159"/>
      <c r="XD135" s="159"/>
      <c r="XE135" s="159"/>
      <c r="XF135" s="159"/>
      <c r="XG135" s="159"/>
      <c r="XH135" s="159"/>
      <c r="XI135" s="159"/>
      <c r="XJ135" s="159"/>
      <c r="XK135" s="159"/>
      <c r="XL135" s="159"/>
      <c r="XM135" s="159"/>
      <c r="XN135" s="159"/>
      <c r="XO135" s="159"/>
      <c r="XP135" s="159"/>
      <c r="XQ135" s="159"/>
      <c r="XR135" s="159"/>
      <c r="XS135" s="159"/>
      <c r="XT135" s="159"/>
      <c r="XU135" s="159"/>
      <c r="XV135" s="159"/>
      <c r="XW135" s="159"/>
      <c r="XX135" s="159"/>
      <c r="XY135" s="159"/>
      <c r="XZ135" s="159"/>
      <c r="YA135" s="159"/>
      <c r="YB135" s="159"/>
      <c r="YC135" s="159"/>
      <c r="YD135" s="159"/>
      <c r="YE135" s="159"/>
      <c r="YF135" s="159"/>
      <c r="YG135" s="159"/>
      <c r="YH135" s="159"/>
      <c r="YI135" s="159"/>
      <c r="YJ135" s="159"/>
      <c r="YK135" s="159"/>
      <c r="YL135" s="159"/>
      <c r="YM135" s="159"/>
      <c r="YN135" s="159"/>
      <c r="YO135" s="159"/>
      <c r="YP135" s="159"/>
      <c r="YQ135" s="159"/>
      <c r="YR135" s="159"/>
      <c r="YS135" s="159"/>
      <c r="YT135" s="159"/>
      <c r="YU135" s="159"/>
      <c r="YV135" s="159"/>
      <c r="YW135" s="159"/>
      <c r="YX135" s="159"/>
      <c r="YY135" s="159"/>
      <c r="YZ135" s="159"/>
      <c r="ZA135" s="159"/>
      <c r="ZB135" s="159"/>
      <c r="ZC135" s="159"/>
      <c r="ZD135" s="159"/>
      <c r="ZE135" s="159"/>
      <c r="ZF135" s="159"/>
      <c r="ZG135" s="159"/>
      <c r="ZH135" s="159"/>
      <c r="ZI135" s="159"/>
      <c r="ZJ135" s="159"/>
      <c r="ZK135" s="159"/>
      <c r="ZL135" s="159"/>
      <c r="ZM135" s="159"/>
      <c r="ZN135" s="159"/>
      <c r="ZO135" s="159"/>
      <c r="ZP135" s="159"/>
      <c r="ZQ135" s="159"/>
      <c r="ZR135" s="159"/>
      <c r="ZS135" s="159"/>
      <c r="ZT135" s="159"/>
      <c r="ZU135" s="159"/>
      <c r="ZV135" s="159"/>
      <c r="ZW135" s="159"/>
      <c r="ZX135" s="159"/>
      <c r="ZY135" s="159"/>
      <c r="ZZ135" s="159"/>
      <c r="AAA135" s="159"/>
      <c r="AAB135" s="159"/>
      <c r="AAC135" s="159"/>
      <c r="AAD135" s="159"/>
      <c r="AAE135" s="159"/>
      <c r="AAF135" s="159"/>
      <c r="AAG135" s="159"/>
      <c r="AAH135" s="159"/>
      <c r="AAI135" s="159"/>
      <c r="AAJ135" s="159"/>
      <c r="AAK135" s="159"/>
      <c r="AAL135" s="159"/>
      <c r="AAM135" s="159"/>
      <c r="AAN135" s="159"/>
      <c r="AAO135" s="159"/>
      <c r="AAP135" s="159"/>
      <c r="AAQ135" s="159"/>
      <c r="AAR135" s="159"/>
      <c r="AAS135" s="159"/>
      <c r="AAT135" s="159"/>
      <c r="AAU135" s="159"/>
      <c r="AAV135" s="159"/>
      <c r="AAW135" s="159"/>
      <c r="AAX135" s="159"/>
      <c r="AAY135" s="159"/>
      <c r="AAZ135" s="159"/>
      <c r="ABA135" s="159"/>
      <c r="ABB135" s="159"/>
      <c r="ABC135" s="159"/>
      <c r="ABD135" s="159"/>
      <c r="ABE135" s="159"/>
      <c r="ABF135" s="159"/>
      <c r="ABG135" s="159"/>
      <c r="ABH135" s="159"/>
      <c r="ABI135" s="159"/>
      <c r="ABJ135" s="159"/>
      <c r="ABK135" s="159"/>
      <c r="ABL135" s="159"/>
      <c r="ABM135" s="159"/>
      <c r="ABN135" s="159"/>
      <c r="ABO135" s="159"/>
      <c r="ABP135" s="159"/>
      <c r="ABQ135" s="159"/>
      <c r="ABR135" s="159"/>
      <c r="ABS135" s="159"/>
      <c r="ABT135" s="159"/>
      <c r="ABU135" s="159"/>
      <c r="ABV135" s="159"/>
      <c r="ABW135" s="159"/>
      <c r="ABX135" s="159"/>
      <c r="ABY135" s="159"/>
      <c r="ABZ135" s="159"/>
      <c r="ACA135" s="159"/>
      <c r="ACB135" s="159"/>
      <c r="ACC135" s="159"/>
      <c r="ACD135" s="159"/>
      <c r="ACE135" s="159"/>
      <c r="ACF135" s="159"/>
      <c r="ACG135" s="159"/>
      <c r="ACH135" s="159"/>
      <c r="ACI135" s="159"/>
      <c r="ACJ135" s="159"/>
      <c r="ACK135" s="159"/>
      <c r="ACL135" s="159"/>
      <c r="ACM135" s="159"/>
      <c r="ACN135" s="159"/>
      <c r="ACO135" s="159"/>
      <c r="ACP135" s="159"/>
      <c r="ACQ135" s="159"/>
      <c r="ACR135" s="159"/>
      <c r="ACS135" s="159"/>
      <c r="ACT135" s="159"/>
      <c r="ACU135" s="159"/>
      <c r="ACV135" s="159"/>
      <c r="ACW135" s="159"/>
      <c r="ACX135" s="159"/>
      <c r="ACY135" s="159"/>
      <c r="ACZ135" s="159"/>
      <c r="ADA135" s="159"/>
      <c r="ADB135" s="159"/>
      <c r="ADC135" s="159"/>
      <c r="ADD135" s="159"/>
      <c r="ADE135" s="159"/>
      <c r="ADF135" s="159"/>
      <c r="ADG135" s="159"/>
      <c r="ADH135" s="159"/>
      <c r="ADI135" s="159"/>
      <c r="ADJ135" s="159"/>
      <c r="ADK135" s="159"/>
      <c r="ADL135" s="159"/>
      <c r="ADM135" s="159"/>
      <c r="ADN135" s="159"/>
      <c r="ADO135" s="159"/>
      <c r="ADP135" s="159"/>
      <c r="ADQ135" s="159"/>
      <c r="ADR135" s="159"/>
      <c r="ADS135" s="159"/>
      <c r="ADT135" s="159"/>
      <c r="ADU135" s="159"/>
      <c r="ADV135" s="159"/>
      <c r="ADW135" s="159"/>
      <c r="ADX135" s="159"/>
      <c r="ADY135" s="159"/>
      <c r="ADZ135" s="159"/>
      <c r="AEA135" s="159"/>
      <c r="AEB135" s="159"/>
      <c r="AEC135" s="159"/>
      <c r="AED135" s="159"/>
      <c r="AEE135" s="159"/>
      <c r="AEF135" s="159"/>
      <c r="AEG135" s="159"/>
      <c r="AEH135" s="159"/>
      <c r="AEI135" s="159"/>
      <c r="AEJ135" s="159"/>
      <c r="AEK135" s="159"/>
      <c r="AEL135" s="159"/>
      <c r="AEM135" s="159"/>
      <c r="AEN135" s="159"/>
      <c r="AEO135" s="159"/>
      <c r="AEP135" s="159"/>
      <c r="AEQ135" s="159"/>
      <c r="AER135" s="159"/>
      <c r="AES135" s="159"/>
      <c r="AET135" s="159"/>
      <c r="AEU135" s="159"/>
      <c r="AEV135" s="159"/>
      <c r="AEW135" s="159"/>
      <c r="AEX135" s="159"/>
      <c r="AEY135" s="159"/>
      <c r="AEZ135" s="159"/>
      <c r="AFA135" s="159"/>
      <c r="AFB135" s="159"/>
      <c r="AFC135" s="159"/>
      <c r="AFD135" s="159"/>
      <c r="AFE135" s="159"/>
      <c r="AFF135" s="159"/>
      <c r="AFG135" s="159"/>
      <c r="AFH135" s="159"/>
      <c r="AFI135" s="159"/>
      <c r="AFJ135" s="159"/>
      <c r="AFK135" s="159"/>
      <c r="AFL135" s="159"/>
      <c r="AFM135" s="159"/>
      <c r="AFN135" s="159"/>
      <c r="AFO135" s="159"/>
      <c r="AFP135" s="159"/>
      <c r="AFQ135" s="159"/>
      <c r="AFR135" s="159"/>
      <c r="AFS135" s="159"/>
      <c r="AFT135" s="159"/>
      <c r="AFU135" s="159"/>
      <c r="AFV135" s="159"/>
      <c r="AFW135" s="159"/>
      <c r="AFX135" s="159"/>
      <c r="AFY135" s="159"/>
      <c r="AFZ135" s="159"/>
      <c r="AGA135" s="159"/>
      <c r="AGB135" s="159"/>
      <c r="AGC135" s="159"/>
      <c r="AGD135" s="159"/>
      <c r="AGE135" s="159"/>
      <c r="AGF135" s="159"/>
      <c r="AGG135" s="159"/>
      <c r="AGH135" s="159"/>
      <c r="AGI135" s="159"/>
      <c r="AGJ135" s="159"/>
      <c r="AGK135" s="159"/>
      <c r="AGL135" s="159"/>
      <c r="AGM135" s="159"/>
      <c r="AGN135" s="159"/>
      <c r="AGO135" s="159"/>
      <c r="AGP135" s="159"/>
      <c r="AGQ135" s="159"/>
      <c r="AGR135" s="159"/>
      <c r="AGS135" s="159"/>
      <c r="AGT135" s="159"/>
      <c r="AGU135" s="159"/>
      <c r="AGV135" s="159"/>
      <c r="AGW135" s="159"/>
      <c r="AGX135" s="159"/>
      <c r="AGY135" s="159"/>
      <c r="AGZ135" s="159"/>
      <c r="AHA135" s="159"/>
      <c r="AHB135" s="159"/>
      <c r="AHC135" s="159"/>
      <c r="AHD135" s="159"/>
      <c r="AHE135" s="159"/>
      <c r="AHF135" s="159"/>
      <c r="AHG135" s="159"/>
      <c r="AHH135" s="159"/>
      <c r="AHI135" s="159"/>
      <c r="AHJ135" s="159"/>
      <c r="AHK135" s="159"/>
      <c r="AHL135" s="159"/>
      <c r="AHM135" s="159"/>
      <c r="AHN135" s="159"/>
      <c r="AHO135" s="159"/>
      <c r="AHP135" s="159"/>
      <c r="AHQ135" s="159"/>
      <c r="AHR135" s="159"/>
      <c r="AHS135" s="159"/>
      <c r="AHT135" s="159"/>
      <c r="AHU135" s="159"/>
      <c r="AHV135" s="159"/>
      <c r="AHW135" s="159"/>
      <c r="AHX135" s="159"/>
      <c r="AHY135" s="159"/>
      <c r="AHZ135" s="159"/>
      <c r="AIA135" s="159"/>
      <c r="AIB135" s="159"/>
      <c r="AIC135" s="159"/>
      <c r="AID135" s="159"/>
      <c r="AIE135" s="159"/>
      <c r="AIF135" s="159"/>
      <c r="AIG135" s="159"/>
      <c r="AIH135" s="159"/>
      <c r="AII135" s="159"/>
      <c r="AIJ135" s="159"/>
      <c r="AIK135" s="159"/>
      <c r="AIL135" s="159"/>
      <c r="AIM135" s="159"/>
      <c r="AIN135" s="159"/>
      <c r="AIO135" s="159"/>
      <c r="AIP135" s="159"/>
      <c r="AIQ135" s="159"/>
      <c r="AIR135" s="159"/>
      <c r="AIS135" s="159"/>
      <c r="AIT135" s="159"/>
      <c r="AIU135" s="159"/>
      <c r="AIV135" s="159"/>
      <c r="AIW135" s="159"/>
      <c r="AIX135" s="159"/>
      <c r="AIY135" s="159"/>
      <c r="AIZ135" s="159"/>
      <c r="AJA135" s="159"/>
      <c r="AJB135" s="159"/>
      <c r="AJC135" s="159"/>
      <c r="AJD135" s="159"/>
      <c r="AJE135" s="159"/>
      <c r="AJF135" s="159"/>
      <c r="AJG135" s="159"/>
      <c r="AJH135" s="159"/>
      <c r="AJI135" s="159"/>
      <c r="AJJ135" s="159"/>
      <c r="AJK135" s="159"/>
      <c r="AJL135" s="159"/>
      <c r="AJM135" s="159"/>
      <c r="AJN135" s="159"/>
      <c r="AJO135" s="159"/>
      <c r="AJP135" s="159"/>
      <c r="AJQ135" s="159"/>
      <c r="AJR135" s="159"/>
      <c r="AJS135" s="159"/>
      <c r="AJT135" s="159"/>
      <c r="AJU135" s="159"/>
      <c r="AJV135" s="159"/>
      <c r="AJW135" s="159"/>
      <c r="AJX135" s="159"/>
      <c r="AJY135" s="159"/>
      <c r="AJZ135" s="159"/>
      <c r="AKA135" s="159"/>
      <c r="AKB135" s="159"/>
      <c r="AKC135" s="159"/>
      <c r="AKD135" s="159"/>
      <c r="AKE135" s="159"/>
      <c r="AKF135" s="159"/>
      <c r="AKG135" s="159"/>
      <c r="AKH135" s="159"/>
      <c r="AKI135" s="159"/>
      <c r="AKJ135" s="159"/>
      <c r="AKK135" s="159"/>
      <c r="AKL135" s="159"/>
      <c r="AKM135" s="159"/>
      <c r="AKN135" s="159"/>
      <c r="AKO135" s="159"/>
      <c r="AKP135" s="159"/>
      <c r="AKQ135" s="159"/>
      <c r="AKR135" s="159"/>
      <c r="AKS135" s="159"/>
      <c r="AKT135" s="159"/>
      <c r="AKU135" s="159"/>
      <c r="AKV135" s="159"/>
      <c r="AKW135" s="159"/>
      <c r="AKX135" s="159"/>
      <c r="AKY135" s="159"/>
      <c r="AKZ135" s="159"/>
      <c r="ALA135" s="159"/>
      <c r="ALB135" s="159"/>
      <c r="ALC135" s="159"/>
      <c r="ALD135" s="159"/>
      <c r="ALE135" s="159"/>
      <c r="ALF135" s="159"/>
      <c r="ALG135" s="159"/>
      <c r="ALH135" s="159"/>
      <c r="ALI135" s="159"/>
      <c r="ALJ135" s="159"/>
      <c r="ALK135" s="159"/>
      <c r="ALL135" s="159"/>
      <c r="ALM135" s="159"/>
      <c r="ALN135" s="159"/>
      <c r="ALO135" s="159"/>
      <c r="ALP135" s="159"/>
      <c r="ALQ135" s="159"/>
      <c r="ALR135" s="159"/>
      <c r="ALS135" s="159"/>
      <c r="ALT135" s="159"/>
      <c r="ALU135" s="159"/>
      <c r="ALV135" s="159"/>
      <c r="ALW135" s="159"/>
      <c r="ALX135" s="159"/>
      <c r="ALY135" s="159"/>
      <c r="ALZ135" s="159"/>
      <c r="AMA135" s="159"/>
      <c r="AMB135" s="159"/>
      <c r="AMC135" s="159"/>
      <c r="AMD135" s="159"/>
      <c r="AME135" s="159"/>
      <c r="AMF135" s="159"/>
      <c r="AMG135" s="159"/>
      <c r="AMH135" s="159"/>
      <c r="AMI135" s="159"/>
      <c r="AMJ135" s="159"/>
      <c r="AMK135" s="159"/>
      <c r="AML135" s="159"/>
      <c r="AMM135" s="159"/>
      <c r="AMN135" s="159"/>
      <c r="AMO135" s="159"/>
    </row>
    <row r="136" spans="1:1029" s="161" customFormat="1" ht="25.5" x14ac:dyDescent="0.25">
      <c r="A136" s="138">
        <v>46211</v>
      </c>
      <c r="B136" s="99" t="s">
        <v>64</v>
      </c>
      <c r="C136" s="99" t="s">
        <v>82</v>
      </c>
      <c r="D136" s="160" t="s">
        <v>168</v>
      </c>
      <c r="E136" s="118" t="s">
        <v>14</v>
      </c>
      <c r="F136" s="99" t="s">
        <v>30</v>
      </c>
      <c r="G136" s="99" t="s">
        <v>31</v>
      </c>
      <c r="H136" s="141" t="b">
        <f t="shared" si="8"/>
        <v>0</v>
      </c>
      <c r="I136" s="120" t="s">
        <v>105</v>
      </c>
      <c r="J136" s="121" t="s">
        <v>30</v>
      </c>
      <c r="K136" s="121" t="s">
        <v>31</v>
      </c>
      <c r="L136" s="141" t="b">
        <f t="shared" si="9"/>
        <v>0</v>
      </c>
      <c r="M136" s="121" t="s">
        <v>105</v>
      </c>
      <c r="N136" s="121" t="s">
        <v>77</v>
      </c>
      <c r="O136" s="121" t="s">
        <v>90</v>
      </c>
      <c r="P136" s="141" t="b">
        <f t="shared" si="10"/>
        <v>0</v>
      </c>
      <c r="Q136" s="149" t="s">
        <v>101</v>
      </c>
      <c r="R136" s="99" t="s">
        <v>163</v>
      </c>
      <c r="S136" s="99" t="s">
        <v>280</v>
      </c>
      <c r="T136" s="141" t="b">
        <f t="shared" si="11"/>
        <v>0</v>
      </c>
      <c r="U136" s="159"/>
      <c r="V136" s="159"/>
      <c r="W136" s="159"/>
      <c r="X136" s="159"/>
      <c r="Y136" s="159"/>
      <c r="Z136" s="159"/>
      <c r="AA136" s="159"/>
      <c r="AB136" s="159"/>
      <c r="AC136" s="159"/>
      <c r="AD136" s="159"/>
      <c r="AE136" s="159"/>
      <c r="AF136" s="159"/>
      <c r="AG136" s="159"/>
      <c r="AH136" s="159"/>
      <c r="AI136" s="159"/>
      <c r="AJ136" s="159"/>
      <c r="AK136" s="159"/>
      <c r="AL136" s="159"/>
      <c r="AM136" s="159"/>
      <c r="AN136" s="159"/>
      <c r="AO136" s="159"/>
      <c r="AP136" s="159"/>
      <c r="AQ136" s="159"/>
      <c r="AR136" s="159"/>
      <c r="AS136" s="159"/>
      <c r="AT136" s="159"/>
      <c r="AU136" s="159"/>
      <c r="AV136" s="159"/>
      <c r="AW136" s="159"/>
      <c r="AX136" s="159"/>
      <c r="AY136" s="159"/>
      <c r="AZ136" s="159"/>
      <c r="BA136" s="159"/>
      <c r="BB136" s="159"/>
      <c r="BC136" s="159"/>
      <c r="BD136" s="159"/>
      <c r="BE136" s="159"/>
      <c r="BF136" s="159"/>
      <c r="BG136" s="159"/>
      <c r="BH136" s="159"/>
      <c r="BI136" s="159"/>
      <c r="BJ136" s="159"/>
      <c r="BK136" s="159"/>
      <c r="BL136" s="159"/>
      <c r="BM136" s="159"/>
      <c r="BN136" s="159"/>
      <c r="BO136" s="159"/>
      <c r="BP136" s="159"/>
      <c r="BQ136" s="159"/>
      <c r="BR136" s="159"/>
      <c r="BS136" s="159"/>
      <c r="BT136" s="159"/>
      <c r="BU136" s="159"/>
      <c r="BV136" s="159"/>
      <c r="BW136" s="159"/>
      <c r="BX136" s="159"/>
      <c r="BY136" s="159"/>
      <c r="BZ136" s="159"/>
      <c r="CA136" s="159"/>
      <c r="CB136" s="159"/>
      <c r="CC136" s="159"/>
      <c r="CD136" s="159"/>
      <c r="CE136" s="159"/>
      <c r="CF136" s="159"/>
      <c r="CG136" s="159"/>
      <c r="CH136" s="159"/>
      <c r="CI136" s="159"/>
      <c r="CJ136" s="159"/>
      <c r="CK136" s="159"/>
      <c r="CL136" s="159"/>
      <c r="CM136" s="159"/>
      <c r="CN136" s="159"/>
      <c r="CO136" s="159"/>
      <c r="CP136" s="159"/>
      <c r="CQ136" s="159"/>
      <c r="CR136" s="159"/>
      <c r="CS136" s="159"/>
      <c r="CT136" s="159"/>
      <c r="CU136" s="159"/>
      <c r="CV136" s="159"/>
      <c r="CW136" s="159"/>
      <c r="CX136" s="159"/>
      <c r="CY136" s="159"/>
      <c r="CZ136" s="159"/>
      <c r="DA136" s="159"/>
      <c r="DB136" s="159"/>
      <c r="DC136" s="159"/>
      <c r="DD136" s="159"/>
      <c r="DE136" s="159"/>
      <c r="DF136" s="159"/>
      <c r="DG136" s="159"/>
      <c r="DH136" s="159"/>
      <c r="DI136" s="159"/>
      <c r="DJ136" s="159"/>
      <c r="DK136" s="159"/>
      <c r="DL136" s="159"/>
      <c r="DM136" s="159"/>
      <c r="DN136" s="159"/>
      <c r="DO136" s="159"/>
      <c r="DP136" s="159"/>
      <c r="DQ136" s="159"/>
      <c r="DR136" s="159"/>
      <c r="DS136" s="159"/>
      <c r="DT136" s="159"/>
      <c r="DU136" s="159"/>
      <c r="DV136" s="159"/>
      <c r="DW136" s="159"/>
      <c r="DX136" s="159"/>
      <c r="DY136" s="159"/>
      <c r="DZ136" s="159"/>
      <c r="EA136" s="159"/>
      <c r="EB136" s="159"/>
      <c r="EC136" s="159"/>
      <c r="ED136" s="159"/>
      <c r="EE136" s="159"/>
      <c r="EF136" s="159"/>
      <c r="EG136" s="159"/>
      <c r="EH136" s="159"/>
      <c r="EI136" s="159"/>
      <c r="EJ136" s="159"/>
      <c r="EK136" s="159"/>
      <c r="EL136" s="159"/>
      <c r="EM136" s="159"/>
      <c r="EN136" s="159"/>
      <c r="EO136" s="159"/>
      <c r="EP136" s="159"/>
      <c r="EQ136" s="159"/>
      <c r="ER136" s="159"/>
      <c r="ES136" s="159"/>
      <c r="ET136" s="159"/>
      <c r="EU136" s="159"/>
      <c r="EV136" s="159"/>
      <c r="EW136" s="159"/>
      <c r="EX136" s="159"/>
      <c r="EY136" s="159"/>
      <c r="EZ136" s="159"/>
      <c r="FA136" s="159"/>
      <c r="FB136" s="159"/>
      <c r="FC136" s="159"/>
      <c r="FD136" s="159"/>
      <c r="FE136" s="159"/>
      <c r="FF136" s="159"/>
      <c r="FG136" s="159"/>
      <c r="FH136" s="159"/>
      <c r="FI136" s="159"/>
      <c r="FJ136" s="159"/>
      <c r="FK136" s="159"/>
      <c r="FL136" s="159"/>
      <c r="FM136" s="159"/>
      <c r="FN136" s="159"/>
      <c r="FO136" s="159"/>
      <c r="FP136" s="159"/>
      <c r="FQ136" s="159"/>
      <c r="FR136" s="159"/>
      <c r="FS136" s="159"/>
      <c r="FT136" s="159"/>
      <c r="FU136" s="159"/>
      <c r="FV136" s="159"/>
      <c r="FW136" s="159"/>
      <c r="FX136" s="159"/>
      <c r="FY136" s="159"/>
      <c r="FZ136" s="159"/>
      <c r="GA136" s="159"/>
      <c r="GB136" s="159"/>
      <c r="GC136" s="159"/>
      <c r="GD136" s="159"/>
      <c r="GE136" s="159"/>
      <c r="GF136" s="159"/>
      <c r="GG136" s="159"/>
      <c r="GH136" s="159"/>
      <c r="GI136" s="159"/>
      <c r="GJ136" s="159"/>
      <c r="GK136" s="159"/>
      <c r="GL136" s="159"/>
      <c r="GM136" s="159"/>
      <c r="GN136" s="159"/>
      <c r="GO136" s="159"/>
      <c r="GP136" s="159"/>
      <c r="GQ136" s="159"/>
      <c r="GR136" s="159"/>
      <c r="GS136" s="159"/>
      <c r="GT136" s="159"/>
      <c r="GU136" s="159"/>
      <c r="GV136" s="159"/>
      <c r="GW136" s="159"/>
      <c r="GX136" s="159"/>
      <c r="GY136" s="159"/>
      <c r="GZ136" s="159"/>
      <c r="HA136" s="159"/>
      <c r="HB136" s="159"/>
      <c r="HC136" s="159"/>
      <c r="HD136" s="159"/>
      <c r="HE136" s="159"/>
      <c r="HF136" s="159"/>
      <c r="HG136" s="159"/>
      <c r="HH136" s="159"/>
      <c r="HI136" s="159"/>
      <c r="HJ136" s="159"/>
      <c r="HK136" s="159"/>
      <c r="HL136" s="159"/>
      <c r="HM136" s="159"/>
      <c r="HN136" s="159"/>
      <c r="HO136" s="159"/>
      <c r="HP136" s="159"/>
      <c r="HQ136" s="159"/>
      <c r="HR136" s="159"/>
      <c r="HS136" s="159"/>
      <c r="HT136" s="159"/>
      <c r="HU136" s="159"/>
      <c r="HV136" s="159"/>
      <c r="HW136" s="159"/>
      <c r="HX136" s="159"/>
      <c r="HY136" s="159"/>
      <c r="HZ136" s="159"/>
      <c r="IA136" s="159"/>
      <c r="IB136" s="159"/>
      <c r="IC136" s="159"/>
      <c r="ID136" s="159"/>
      <c r="IE136" s="159"/>
      <c r="IF136" s="159"/>
      <c r="IG136" s="159"/>
      <c r="IH136" s="159"/>
      <c r="II136" s="159"/>
      <c r="IJ136" s="159"/>
      <c r="IK136" s="159"/>
      <c r="IL136" s="159"/>
      <c r="IM136" s="159"/>
      <c r="IN136" s="159"/>
      <c r="IO136" s="159"/>
      <c r="IP136" s="159"/>
      <c r="IQ136" s="159"/>
      <c r="IR136" s="159"/>
      <c r="IS136" s="159"/>
      <c r="IT136" s="159"/>
      <c r="IU136" s="159"/>
      <c r="IV136" s="159"/>
      <c r="IW136" s="159"/>
      <c r="IX136" s="159"/>
      <c r="IY136" s="159"/>
      <c r="IZ136" s="159"/>
      <c r="JA136" s="159"/>
      <c r="JB136" s="159"/>
      <c r="JC136" s="159"/>
      <c r="JD136" s="159"/>
      <c r="JE136" s="159"/>
      <c r="JF136" s="159"/>
      <c r="JG136" s="159"/>
      <c r="JH136" s="159"/>
      <c r="JI136" s="159"/>
      <c r="JJ136" s="159"/>
      <c r="JK136" s="159"/>
      <c r="JL136" s="159"/>
      <c r="JM136" s="159"/>
      <c r="JN136" s="159"/>
      <c r="JO136" s="159"/>
      <c r="JP136" s="159"/>
      <c r="JQ136" s="159"/>
      <c r="JR136" s="159"/>
      <c r="JS136" s="159"/>
      <c r="JT136" s="159"/>
      <c r="JU136" s="159"/>
      <c r="JV136" s="159"/>
      <c r="JW136" s="159"/>
      <c r="JX136" s="159"/>
      <c r="JY136" s="159"/>
      <c r="JZ136" s="159"/>
      <c r="KA136" s="159"/>
      <c r="KB136" s="159"/>
      <c r="KC136" s="159"/>
      <c r="KD136" s="159"/>
      <c r="KE136" s="159"/>
      <c r="KF136" s="159"/>
      <c r="KG136" s="159"/>
      <c r="KH136" s="159"/>
      <c r="KI136" s="159"/>
      <c r="KJ136" s="159"/>
      <c r="KK136" s="159"/>
      <c r="KL136" s="159"/>
      <c r="KM136" s="159"/>
      <c r="KN136" s="159"/>
      <c r="KO136" s="159"/>
      <c r="KP136" s="159"/>
      <c r="KQ136" s="159"/>
      <c r="KR136" s="159"/>
      <c r="KS136" s="159"/>
      <c r="KT136" s="159"/>
      <c r="KU136" s="159"/>
      <c r="KV136" s="159"/>
      <c r="KW136" s="159"/>
      <c r="KX136" s="159"/>
      <c r="KY136" s="159"/>
      <c r="KZ136" s="159"/>
      <c r="LA136" s="159"/>
      <c r="LB136" s="159"/>
      <c r="LC136" s="159"/>
      <c r="LD136" s="159"/>
      <c r="LE136" s="159"/>
      <c r="LF136" s="159"/>
      <c r="LG136" s="159"/>
      <c r="LH136" s="159"/>
      <c r="LI136" s="159"/>
      <c r="LJ136" s="159"/>
      <c r="LK136" s="159"/>
      <c r="LL136" s="159"/>
      <c r="LM136" s="159"/>
      <c r="LN136" s="159"/>
      <c r="LO136" s="159"/>
      <c r="LP136" s="159"/>
      <c r="LQ136" s="159"/>
      <c r="LR136" s="159"/>
      <c r="LS136" s="159"/>
      <c r="LT136" s="159"/>
      <c r="LU136" s="159"/>
      <c r="LV136" s="159"/>
      <c r="LW136" s="159"/>
      <c r="LX136" s="159"/>
      <c r="LY136" s="159"/>
      <c r="LZ136" s="159"/>
      <c r="MA136" s="159"/>
      <c r="MB136" s="159"/>
      <c r="MC136" s="159"/>
      <c r="MD136" s="159"/>
      <c r="ME136" s="159"/>
      <c r="MF136" s="159"/>
      <c r="MG136" s="159"/>
      <c r="MH136" s="159"/>
      <c r="MI136" s="159"/>
      <c r="MJ136" s="159"/>
      <c r="MK136" s="159"/>
      <c r="ML136" s="159"/>
      <c r="MM136" s="159"/>
      <c r="MN136" s="159"/>
      <c r="MO136" s="159"/>
      <c r="MP136" s="159"/>
      <c r="MQ136" s="159"/>
      <c r="MR136" s="159"/>
      <c r="MS136" s="159"/>
      <c r="MT136" s="159"/>
      <c r="MU136" s="159"/>
      <c r="MV136" s="159"/>
      <c r="MW136" s="159"/>
      <c r="MX136" s="159"/>
      <c r="MY136" s="159"/>
      <c r="MZ136" s="159"/>
      <c r="NA136" s="159"/>
      <c r="NB136" s="159"/>
      <c r="NC136" s="159"/>
      <c r="ND136" s="159"/>
      <c r="NE136" s="159"/>
      <c r="NF136" s="159"/>
      <c r="NG136" s="159"/>
      <c r="NH136" s="159"/>
      <c r="NI136" s="159"/>
      <c r="NJ136" s="159"/>
      <c r="NK136" s="159"/>
      <c r="NL136" s="159"/>
      <c r="NM136" s="159"/>
      <c r="NN136" s="159"/>
      <c r="NO136" s="159"/>
      <c r="NP136" s="159"/>
      <c r="NQ136" s="159"/>
      <c r="NR136" s="159"/>
      <c r="NS136" s="159"/>
      <c r="NT136" s="159"/>
      <c r="NU136" s="159"/>
      <c r="NV136" s="159"/>
      <c r="NW136" s="159"/>
      <c r="NX136" s="159"/>
      <c r="NY136" s="159"/>
      <c r="NZ136" s="159"/>
      <c r="OA136" s="159"/>
      <c r="OB136" s="159"/>
      <c r="OC136" s="159"/>
      <c r="OD136" s="159"/>
      <c r="OE136" s="159"/>
      <c r="OF136" s="159"/>
      <c r="OG136" s="159"/>
      <c r="OH136" s="159"/>
      <c r="OI136" s="159"/>
      <c r="OJ136" s="159"/>
      <c r="OK136" s="159"/>
      <c r="OL136" s="159"/>
      <c r="OM136" s="159"/>
      <c r="ON136" s="159"/>
      <c r="OO136" s="159"/>
      <c r="OP136" s="159"/>
      <c r="OQ136" s="159"/>
      <c r="OR136" s="159"/>
      <c r="OS136" s="159"/>
      <c r="OT136" s="159"/>
      <c r="OU136" s="159"/>
      <c r="OV136" s="159"/>
      <c r="OW136" s="159"/>
      <c r="OX136" s="159"/>
      <c r="OY136" s="159"/>
      <c r="OZ136" s="159"/>
      <c r="PA136" s="159"/>
      <c r="PB136" s="159"/>
      <c r="PC136" s="159"/>
      <c r="PD136" s="159"/>
      <c r="PE136" s="159"/>
      <c r="PF136" s="159"/>
      <c r="PG136" s="159"/>
      <c r="PH136" s="159"/>
      <c r="PI136" s="159"/>
      <c r="PJ136" s="159"/>
      <c r="PK136" s="159"/>
      <c r="PL136" s="159"/>
      <c r="PM136" s="159"/>
      <c r="PN136" s="159"/>
      <c r="PO136" s="159"/>
      <c r="PP136" s="159"/>
      <c r="PQ136" s="159"/>
      <c r="PR136" s="159"/>
      <c r="PS136" s="159"/>
      <c r="PT136" s="159"/>
      <c r="PU136" s="159"/>
      <c r="PV136" s="159"/>
      <c r="PW136" s="159"/>
      <c r="PX136" s="159"/>
      <c r="PY136" s="159"/>
      <c r="PZ136" s="159"/>
      <c r="QA136" s="159"/>
      <c r="QB136" s="159"/>
      <c r="QC136" s="159"/>
      <c r="QD136" s="159"/>
      <c r="QE136" s="159"/>
      <c r="QF136" s="159"/>
      <c r="QG136" s="159"/>
      <c r="QH136" s="159"/>
      <c r="QI136" s="159"/>
      <c r="QJ136" s="159"/>
      <c r="QK136" s="159"/>
      <c r="QL136" s="159"/>
      <c r="QM136" s="159"/>
      <c r="QN136" s="159"/>
      <c r="QO136" s="159"/>
      <c r="QP136" s="159"/>
      <c r="QQ136" s="159"/>
      <c r="QR136" s="159"/>
      <c r="QS136" s="159"/>
      <c r="QT136" s="159"/>
      <c r="QU136" s="159"/>
      <c r="QV136" s="159"/>
      <c r="QW136" s="159"/>
      <c r="QX136" s="159"/>
      <c r="QY136" s="159"/>
      <c r="QZ136" s="159"/>
      <c r="RA136" s="159"/>
      <c r="RB136" s="159"/>
      <c r="RC136" s="159"/>
      <c r="RD136" s="159"/>
      <c r="RE136" s="159"/>
      <c r="RF136" s="159"/>
      <c r="RG136" s="159"/>
      <c r="RH136" s="159"/>
      <c r="RI136" s="159"/>
      <c r="RJ136" s="159"/>
      <c r="RK136" s="159"/>
      <c r="RL136" s="159"/>
      <c r="RM136" s="159"/>
      <c r="RN136" s="159"/>
      <c r="RO136" s="159"/>
      <c r="RP136" s="159"/>
      <c r="RQ136" s="159"/>
      <c r="RR136" s="159"/>
      <c r="RS136" s="159"/>
      <c r="RT136" s="159"/>
      <c r="RU136" s="159"/>
      <c r="RV136" s="159"/>
      <c r="RW136" s="159"/>
      <c r="RX136" s="159"/>
      <c r="RY136" s="159"/>
      <c r="RZ136" s="159"/>
      <c r="SA136" s="159"/>
      <c r="SB136" s="159"/>
      <c r="SC136" s="159"/>
      <c r="SD136" s="159"/>
      <c r="SE136" s="159"/>
      <c r="SF136" s="159"/>
      <c r="SG136" s="159"/>
      <c r="SH136" s="159"/>
      <c r="SI136" s="159"/>
      <c r="SJ136" s="159"/>
      <c r="SK136" s="159"/>
      <c r="SL136" s="159"/>
      <c r="SM136" s="159"/>
      <c r="SN136" s="159"/>
      <c r="SO136" s="159"/>
      <c r="SP136" s="159"/>
      <c r="SQ136" s="159"/>
      <c r="SR136" s="159"/>
      <c r="SS136" s="159"/>
      <c r="ST136" s="159"/>
      <c r="SU136" s="159"/>
      <c r="SV136" s="159"/>
      <c r="SW136" s="159"/>
      <c r="SX136" s="159"/>
      <c r="SY136" s="159"/>
      <c r="SZ136" s="159"/>
      <c r="TA136" s="159"/>
      <c r="TB136" s="159"/>
      <c r="TC136" s="159"/>
      <c r="TD136" s="159"/>
      <c r="TE136" s="159"/>
      <c r="TF136" s="159"/>
      <c r="TG136" s="159"/>
      <c r="TH136" s="159"/>
      <c r="TI136" s="159"/>
      <c r="TJ136" s="159"/>
      <c r="TK136" s="159"/>
      <c r="TL136" s="159"/>
      <c r="TM136" s="159"/>
      <c r="TN136" s="159"/>
      <c r="TO136" s="159"/>
      <c r="TP136" s="159"/>
      <c r="TQ136" s="159"/>
      <c r="TR136" s="159"/>
      <c r="TS136" s="159"/>
      <c r="TT136" s="159"/>
      <c r="TU136" s="159"/>
      <c r="TV136" s="159"/>
      <c r="TW136" s="159"/>
      <c r="TX136" s="159"/>
      <c r="TY136" s="159"/>
      <c r="TZ136" s="159"/>
      <c r="UA136" s="159"/>
      <c r="UB136" s="159"/>
      <c r="UC136" s="159"/>
      <c r="UD136" s="159"/>
      <c r="UE136" s="159"/>
      <c r="UF136" s="159"/>
      <c r="UG136" s="159"/>
      <c r="UH136" s="159"/>
      <c r="UI136" s="159"/>
      <c r="UJ136" s="159"/>
      <c r="UK136" s="159"/>
      <c r="UL136" s="159"/>
      <c r="UM136" s="159"/>
      <c r="UN136" s="159"/>
      <c r="UO136" s="159"/>
      <c r="UP136" s="159"/>
      <c r="UQ136" s="159"/>
      <c r="UR136" s="159"/>
      <c r="US136" s="159"/>
      <c r="UT136" s="159"/>
      <c r="UU136" s="159"/>
      <c r="UV136" s="159"/>
      <c r="UW136" s="159"/>
      <c r="UX136" s="159"/>
      <c r="UY136" s="159"/>
      <c r="UZ136" s="159"/>
      <c r="VA136" s="159"/>
      <c r="VB136" s="159"/>
      <c r="VC136" s="159"/>
      <c r="VD136" s="159"/>
      <c r="VE136" s="159"/>
      <c r="VF136" s="159"/>
      <c r="VG136" s="159"/>
      <c r="VH136" s="159"/>
      <c r="VI136" s="159"/>
      <c r="VJ136" s="159"/>
      <c r="VK136" s="159"/>
      <c r="VL136" s="159"/>
      <c r="VM136" s="159"/>
      <c r="VN136" s="159"/>
      <c r="VO136" s="159"/>
      <c r="VP136" s="159"/>
      <c r="VQ136" s="159"/>
      <c r="VR136" s="159"/>
      <c r="VS136" s="159"/>
      <c r="VT136" s="159"/>
      <c r="VU136" s="159"/>
      <c r="VV136" s="159"/>
      <c r="VW136" s="159"/>
      <c r="VX136" s="159"/>
      <c r="VY136" s="159"/>
      <c r="VZ136" s="159"/>
      <c r="WA136" s="159"/>
      <c r="WB136" s="159"/>
      <c r="WC136" s="159"/>
      <c r="WD136" s="159"/>
      <c r="WE136" s="159"/>
      <c r="WF136" s="159"/>
      <c r="WG136" s="159"/>
      <c r="WH136" s="159"/>
      <c r="WI136" s="159"/>
      <c r="WJ136" s="159"/>
      <c r="WK136" s="159"/>
      <c r="WL136" s="159"/>
      <c r="WM136" s="159"/>
      <c r="WN136" s="159"/>
      <c r="WO136" s="159"/>
      <c r="WP136" s="159"/>
      <c r="WQ136" s="159"/>
      <c r="WR136" s="159"/>
      <c r="WS136" s="159"/>
      <c r="WT136" s="159"/>
      <c r="WU136" s="159"/>
      <c r="WV136" s="159"/>
      <c r="WW136" s="159"/>
      <c r="WX136" s="159"/>
      <c r="WY136" s="159"/>
      <c r="WZ136" s="159"/>
      <c r="XA136" s="159"/>
      <c r="XB136" s="159"/>
      <c r="XC136" s="159"/>
      <c r="XD136" s="159"/>
      <c r="XE136" s="159"/>
      <c r="XF136" s="159"/>
      <c r="XG136" s="159"/>
      <c r="XH136" s="159"/>
      <c r="XI136" s="159"/>
      <c r="XJ136" s="159"/>
      <c r="XK136" s="159"/>
      <c r="XL136" s="159"/>
      <c r="XM136" s="159"/>
      <c r="XN136" s="159"/>
      <c r="XO136" s="159"/>
      <c r="XP136" s="159"/>
      <c r="XQ136" s="159"/>
      <c r="XR136" s="159"/>
      <c r="XS136" s="159"/>
      <c r="XT136" s="159"/>
      <c r="XU136" s="159"/>
      <c r="XV136" s="159"/>
      <c r="XW136" s="159"/>
      <c r="XX136" s="159"/>
      <c r="XY136" s="159"/>
      <c r="XZ136" s="159"/>
      <c r="YA136" s="159"/>
      <c r="YB136" s="159"/>
      <c r="YC136" s="159"/>
      <c r="YD136" s="159"/>
      <c r="YE136" s="159"/>
      <c r="YF136" s="159"/>
      <c r="YG136" s="159"/>
      <c r="YH136" s="159"/>
      <c r="YI136" s="159"/>
      <c r="YJ136" s="159"/>
      <c r="YK136" s="159"/>
      <c r="YL136" s="159"/>
      <c r="YM136" s="159"/>
      <c r="YN136" s="159"/>
      <c r="YO136" s="159"/>
      <c r="YP136" s="159"/>
      <c r="YQ136" s="159"/>
      <c r="YR136" s="159"/>
      <c r="YS136" s="159"/>
      <c r="YT136" s="159"/>
      <c r="YU136" s="159"/>
      <c r="YV136" s="159"/>
      <c r="YW136" s="159"/>
      <c r="YX136" s="159"/>
      <c r="YY136" s="159"/>
      <c r="YZ136" s="159"/>
      <c r="ZA136" s="159"/>
      <c r="ZB136" s="159"/>
      <c r="ZC136" s="159"/>
      <c r="ZD136" s="159"/>
      <c r="ZE136" s="159"/>
      <c r="ZF136" s="159"/>
      <c r="ZG136" s="159"/>
      <c r="ZH136" s="159"/>
      <c r="ZI136" s="159"/>
      <c r="ZJ136" s="159"/>
      <c r="ZK136" s="159"/>
      <c r="ZL136" s="159"/>
      <c r="ZM136" s="159"/>
      <c r="ZN136" s="159"/>
      <c r="ZO136" s="159"/>
      <c r="ZP136" s="159"/>
      <c r="ZQ136" s="159"/>
      <c r="ZR136" s="159"/>
      <c r="ZS136" s="159"/>
      <c r="ZT136" s="159"/>
      <c r="ZU136" s="159"/>
      <c r="ZV136" s="159"/>
      <c r="ZW136" s="159"/>
      <c r="ZX136" s="159"/>
      <c r="ZY136" s="159"/>
      <c r="ZZ136" s="159"/>
      <c r="AAA136" s="159"/>
      <c r="AAB136" s="159"/>
      <c r="AAC136" s="159"/>
      <c r="AAD136" s="159"/>
      <c r="AAE136" s="159"/>
      <c r="AAF136" s="159"/>
      <c r="AAG136" s="159"/>
      <c r="AAH136" s="159"/>
      <c r="AAI136" s="159"/>
      <c r="AAJ136" s="159"/>
      <c r="AAK136" s="159"/>
      <c r="AAL136" s="159"/>
      <c r="AAM136" s="159"/>
      <c r="AAN136" s="159"/>
      <c r="AAO136" s="159"/>
      <c r="AAP136" s="159"/>
      <c r="AAQ136" s="159"/>
      <c r="AAR136" s="159"/>
      <c r="AAS136" s="159"/>
      <c r="AAT136" s="159"/>
      <c r="AAU136" s="159"/>
      <c r="AAV136" s="159"/>
      <c r="AAW136" s="159"/>
      <c r="AAX136" s="159"/>
      <c r="AAY136" s="159"/>
      <c r="AAZ136" s="159"/>
      <c r="ABA136" s="159"/>
      <c r="ABB136" s="159"/>
      <c r="ABC136" s="159"/>
      <c r="ABD136" s="159"/>
      <c r="ABE136" s="159"/>
      <c r="ABF136" s="159"/>
      <c r="ABG136" s="159"/>
      <c r="ABH136" s="159"/>
      <c r="ABI136" s="159"/>
      <c r="ABJ136" s="159"/>
      <c r="ABK136" s="159"/>
      <c r="ABL136" s="159"/>
      <c r="ABM136" s="159"/>
      <c r="ABN136" s="159"/>
      <c r="ABO136" s="159"/>
      <c r="ABP136" s="159"/>
      <c r="ABQ136" s="159"/>
      <c r="ABR136" s="159"/>
      <c r="ABS136" s="159"/>
      <c r="ABT136" s="159"/>
      <c r="ABU136" s="159"/>
      <c r="ABV136" s="159"/>
      <c r="ABW136" s="159"/>
      <c r="ABX136" s="159"/>
      <c r="ABY136" s="159"/>
      <c r="ABZ136" s="159"/>
      <c r="ACA136" s="159"/>
      <c r="ACB136" s="159"/>
      <c r="ACC136" s="159"/>
      <c r="ACD136" s="159"/>
      <c r="ACE136" s="159"/>
      <c r="ACF136" s="159"/>
      <c r="ACG136" s="159"/>
      <c r="ACH136" s="159"/>
      <c r="ACI136" s="159"/>
      <c r="ACJ136" s="159"/>
      <c r="ACK136" s="159"/>
      <c r="ACL136" s="159"/>
      <c r="ACM136" s="159"/>
      <c r="ACN136" s="159"/>
      <c r="ACO136" s="159"/>
      <c r="ACP136" s="159"/>
      <c r="ACQ136" s="159"/>
      <c r="ACR136" s="159"/>
      <c r="ACS136" s="159"/>
      <c r="ACT136" s="159"/>
      <c r="ACU136" s="159"/>
      <c r="ACV136" s="159"/>
      <c r="ACW136" s="159"/>
      <c r="ACX136" s="159"/>
      <c r="ACY136" s="159"/>
      <c r="ACZ136" s="159"/>
      <c r="ADA136" s="159"/>
      <c r="ADB136" s="159"/>
      <c r="ADC136" s="159"/>
      <c r="ADD136" s="159"/>
      <c r="ADE136" s="159"/>
      <c r="ADF136" s="159"/>
      <c r="ADG136" s="159"/>
      <c r="ADH136" s="159"/>
      <c r="ADI136" s="159"/>
      <c r="ADJ136" s="159"/>
      <c r="ADK136" s="159"/>
      <c r="ADL136" s="159"/>
      <c r="ADM136" s="159"/>
      <c r="ADN136" s="159"/>
      <c r="ADO136" s="159"/>
      <c r="ADP136" s="159"/>
      <c r="ADQ136" s="159"/>
      <c r="ADR136" s="159"/>
      <c r="ADS136" s="159"/>
      <c r="ADT136" s="159"/>
      <c r="ADU136" s="159"/>
      <c r="ADV136" s="159"/>
      <c r="ADW136" s="159"/>
      <c r="ADX136" s="159"/>
      <c r="ADY136" s="159"/>
      <c r="ADZ136" s="159"/>
      <c r="AEA136" s="159"/>
      <c r="AEB136" s="159"/>
      <c r="AEC136" s="159"/>
      <c r="AED136" s="159"/>
      <c r="AEE136" s="159"/>
      <c r="AEF136" s="159"/>
      <c r="AEG136" s="159"/>
      <c r="AEH136" s="159"/>
      <c r="AEI136" s="159"/>
      <c r="AEJ136" s="159"/>
      <c r="AEK136" s="159"/>
      <c r="AEL136" s="159"/>
      <c r="AEM136" s="159"/>
      <c r="AEN136" s="159"/>
      <c r="AEO136" s="159"/>
      <c r="AEP136" s="159"/>
      <c r="AEQ136" s="159"/>
      <c r="AER136" s="159"/>
      <c r="AES136" s="159"/>
      <c r="AET136" s="159"/>
      <c r="AEU136" s="159"/>
      <c r="AEV136" s="159"/>
      <c r="AEW136" s="159"/>
      <c r="AEX136" s="159"/>
      <c r="AEY136" s="159"/>
      <c r="AEZ136" s="159"/>
      <c r="AFA136" s="159"/>
      <c r="AFB136" s="159"/>
      <c r="AFC136" s="159"/>
      <c r="AFD136" s="159"/>
      <c r="AFE136" s="159"/>
      <c r="AFF136" s="159"/>
      <c r="AFG136" s="159"/>
      <c r="AFH136" s="159"/>
      <c r="AFI136" s="159"/>
      <c r="AFJ136" s="159"/>
      <c r="AFK136" s="159"/>
      <c r="AFL136" s="159"/>
      <c r="AFM136" s="159"/>
      <c r="AFN136" s="159"/>
      <c r="AFO136" s="159"/>
      <c r="AFP136" s="159"/>
      <c r="AFQ136" s="159"/>
      <c r="AFR136" s="159"/>
      <c r="AFS136" s="159"/>
      <c r="AFT136" s="159"/>
      <c r="AFU136" s="159"/>
      <c r="AFV136" s="159"/>
      <c r="AFW136" s="159"/>
      <c r="AFX136" s="159"/>
      <c r="AFY136" s="159"/>
      <c r="AFZ136" s="159"/>
      <c r="AGA136" s="159"/>
      <c r="AGB136" s="159"/>
      <c r="AGC136" s="159"/>
      <c r="AGD136" s="159"/>
      <c r="AGE136" s="159"/>
      <c r="AGF136" s="159"/>
      <c r="AGG136" s="159"/>
      <c r="AGH136" s="159"/>
      <c r="AGI136" s="159"/>
      <c r="AGJ136" s="159"/>
      <c r="AGK136" s="159"/>
      <c r="AGL136" s="159"/>
      <c r="AGM136" s="159"/>
      <c r="AGN136" s="159"/>
      <c r="AGO136" s="159"/>
      <c r="AGP136" s="159"/>
      <c r="AGQ136" s="159"/>
      <c r="AGR136" s="159"/>
      <c r="AGS136" s="159"/>
      <c r="AGT136" s="159"/>
      <c r="AGU136" s="159"/>
      <c r="AGV136" s="159"/>
      <c r="AGW136" s="159"/>
      <c r="AGX136" s="159"/>
      <c r="AGY136" s="159"/>
      <c r="AGZ136" s="159"/>
      <c r="AHA136" s="159"/>
      <c r="AHB136" s="159"/>
      <c r="AHC136" s="159"/>
      <c r="AHD136" s="159"/>
      <c r="AHE136" s="159"/>
      <c r="AHF136" s="159"/>
      <c r="AHG136" s="159"/>
      <c r="AHH136" s="159"/>
      <c r="AHI136" s="159"/>
      <c r="AHJ136" s="159"/>
      <c r="AHK136" s="159"/>
      <c r="AHL136" s="159"/>
      <c r="AHM136" s="159"/>
      <c r="AHN136" s="159"/>
      <c r="AHO136" s="159"/>
      <c r="AHP136" s="159"/>
      <c r="AHQ136" s="159"/>
      <c r="AHR136" s="159"/>
      <c r="AHS136" s="159"/>
      <c r="AHT136" s="159"/>
      <c r="AHU136" s="159"/>
      <c r="AHV136" s="159"/>
      <c r="AHW136" s="159"/>
      <c r="AHX136" s="159"/>
      <c r="AHY136" s="159"/>
      <c r="AHZ136" s="159"/>
      <c r="AIA136" s="159"/>
      <c r="AIB136" s="159"/>
      <c r="AIC136" s="159"/>
      <c r="AID136" s="159"/>
      <c r="AIE136" s="159"/>
      <c r="AIF136" s="159"/>
      <c r="AIG136" s="159"/>
      <c r="AIH136" s="159"/>
      <c r="AII136" s="159"/>
      <c r="AIJ136" s="159"/>
      <c r="AIK136" s="159"/>
      <c r="AIL136" s="159"/>
      <c r="AIM136" s="159"/>
      <c r="AIN136" s="159"/>
      <c r="AIO136" s="159"/>
      <c r="AIP136" s="159"/>
      <c r="AIQ136" s="159"/>
      <c r="AIR136" s="159"/>
      <c r="AIS136" s="159"/>
      <c r="AIT136" s="159"/>
      <c r="AIU136" s="159"/>
      <c r="AIV136" s="159"/>
      <c r="AIW136" s="159"/>
      <c r="AIX136" s="159"/>
      <c r="AIY136" s="159"/>
      <c r="AIZ136" s="159"/>
      <c r="AJA136" s="159"/>
      <c r="AJB136" s="159"/>
      <c r="AJC136" s="159"/>
      <c r="AJD136" s="159"/>
      <c r="AJE136" s="159"/>
      <c r="AJF136" s="159"/>
      <c r="AJG136" s="159"/>
      <c r="AJH136" s="159"/>
      <c r="AJI136" s="159"/>
      <c r="AJJ136" s="159"/>
      <c r="AJK136" s="159"/>
      <c r="AJL136" s="159"/>
      <c r="AJM136" s="159"/>
      <c r="AJN136" s="159"/>
      <c r="AJO136" s="159"/>
      <c r="AJP136" s="159"/>
      <c r="AJQ136" s="159"/>
      <c r="AJR136" s="159"/>
      <c r="AJS136" s="159"/>
      <c r="AJT136" s="159"/>
      <c r="AJU136" s="159"/>
      <c r="AJV136" s="159"/>
      <c r="AJW136" s="159"/>
      <c r="AJX136" s="159"/>
      <c r="AJY136" s="159"/>
      <c r="AJZ136" s="159"/>
      <c r="AKA136" s="159"/>
      <c r="AKB136" s="159"/>
      <c r="AKC136" s="159"/>
      <c r="AKD136" s="159"/>
      <c r="AKE136" s="159"/>
      <c r="AKF136" s="159"/>
      <c r="AKG136" s="159"/>
      <c r="AKH136" s="159"/>
      <c r="AKI136" s="159"/>
      <c r="AKJ136" s="159"/>
      <c r="AKK136" s="159"/>
      <c r="AKL136" s="159"/>
      <c r="AKM136" s="159"/>
      <c r="AKN136" s="159"/>
      <c r="AKO136" s="159"/>
      <c r="AKP136" s="159"/>
      <c r="AKQ136" s="159"/>
      <c r="AKR136" s="159"/>
      <c r="AKS136" s="159"/>
      <c r="AKT136" s="159"/>
      <c r="AKU136" s="159"/>
      <c r="AKV136" s="159"/>
      <c r="AKW136" s="159"/>
      <c r="AKX136" s="159"/>
      <c r="AKY136" s="159"/>
      <c r="AKZ136" s="159"/>
      <c r="ALA136" s="159"/>
      <c r="ALB136" s="159"/>
      <c r="ALC136" s="159"/>
      <c r="ALD136" s="159"/>
      <c r="ALE136" s="159"/>
      <c r="ALF136" s="159"/>
      <c r="ALG136" s="159"/>
      <c r="ALH136" s="159"/>
      <c r="ALI136" s="159"/>
      <c r="ALJ136" s="159"/>
      <c r="ALK136" s="159"/>
      <c r="ALL136" s="159"/>
      <c r="ALM136" s="159"/>
      <c r="ALN136" s="159"/>
      <c r="ALO136" s="159"/>
      <c r="ALP136" s="159"/>
      <c r="ALQ136" s="159"/>
      <c r="ALR136" s="159"/>
      <c r="ALS136" s="159"/>
      <c r="ALT136" s="159"/>
      <c r="ALU136" s="159"/>
      <c r="ALV136" s="159"/>
      <c r="ALW136" s="159"/>
      <c r="ALX136" s="159"/>
      <c r="ALY136" s="159"/>
      <c r="ALZ136" s="159"/>
      <c r="AMA136" s="159"/>
      <c r="AMB136" s="159"/>
      <c r="AMC136" s="159"/>
      <c r="AMD136" s="159"/>
      <c r="AME136" s="159"/>
      <c r="AMF136" s="159"/>
      <c r="AMG136" s="159"/>
      <c r="AMH136" s="159"/>
      <c r="AMI136" s="159"/>
      <c r="AMJ136" s="159"/>
      <c r="AMK136" s="159"/>
      <c r="AML136" s="159"/>
      <c r="AMM136" s="159"/>
      <c r="AMN136" s="159"/>
      <c r="AMO136" s="159"/>
    </row>
    <row r="137" spans="1:1029" s="161" customFormat="1" ht="25.5" x14ac:dyDescent="0.25">
      <c r="A137" s="138">
        <v>46212</v>
      </c>
      <c r="B137" s="99" t="s">
        <v>42</v>
      </c>
      <c r="C137" s="99" t="s">
        <v>51</v>
      </c>
      <c r="D137" s="160" t="s">
        <v>13</v>
      </c>
      <c r="E137" s="118" t="s">
        <v>53</v>
      </c>
      <c r="F137" s="99" t="s">
        <v>125</v>
      </c>
      <c r="G137" s="99" t="s">
        <v>199</v>
      </c>
      <c r="H137" s="141" t="b">
        <f t="shared" ref="H137:H200" si="12">IF(ISBLANK($B137),$W$53,IF(AND($B137=E137,$C137=F137,$D137=G137),$W$50,IF(AND($B137=E137,OR($C137=F137,$D137=G137)),$W$51+$W$52,IF(OR($B137=E137,AND($C137=F137,$D137=G137)),$W$51,IF(OR($C137=F137,$D137=G137),$W$52)))))</f>
        <v>0</v>
      </c>
      <c r="I137" s="120" t="s">
        <v>35</v>
      </c>
      <c r="J137" s="121" t="s">
        <v>77</v>
      </c>
      <c r="K137" s="121" t="s">
        <v>13</v>
      </c>
      <c r="L137" s="141">
        <f t="shared" ref="L137:L200" si="13">IF(ISBLANK($B137),$W$53,IF(AND($B137=I137,$C137=J137,$D137=K137),$W$50,IF(AND($B137=I137,OR($C137=J137,$D137=K137)),$W$51+$W$52,IF(OR($B137=I137,AND($C137=J137,$D137=K137)),$W$51,IF(OR($C137=J137,$D137=K137),$W$52)))))</f>
        <v>0.5</v>
      </c>
      <c r="M137" s="121" t="s">
        <v>29</v>
      </c>
      <c r="N137" s="121" t="s">
        <v>30</v>
      </c>
      <c r="O137" s="121" t="s">
        <v>31</v>
      </c>
      <c r="P137" s="141" t="b">
        <f t="shared" ref="P137:P200" si="14">IF(ISBLANK($B137),$W$53,IF(AND($B137=M137,$C137=N137,$D137=O137),$W$50,IF(AND($B137=M137,OR($C137=N137,$D137=O137)),$W$51+$W$52,IF(OR($B137=M137,AND($C137=N137,$D137=O137)),$W$51,IF(OR($C137=N137,$D137=O137),$W$52)))))</f>
        <v>0</v>
      </c>
      <c r="Q137" s="149" t="s">
        <v>278</v>
      </c>
      <c r="R137" s="99" t="s">
        <v>119</v>
      </c>
      <c r="S137" s="99" t="s">
        <v>21</v>
      </c>
      <c r="T137" s="141" t="b">
        <f t="shared" ref="T137:T200" si="15">IF(ISBLANK($B137),$W$53,IF(AND($B137=Q137,$C137=R137,$D137=S137),$W$50,IF(AND($B137=Q137,OR($C137=R137,$D137=S137)),$W$51+$W$52,IF(OR($B137=Q137,AND($C137=R137,$D137=S137)),$W$51,IF(OR($C137=R137,$D137=S137),$W$52)))))</f>
        <v>0</v>
      </c>
      <c r="U137" s="159"/>
      <c r="V137" s="159"/>
      <c r="W137" s="159"/>
      <c r="X137" s="159"/>
      <c r="Y137" s="159"/>
      <c r="Z137" s="159"/>
      <c r="AA137" s="159"/>
      <c r="AB137" s="159"/>
      <c r="AC137" s="159"/>
      <c r="AD137" s="159"/>
      <c r="AE137" s="159"/>
      <c r="AF137" s="159"/>
      <c r="AG137" s="159"/>
      <c r="AH137" s="159"/>
      <c r="AI137" s="159"/>
      <c r="AJ137" s="159"/>
      <c r="AK137" s="159"/>
      <c r="AL137" s="159"/>
      <c r="AM137" s="159"/>
      <c r="AN137" s="159"/>
      <c r="AO137" s="159"/>
      <c r="AP137" s="159"/>
      <c r="AQ137" s="159"/>
      <c r="AR137" s="159"/>
      <c r="AS137" s="159"/>
      <c r="AT137" s="159"/>
      <c r="AU137" s="159"/>
      <c r="AV137" s="159"/>
      <c r="AW137" s="159"/>
      <c r="AX137" s="159"/>
      <c r="AY137" s="159"/>
      <c r="AZ137" s="159"/>
      <c r="BA137" s="159"/>
      <c r="BB137" s="159"/>
      <c r="BC137" s="159"/>
      <c r="BD137" s="159"/>
      <c r="BE137" s="159"/>
      <c r="BF137" s="159"/>
      <c r="BG137" s="159"/>
      <c r="BH137" s="159"/>
      <c r="BI137" s="159"/>
      <c r="BJ137" s="159"/>
      <c r="BK137" s="159"/>
      <c r="BL137" s="159"/>
      <c r="BM137" s="159"/>
      <c r="BN137" s="159"/>
      <c r="BO137" s="159"/>
      <c r="BP137" s="159"/>
      <c r="BQ137" s="159"/>
      <c r="BR137" s="159"/>
      <c r="BS137" s="159"/>
      <c r="BT137" s="159"/>
      <c r="BU137" s="159"/>
      <c r="BV137" s="159"/>
      <c r="BW137" s="159"/>
      <c r="BX137" s="159"/>
      <c r="BY137" s="159"/>
      <c r="BZ137" s="159"/>
      <c r="CA137" s="159"/>
      <c r="CB137" s="159"/>
      <c r="CC137" s="159"/>
      <c r="CD137" s="159"/>
      <c r="CE137" s="159"/>
      <c r="CF137" s="159"/>
      <c r="CG137" s="159"/>
      <c r="CH137" s="159"/>
      <c r="CI137" s="159"/>
      <c r="CJ137" s="159"/>
      <c r="CK137" s="159"/>
      <c r="CL137" s="159"/>
      <c r="CM137" s="159"/>
      <c r="CN137" s="159"/>
      <c r="CO137" s="159"/>
      <c r="CP137" s="159"/>
      <c r="CQ137" s="159"/>
      <c r="CR137" s="159"/>
      <c r="CS137" s="159"/>
      <c r="CT137" s="159"/>
      <c r="CU137" s="159"/>
      <c r="CV137" s="159"/>
      <c r="CW137" s="159"/>
      <c r="CX137" s="159"/>
      <c r="CY137" s="159"/>
      <c r="CZ137" s="159"/>
      <c r="DA137" s="159"/>
      <c r="DB137" s="159"/>
      <c r="DC137" s="159"/>
      <c r="DD137" s="159"/>
      <c r="DE137" s="159"/>
      <c r="DF137" s="159"/>
      <c r="DG137" s="159"/>
      <c r="DH137" s="159"/>
      <c r="DI137" s="159"/>
      <c r="DJ137" s="159"/>
      <c r="DK137" s="159"/>
      <c r="DL137" s="159"/>
      <c r="DM137" s="159"/>
      <c r="DN137" s="159"/>
      <c r="DO137" s="159"/>
      <c r="DP137" s="159"/>
      <c r="DQ137" s="159"/>
      <c r="DR137" s="159"/>
      <c r="DS137" s="159"/>
      <c r="DT137" s="159"/>
      <c r="DU137" s="159"/>
      <c r="DV137" s="159"/>
      <c r="DW137" s="159"/>
      <c r="DX137" s="159"/>
      <c r="DY137" s="159"/>
      <c r="DZ137" s="159"/>
      <c r="EA137" s="159"/>
      <c r="EB137" s="159"/>
      <c r="EC137" s="159"/>
      <c r="ED137" s="159"/>
      <c r="EE137" s="159"/>
      <c r="EF137" s="159"/>
      <c r="EG137" s="159"/>
      <c r="EH137" s="159"/>
      <c r="EI137" s="159"/>
      <c r="EJ137" s="159"/>
      <c r="EK137" s="159"/>
      <c r="EL137" s="159"/>
      <c r="EM137" s="159"/>
      <c r="EN137" s="159"/>
      <c r="EO137" s="159"/>
      <c r="EP137" s="159"/>
      <c r="EQ137" s="159"/>
      <c r="ER137" s="159"/>
      <c r="ES137" s="159"/>
      <c r="ET137" s="159"/>
      <c r="EU137" s="159"/>
      <c r="EV137" s="159"/>
      <c r="EW137" s="159"/>
      <c r="EX137" s="159"/>
      <c r="EY137" s="159"/>
      <c r="EZ137" s="159"/>
      <c r="FA137" s="159"/>
      <c r="FB137" s="159"/>
      <c r="FC137" s="159"/>
      <c r="FD137" s="159"/>
      <c r="FE137" s="159"/>
      <c r="FF137" s="159"/>
      <c r="FG137" s="159"/>
      <c r="FH137" s="159"/>
      <c r="FI137" s="159"/>
      <c r="FJ137" s="159"/>
      <c r="FK137" s="159"/>
      <c r="FL137" s="159"/>
      <c r="FM137" s="159"/>
      <c r="FN137" s="159"/>
      <c r="FO137" s="159"/>
      <c r="FP137" s="159"/>
      <c r="FQ137" s="159"/>
      <c r="FR137" s="159"/>
      <c r="FS137" s="159"/>
      <c r="FT137" s="159"/>
      <c r="FU137" s="159"/>
      <c r="FV137" s="159"/>
      <c r="FW137" s="159"/>
      <c r="FX137" s="159"/>
      <c r="FY137" s="159"/>
      <c r="FZ137" s="159"/>
      <c r="GA137" s="159"/>
      <c r="GB137" s="159"/>
      <c r="GC137" s="159"/>
      <c r="GD137" s="159"/>
      <c r="GE137" s="159"/>
      <c r="GF137" s="159"/>
      <c r="GG137" s="159"/>
      <c r="GH137" s="159"/>
      <c r="GI137" s="159"/>
      <c r="GJ137" s="159"/>
      <c r="GK137" s="159"/>
      <c r="GL137" s="159"/>
      <c r="GM137" s="159"/>
      <c r="GN137" s="159"/>
      <c r="GO137" s="159"/>
      <c r="GP137" s="159"/>
      <c r="GQ137" s="159"/>
      <c r="GR137" s="159"/>
      <c r="GS137" s="159"/>
      <c r="GT137" s="159"/>
      <c r="GU137" s="159"/>
      <c r="GV137" s="159"/>
      <c r="GW137" s="159"/>
      <c r="GX137" s="159"/>
      <c r="GY137" s="159"/>
      <c r="GZ137" s="159"/>
      <c r="HA137" s="159"/>
      <c r="HB137" s="159"/>
      <c r="HC137" s="159"/>
      <c r="HD137" s="159"/>
      <c r="HE137" s="159"/>
      <c r="HF137" s="159"/>
      <c r="HG137" s="159"/>
      <c r="HH137" s="159"/>
      <c r="HI137" s="159"/>
      <c r="HJ137" s="159"/>
      <c r="HK137" s="159"/>
      <c r="HL137" s="159"/>
      <c r="HM137" s="159"/>
      <c r="HN137" s="159"/>
      <c r="HO137" s="159"/>
      <c r="HP137" s="159"/>
      <c r="HQ137" s="159"/>
      <c r="HR137" s="159"/>
      <c r="HS137" s="159"/>
      <c r="HT137" s="159"/>
      <c r="HU137" s="159"/>
      <c r="HV137" s="159"/>
      <c r="HW137" s="159"/>
      <c r="HX137" s="159"/>
      <c r="HY137" s="159"/>
      <c r="HZ137" s="159"/>
      <c r="IA137" s="159"/>
      <c r="IB137" s="159"/>
      <c r="IC137" s="159"/>
      <c r="ID137" s="159"/>
      <c r="IE137" s="159"/>
      <c r="IF137" s="159"/>
      <c r="IG137" s="159"/>
      <c r="IH137" s="159"/>
      <c r="II137" s="159"/>
      <c r="IJ137" s="159"/>
      <c r="IK137" s="159"/>
      <c r="IL137" s="159"/>
      <c r="IM137" s="159"/>
      <c r="IN137" s="159"/>
      <c r="IO137" s="159"/>
      <c r="IP137" s="159"/>
      <c r="IQ137" s="159"/>
      <c r="IR137" s="159"/>
      <c r="IS137" s="159"/>
      <c r="IT137" s="159"/>
      <c r="IU137" s="159"/>
      <c r="IV137" s="159"/>
      <c r="IW137" s="159"/>
      <c r="IX137" s="159"/>
      <c r="IY137" s="159"/>
      <c r="IZ137" s="159"/>
      <c r="JA137" s="159"/>
      <c r="JB137" s="159"/>
      <c r="JC137" s="159"/>
      <c r="JD137" s="159"/>
      <c r="JE137" s="159"/>
      <c r="JF137" s="159"/>
      <c r="JG137" s="159"/>
      <c r="JH137" s="159"/>
      <c r="JI137" s="159"/>
      <c r="JJ137" s="159"/>
      <c r="JK137" s="159"/>
      <c r="JL137" s="159"/>
      <c r="JM137" s="159"/>
      <c r="JN137" s="159"/>
      <c r="JO137" s="159"/>
      <c r="JP137" s="159"/>
      <c r="JQ137" s="159"/>
      <c r="JR137" s="159"/>
      <c r="JS137" s="159"/>
      <c r="JT137" s="159"/>
      <c r="JU137" s="159"/>
      <c r="JV137" s="159"/>
      <c r="JW137" s="159"/>
      <c r="JX137" s="159"/>
      <c r="JY137" s="159"/>
      <c r="JZ137" s="159"/>
      <c r="KA137" s="159"/>
      <c r="KB137" s="159"/>
      <c r="KC137" s="159"/>
      <c r="KD137" s="159"/>
      <c r="KE137" s="159"/>
      <c r="KF137" s="159"/>
      <c r="KG137" s="159"/>
      <c r="KH137" s="159"/>
      <c r="KI137" s="159"/>
      <c r="KJ137" s="159"/>
      <c r="KK137" s="159"/>
      <c r="KL137" s="159"/>
      <c r="KM137" s="159"/>
      <c r="KN137" s="159"/>
      <c r="KO137" s="159"/>
      <c r="KP137" s="159"/>
      <c r="KQ137" s="159"/>
      <c r="KR137" s="159"/>
      <c r="KS137" s="159"/>
      <c r="KT137" s="159"/>
      <c r="KU137" s="159"/>
      <c r="KV137" s="159"/>
      <c r="KW137" s="159"/>
      <c r="KX137" s="159"/>
      <c r="KY137" s="159"/>
      <c r="KZ137" s="159"/>
      <c r="LA137" s="159"/>
      <c r="LB137" s="159"/>
      <c r="LC137" s="159"/>
      <c r="LD137" s="159"/>
      <c r="LE137" s="159"/>
      <c r="LF137" s="159"/>
      <c r="LG137" s="159"/>
      <c r="LH137" s="159"/>
      <c r="LI137" s="159"/>
      <c r="LJ137" s="159"/>
      <c r="LK137" s="159"/>
      <c r="LL137" s="159"/>
      <c r="LM137" s="159"/>
      <c r="LN137" s="159"/>
      <c r="LO137" s="159"/>
      <c r="LP137" s="159"/>
      <c r="LQ137" s="159"/>
      <c r="LR137" s="159"/>
      <c r="LS137" s="159"/>
      <c r="LT137" s="159"/>
      <c r="LU137" s="159"/>
      <c r="LV137" s="159"/>
      <c r="LW137" s="159"/>
      <c r="LX137" s="159"/>
      <c r="LY137" s="159"/>
      <c r="LZ137" s="159"/>
      <c r="MA137" s="159"/>
      <c r="MB137" s="159"/>
      <c r="MC137" s="159"/>
      <c r="MD137" s="159"/>
      <c r="ME137" s="159"/>
      <c r="MF137" s="159"/>
      <c r="MG137" s="159"/>
      <c r="MH137" s="159"/>
      <c r="MI137" s="159"/>
      <c r="MJ137" s="159"/>
      <c r="MK137" s="159"/>
      <c r="ML137" s="159"/>
      <c r="MM137" s="159"/>
      <c r="MN137" s="159"/>
      <c r="MO137" s="159"/>
      <c r="MP137" s="159"/>
      <c r="MQ137" s="159"/>
      <c r="MR137" s="159"/>
      <c r="MS137" s="159"/>
      <c r="MT137" s="159"/>
      <c r="MU137" s="159"/>
      <c r="MV137" s="159"/>
      <c r="MW137" s="159"/>
      <c r="MX137" s="159"/>
      <c r="MY137" s="159"/>
      <c r="MZ137" s="159"/>
      <c r="NA137" s="159"/>
      <c r="NB137" s="159"/>
      <c r="NC137" s="159"/>
      <c r="ND137" s="159"/>
      <c r="NE137" s="159"/>
      <c r="NF137" s="159"/>
      <c r="NG137" s="159"/>
      <c r="NH137" s="159"/>
      <c r="NI137" s="159"/>
      <c r="NJ137" s="159"/>
      <c r="NK137" s="159"/>
      <c r="NL137" s="159"/>
      <c r="NM137" s="159"/>
      <c r="NN137" s="159"/>
      <c r="NO137" s="159"/>
      <c r="NP137" s="159"/>
      <c r="NQ137" s="159"/>
      <c r="NR137" s="159"/>
      <c r="NS137" s="159"/>
      <c r="NT137" s="159"/>
      <c r="NU137" s="159"/>
      <c r="NV137" s="159"/>
      <c r="NW137" s="159"/>
      <c r="NX137" s="159"/>
      <c r="NY137" s="159"/>
      <c r="NZ137" s="159"/>
      <c r="OA137" s="159"/>
      <c r="OB137" s="159"/>
      <c r="OC137" s="159"/>
      <c r="OD137" s="159"/>
      <c r="OE137" s="159"/>
      <c r="OF137" s="159"/>
      <c r="OG137" s="159"/>
      <c r="OH137" s="159"/>
      <c r="OI137" s="159"/>
      <c r="OJ137" s="159"/>
      <c r="OK137" s="159"/>
      <c r="OL137" s="159"/>
      <c r="OM137" s="159"/>
      <c r="ON137" s="159"/>
      <c r="OO137" s="159"/>
      <c r="OP137" s="159"/>
      <c r="OQ137" s="159"/>
      <c r="OR137" s="159"/>
      <c r="OS137" s="159"/>
      <c r="OT137" s="159"/>
      <c r="OU137" s="159"/>
      <c r="OV137" s="159"/>
      <c r="OW137" s="159"/>
      <c r="OX137" s="159"/>
      <c r="OY137" s="159"/>
      <c r="OZ137" s="159"/>
      <c r="PA137" s="159"/>
      <c r="PB137" s="159"/>
      <c r="PC137" s="159"/>
      <c r="PD137" s="159"/>
      <c r="PE137" s="159"/>
      <c r="PF137" s="159"/>
      <c r="PG137" s="159"/>
      <c r="PH137" s="159"/>
      <c r="PI137" s="159"/>
      <c r="PJ137" s="159"/>
      <c r="PK137" s="159"/>
      <c r="PL137" s="159"/>
      <c r="PM137" s="159"/>
      <c r="PN137" s="159"/>
      <c r="PO137" s="159"/>
      <c r="PP137" s="159"/>
      <c r="PQ137" s="159"/>
      <c r="PR137" s="159"/>
      <c r="PS137" s="159"/>
      <c r="PT137" s="159"/>
      <c r="PU137" s="159"/>
      <c r="PV137" s="159"/>
      <c r="PW137" s="159"/>
      <c r="PX137" s="159"/>
      <c r="PY137" s="159"/>
      <c r="PZ137" s="159"/>
      <c r="QA137" s="159"/>
      <c r="QB137" s="159"/>
      <c r="QC137" s="159"/>
      <c r="QD137" s="159"/>
      <c r="QE137" s="159"/>
      <c r="QF137" s="159"/>
      <c r="QG137" s="159"/>
      <c r="QH137" s="159"/>
      <c r="QI137" s="159"/>
      <c r="QJ137" s="159"/>
      <c r="QK137" s="159"/>
      <c r="QL137" s="159"/>
      <c r="QM137" s="159"/>
      <c r="QN137" s="159"/>
      <c r="QO137" s="159"/>
      <c r="QP137" s="159"/>
      <c r="QQ137" s="159"/>
      <c r="QR137" s="159"/>
      <c r="QS137" s="159"/>
      <c r="QT137" s="159"/>
      <c r="QU137" s="159"/>
      <c r="QV137" s="159"/>
      <c r="QW137" s="159"/>
      <c r="QX137" s="159"/>
      <c r="QY137" s="159"/>
      <c r="QZ137" s="159"/>
      <c r="RA137" s="159"/>
      <c r="RB137" s="159"/>
      <c r="RC137" s="159"/>
      <c r="RD137" s="159"/>
      <c r="RE137" s="159"/>
      <c r="RF137" s="159"/>
      <c r="RG137" s="159"/>
      <c r="RH137" s="159"/>
      <c r="RI137" s="159"/>
      <c r="RJ137" s="159"/>
      <c r="RK137" s="159"/>
      <c r="RL137" s="159"/>
      <c r="RM137" s="159"/>
      <c r="RN137" s="159"/>
      <c r="RO137" s="159"/>
      <c r="RP137" s="159"/>
      <c r="RQ137" s="159"/>
      <c r="RR137" s="159"/>
      <c r="RS137" s="159"/>
      <c r="RT137" s="159"/>
      <c r="RU137" s="159"/>
      <c r="RV137" s="159"/>
      <c r="RW137" s="159"/>
      <c r="RX137" s="159"/>
      <c r="RY137" s="159"/>
      <c r="RZ137" s="159"/>
      <c r="SA137" s="159"/>
      <c r="SB137" s="159"/>
      <c r="SC137" s="159"/>
      <c r="SD137" s="159"/>
      <c r="SE137" s="159"/>
      <c r="SF137" s="159"/>
      <c r="SG137" s="159"/>
      <c r="SH137" s="159"/>
      <c r="SI137" s="159"/>
      <c r="SJ137" s="159"/>
      <c r="SK137" s="159"/>
      <c r="SL137" s="159"/>
      <c r="SM137" s="159"/>
      <c r="SN137" s="159"/>
      <c r="SO137" s="159"/>
      <c r="SP137" s="159"/>
      <c r="SQ137" s="159"/>
      <c r="SR137" s="159"/>
      <c r="SS137" s="159"/>
      <c r="ST137" s="159"/>
      <c r="SU137" s="159"/>
      <c r="SV137" s="159"/>
      <c r="SW137" s="159"/>
      <c r="SX137" s="159"/>
      <c r="SY137" s="159"/>
      <c r="SZ137" s="159"/>
      <c r="TA137" s="159"/>
      <c r="TB137" s="159"/>
      <c r="TC137" s="159"/>
      <c r="TD137" s="159"/>
      <c r="TE137" s="159"/>
      <c r="TF137" s="159"/>
      <c r="TG137" s="159"/>
      <c r="TH137" s="159"/>
      <c r="TI137" s="159"/>
      <c r="TJ137" s="159"/>
      <c r="TK137" s="159"/>
      <c r="TL137" s="159"/>
      <c r="TM137" s="159"/>
      <c r="TN137" s="159"/>
      <c r="TO137" s="159"/>
      <c r="TP137" s="159"/>
      <c r="TQ137" s="159"/>
      <c r="TR137" s="159"/>
      <c r="TS137" s="159"/>
      <c r="TT137" s="159"/>
      <c r="TU137" s="159"/>
      <c r="TV137" s="159"/>
      <c r="TW137" s="159"/>
      <c r="TX137" s="159"/>
      <c r="TY137" s="159"/>
      <c r="TZ137" s="159"/>
      <c r="UA137" s="159"/>
      <c r="UB137" s="159"/>
      <c r="UC137" s="159"/>
      <c r="UD137" s="159"/>
      <c r="UE137" s="159"/>
      <c r="UF137" s="159"/>
      <c r="UG137" s="159"/>
      <c r="UH137" s="159"/>
      <c r="UI137" s="159"/>
      <c r="UJ137" s="159"/>
      <c r="UK137" s="159"/>
      <c r="UL137" s="159"/>
      <c r="UM137" s="159"/>
      <c r="UN137" s="159"/>
      <c r="UO137" s="159"/>
      <c r="UP137" s="159"/>
      <c r="UQ137" s="159"/>
      <c r="UR137" s="159"/>
      <c r="US137" s="159"/>
      <c r="UT137" s="159"/>
      <c r="UU137" s="159"/>
      <c r="UV137" s="159"/>
      <c r="UW137" s="159"/>
      <c r="UX137" s="159"/>
      <c r="UY137" s="159"/>
      <c r="UZ137" s="159"/>
      <c r="VA137" s="159"/>
      <c r="VB137" s="159"/>
      <c r="VC137" s="159"/>
      <c r="VD137" s="159"/>
      <c r="VE137" s="159"/>
      <c r="VF137" s="159"/>
      <c r="VG137" s="159"/>
      <c r="VH137" s="159"/>
      <c r="VI137" s="159"/>
      <c r="VJ137" s="159"/>
      <c r="VK137" s="159"/>
      <c r="VL137" s="159"/>
      <c r="VM137" s="159"/>
      <c r="VN137" s="159"/>
      <c r="VO137" s="159"/>
      <c r="VP137" s="159"/>
      <c r="VQ137" s="159"/>
      <c r="VR137" s="159"/>
      <c r="VS137" s="159"/>
      <c r="VT137" s="159"/>
      <c r="VU137" s="159"/>
      <c r="VV137" s="159"/>
      <c r="VW137" s="159"/>
      <c r="VX137" s="159"/>
      <c r="VY137" s="159"/>
      <c r="VZ137" s="159"/>
      <c r="WA137" s="159"/>
      <c r="WB137" s="159"/>
      <c r="WC137" s="159"/>
      <c r="WD137" s="159"/>
      <c r="WE137" s="159"/>
      <c r="WF137" s="159"/>
      <c r="WG137" s="159"/>
      <c r="WH137" s="159"/>
      <c r="WI137" s="159"/>
      <c r="WJ137" s="159"/>
      <c r="WK137" s="159"/>
      <c r="WL137" s="159"/>
      <c r="WM137" s="159"/>
      <c r="WN137" s="159"/>
      <c r="WO137" s="159"/>
      <c r="WP137" s="159"/>
      <c r="WQ137" s="159"/>
      <c r="WR137" s="159"/>
      <c r="WS137" s="159"/>
      <c r="WT137" s="159"/>
      <c r="WU137" s="159"/>
      <c r="WV137" s="159"/>
      <c r="WW137" s="159"/>
      <c r="WX137" s="159"/>
      <c r="WY137" s="159"/>
      <c r="WZ137" s="159"/>
      <c r="XA137" s="159"/>
      <c r="XB137" s="159"/>
      <c r="XC137" s="159"/>
      <c r="XD137" s="159"/>
      <c r="XE137" s="159"/>
      <c r="XF137" s="159"/>
      <c r="XG137" s="159"/>
      <c r="XH137" s="159"/>
      <c r="XI137" s="159"/>
      <c r="XJ137" s="159"/>
      <c r="XK137" s="159"/>
      <c r="XL137" s="159"/>
      <c r="XM137" s="159"/>
      <c r="XN137" s="159"/>
      <c r="XO137" s="159"/>
      <c r="XP137" s="159"/>
      <c r="XQ137" s="159"/>
      <c r="XR137" s="159"/>
      <c r="XS137" s="159"/>
      <c r="XT137" s="159"/>
      <c r="XU137" s="159"/>
      <c r="XV137" s="159"/>
      <c r="XW137" s="159"/>
      <c r="XX137" s="159"/>
      <c r="XY137" s="159"/>
      <c r="XZ137" s="159"/>
      <c r="YA137" s="159"/>
      <c r="YB137" s="159"/>
      <c r="YC137" s="159"/>
      <c r="YD137" s="159"/>
      <c r="YE137" s="159"/>
      <c r="YF137" s="159"/>
      <c r="YG137" s="159"/>
      <c r="YH137" s="159"/>
      <c r="YI137" s="159"/>
      <c r="YJ137" s="159"/>
      <c r="YK137" s="159"/>
      <c r="YL137" s="159"/>
      <c r="YM137" s="159"/>
      <c r="YN137" s="159"/>
      <c r="YO137" s="159"/>
      <c r="YP137" s="159"/>
      <c r="YQ137" s="159"/>
      <c r="YR137" s="159"/>
      <c r="YS137" s="159"/>
      <c r="YT137" s="159"/>
      <c r="YU137" s="159"/>
      <c r="YV137" s="159"/>
      <c r="YW137" s="159"/>
      <c r="YX137" s="159"/>
      <c r="YY137" s="159"/>
      <c r="YZ137" s="159"/>
      <c r="ZA137" s="159"/>
      <c r="ZB137" s="159"/>
      <c r="ZC137" s="159"/>
      <c r="ZD137" s="159"/>
      <c r="ZE137" s="159"/>
      <c r="ZF137" s="159"/>
      <c r="ZG137" s="159"/>
      <c r="ZH137" s="159"/>
      <c r="ZI137" s="159"/>
      <c r="ZJ137" s="159"/>
      <c r="ZK137" s="159"/>
      <c r="ZL137" s="159"/>
      <c r="ZM137" s="159"/>
      <c r="ZN137" s="159"/>
      <c r="ZO137" s="159"/>
      <c r="ZP137" s="159"/>
      <c r="ZQ137" s="159"/>
      <c r="ZR137" s="159"/>
      <c r="ZS137" s="159"/>
      <c r="ZT137" s="159"/>
      <c r="ZU137" s="159"/>
      <c r="ZV137" s="159"/>
      <c r="ZW137" s="159"/>
      <c r="ZX137" s="159"/>
      <c r="ZY137" s="159"/>
      <c r="ZZ137" s="159"/>
      <c r="AAA137" s="159"/>
      <c r="AAB137" s="159"/>
      <c r="AAC137" s="159"/>
      <c r="AAD137" s="159"/>
      <c r="AAE137" s="159"/>
      <c r="AAF137" s="159"/>
      <c r="AAG137" s="159"/>
      <c r="AAH137" s="159"/>
      <c r="AAI137" s="159"/>
      <c r="AAJ137" s="159"/>
      <c r="AAK137" s="159"/>
      <c r="AAL137" s="159"/>
      <c r="AAM137" s="159"/>
      <c r="AAN137" s="159"/>
      <c r="AAO137" s="159"/>
      <c r="AAP137" s="159"/>
      <c r="AAQ137" s="159"/>
      <c r="AAR137" s="159"/>
      <c r="AAS137" s="159"/>
      <c r="AAT137" s="159"/>
      <c r="AAU137" s="159"/>
      <c r="AAV137" s="159"/>
      <c r="AAW137" s="159"/>
      <c r="AAX137" s="159"/>
      <c r="AAY137" s="159"/>
      <c r="AAZ137" s="159"/>
      <c r="ABA137" s="159"/>
      <c r="ABB137" s="159"/>
      <c r="ABC137" s="159"/>
      <c r="ABD137" s="159"/>
      <c r="ABE137" s="159"/>
      <c r="ABF137" s="159"/>
      <c r="ABG137" s="159"/>
      <c r="ABH137" s="159"/>
      <c r="ABI137" s="159"/>
      <c r="ABJ137" s="159"/>
      <c r="ABK137" s="159"/>
      <c r="ABL137" s="159"/>
      <c r="ABM137" s="159"/>
      <c r="ABN137" s="159"/>
      <c r="ABO137" s="159"/>
      <c r="ABP137" s="159"/>
      <c r="ABQ137" s="159"/>
      <c r="ABR137" s="159"/>
      <c r="ABS137" s="159"/>
      <c r="ABT137" s="159"/>
      <c r="ABU137" s="159"/>
      <c r="ABV137" s="159"/>
      <c r="ABW137" s="159"/>
      <c r="ABX137" s="159"/>
      <c r="ABY137" s="159"/>
      <c r="ABZ137" s="159"/>
      <c r="ACA137" s="159"/>
      <c r="ACB137" s="159"/>
      <c r="ACC137" s="159"/>
      <c r="ACD137" s="159"/>
      <c r="ACE137" s="159"/>
      <c r="ACF137" s="159"/>
      <c r="ACG137" s="159"/>
      <c r="ACH137" s="159"/>
      <c r="ACI137" s="159"/>
      <c r="ACJ137" s="159"/>
      <c r="ACK137" s="159"/>
      <c r="ACL137" s="159"/>
      <c r="ACM137" s="159"/>
      <c r="ACN137" s="159"/>
      <c r="ACO137" s="159"/>
      <c r="ACP137" s="159"/>
      <c r="ACQ137" s="159"/>
      <c r="ACR137" s="159"/>
      <c r="ACS137" s="159"/>
      <c r="ACT137" s="159"/>
      <c r="ACU137" s="159"/>
      <c r="ACV137" s="159"/>
      <c r="ACW137" s="159"/>
      <c r="ACX137" s="159"/>
      <c r="ACY137" s="159"/>
      <c r="ACZ137" s="159"/>
      <c r="ADA137" s="159"/>
      <c r="ADB137" s="159"/>
      <c r="ADC137" s="159"/>
      <c r="ADD137" s="159"/>
      <c r="ADE137" s="159"/>
      <c r="ADF137" s="159"/>
      <c r="ADG137" s="159"/>
      <c r="ADH137" s="159"/>
      <c r="ADI137" s="159"/>
      <c r="ADJ137" s="159"/>
      <c r="ADK137" s="159"/>
      <c r="ADL137" s="159"/>
      <c r="ADM137" s="159"/>
      <c r="ADN137" s="159"/>
      <c r="ADO137" s="159"/>
      <c r="ADP137" s="159"/>
      <c r="ADQ137" s="159"/>
      <c r="ADR137" s="159"/>
      <c r="ADS137" s="159"/>
      <c r="ADT137" s="159"/>
      <c r="ADU137" s="159"/>
      <c r="ADV137" s="159"/>
      <c r="ADW137" s="159"/>
      <c r="ADX137" s="159"/>
      <c r="ADY137" s="159"/>
      <c r="ADZ137" s="159"/>
      <c r="AEA137" s="159"/>
      <c r="AEB137" s="159"/>
      <c r="AEC137" s="159"/>
      <c r="AED137" s="159"/>
      <c r="AEE137" s="159"/>
      <c r="AEF137" s="159"/>
      <c r="AEG137" s="159"/>
      <c r="AEH137" s="159"/>
      <c r="AEI137" s="159"/>
      <c r="AEJ137" s="159"/>
      <c r="AEK137" s="159"/>
      <c r="AEL137" s="159"/>
      <c r="AEM137" s="159"/>
      <c r="AEN137" s="159"/>
      <c r="AEO137" s="159"/>
      <c r="AEP137" s="159"/>
      <c r="AEQ137" s="159"/>
      <c r="AER137" s="159"/>
      <c r="AES137" s="159"/>
      <c r="AET137" s="159"/>
      <c r="AEU137" s="159"/>
      <c r="AEV137" s="159"/>
      <c r="AEW137" s="159"/>
      <c r="AEX137" s="159"/>
      <c r="AEY137" s="159"/>
      <c r="AEZ137" s="159"/>
      <c r="AFA137" s="159"/>
      <c r="AFB137" s="159"/>
      <c r="AFC137" s="159"/>
      <c r="AFD137" s="159"/>
      <c r="AFE137" s="159"/>
      <c r="AFF137" s="159"/>
      <c r="AFG137" s="159"/>
      <c r="AFH137" s="159"/>
      <c r="AFI137" s="159"/>
      <c r="AFJ137" s="159"/>
      <c r="AFK137" s="159"/>
      <c r="AFL137" s="159"/>
      <c r="AFM137" s="159"/>
      <c r="AFN137" s="159"/>
      <c r="AFO137" s="159"/>
      <c r="AFP137" s="159"/>
      <c r="AFQ137" s="159"/>
      <c r="AFR137" s="159"/>
      <c r="AFS137" s="159"/>
      <c r="AFT137" s="159"/>
      <c r="AFU137" s="159"/>
      <c r="AFV137" s="159"/>
      <c r="AFW137" s="159"/>
      <c r="AFX137" s="159"/>
      <c r="AFY137" s="159"/>
      <c r="AFZ137" s="159"/>
      <c r="AGA137" s="159"/>
      <c r="AGB137" s="159"/>
      <c r="AGC137" s="159"/>
      <c r="AGD137" s="159"/>
      <c r="AGE137" s="159"/>
      <c r="AGF137" s="159"/>
      <c r="AGG137" s="159"/>
      <c r="AGH137" s="159"/>
      <c r="AGI137" s="159"/>
      <c r="AGJ137" s="159"/>
      <c r="AGK137" s="159"/>
      <c r="AGL137" s="159"/>
      <c r="AGM137" s="159"/>
      <c r="AGN137" s="159"/>
      <c r="AGO137" s="159"/>
      <c r="AGP137" s="159"/>
      <c r="AGQ137" s="159"/>
      <c r="AGR137" s="159"/>
      <c r="AGS137" s="159"/>
      <c r="AGT137" s="159"/>
      <c r="AGU137" s="159"/>
      <c r="AGV137" s="159"/>
      <c r="AGW137" s="159"/>
      <c r="AGX137" s="159"/>
      <c r="AGY137" s="159"/>
      <c r="AGZ137" s="159"/>
      <c r="AHA137" s="159"/>
      <c r="AHB137" s="159"/>
      <c r="AHC137" s="159"/>
      <c r="AHD137" s="159"/>
      <c r="AHE137" s="159"/>
      <c r="AHF137" s="159"/>
      <c r="AHG137" s="159"/>
      <c r="AHH137" s="159"/>
      <c r="AHI137" s="159"/>
      <c r="AHJ137" s="159"/>
      <c r="AHK137" s="159"/>
      <c r="AHL137" s="159"/>
      <c r="AHM137" s="159"/>
      <c r="AHN137" s="159"/>
      <c r="AHO137" s="159"/>
      <c r="AHP137" s="159"/>
      <c r="AHQ137" s="159"/>
      <c r="AHR137" s="159"/>
      <c r="AHS137" s="159"/>
      <c r="AHT137" s="159"/>
      <c r="AHU137" s="159"/>
      <c r="AHV137" s="159"/>
      <c r="AHW137" s="159"/>
      <c r="AHX137" s="159"/>
      <c r="AHY137" s="159"/>
      <c r="AHZ137" s="159"/>
      <c r="AIA137" s="159"/>
      <c r="AIB137" s="159"/>
      <c r="AIC137" s="159"/>
      <c r="AID137" s="159"/>
      <c r="AIE137" s="159"/>
      <c r="AIF137" s="159"/>
      <c r="AIG137" s="159"/>
      <c r="AIH137" s="159"/>
      <c r="AII137" s="159"/>
      <c r="AIJ137" s="159"/>
      <c r="AIK137" s="159"/>
      <c r="AIL137" s="159"/>
      <c r="AIM137" s="159"/>
      <c r="AIN137" s="159"/>
      <c r="AIO137" s="159"/>
      <c r="AIP137" s="159"/>
      <c r="AIQ137" s="159"/>
      <c r="AIR137" s="159"/>
      <c r="AIS137" s="159"/>
      <c r="AIT137" s="159"/>
      <c r="AIU137" s="159"/>
      <c r="AIV137" s="159"/>
      <c r="AIW137" s="159"/>
      <c r="AIX137" s="159"/>
      <c r="AIY137" s="159"/>
      <c r="AIZ137" s="159"/>
      <c r="AJA137" s="159"/>
      <c r="AJB137" s="159"/>
      <c r="AJC137" s="159"/>
      <c r="AJD137" s="159"/>
      <c r="AJE137" s="159"/>
      <c r="AJF137" s="159"/>
      <c r="AJG137" s="159"/>
      <c r="AJH137" s="159"/>
      <c r="AJI137" s="159"/>
      <c r="AJJ137" s="159"/>
      <c r="AJK137" s="159"/>
      <c r="AJL137" s="159"/>
      <c r="AJM137" s="159"/>
      <c r="AJN137" s="159"/>
      <c r="AJO137" s="159"/>
      <c r="AJP137" s="159"/>
      <c r="AJQ137" s="159"/>
      <c r="AJR137" s="159"/>
      <c r="AJS137" s="159"/>
      <c r="AJT137" s="159"/>
      <c r="AJU137" s="159"/>
      <c r="AJV137" s="159"/>
      <c r="AJW137" s="159"/>
      <c r="AJX137" s="159"/>
      <c r="AJY137" s="159"/>
      <c r="AJZ137" s="159"/>
      <c r="AKA137" s="159"/>
      <c r="AKB137" s="159"/>
      <c r="AKC137" s="159"/>
      <c r="AKD137" s="159"/>
      <c r="AKE137" s="159"/>
      <c r="AKF137" s="159"/>
      <c r="AKG137" s="159"/>
      <c r="AKH137" s="159"/>
      <c r="AKI137" s="159"/>
      <c r="AKJ137" s="159"/>
      <c r="AKK137" s="159"/>
      <c r="AKL137" s="159"/>
      <c r="AKM137" s="159"/>
      <c r="AKN137" s="159"/>
      <c r="AKO137" s="159"/>
      <c r="AKP137" s="159"/>
      <c r="AKQ137" s="159"/>
      <c r="AKR137" s="159"/>
      <c r="AKS137" s="159"/>
      <c r="AKT137" s="159"/>
      <c r="AKU137" s="159"/>
      <c r="AKV137" s="159"/>
      <c r="AKW137" s="159"/>
      <c r="AKX137" s="159"/>
      <c r="AKY137" s="159"/>
      <c r="AKZ137" s="159"/>
      <c r="ALA137" s="159"/>
      <c r="ALB137" s="159"/>
      <c r="ALC137" s="159"/>
      <c r="ALD137" s="159"/>
      <c r="ALE137" s="159"/>
      <c r="ALF137" s="159"/>
      <c r="ALG137" s="159"/>
      <c r="ALH137" s="159"/>
      <c r="ALI137" s="159"/>
      <c r="ALJ137" s="159"/>
      <c r="ALK137" s="159"/>
      <c r="ALL137" s="159"/>
      <c r="ALM137" s="159"/>
      <c r="ALN137" s="159"/>
      <c r="ALO137" s="159"/>
      <c r="ALP137" s="159"/>
      <c r="ALQ137" s="159"/>
      <c r="ALR137" s="159"/>
      <c r="ALS137" s="159"/>
      <c r="ALT137" s="159"/>
      <c r="ALU137" s="159"/>
      <c r="ALV137" s="159"/>
      <c r="ALW137" s="159"/>
      <c r="ALX137" s="159"/>
      <c r="ALY137" s="159"/>
      <c r="ALZ137" s="159"/>
      <c r="AMA137" s="159"/>
      <c r="AMB137" s="159"/>
      <c r="AMC137" s="159"/>
      <c r="AMD137" s="159"/>
      <c r="AME137" s="159"/>
      <c r="AMF137" s="159"/>
      <c r="AMG137" s="159"/>
      <c r="AMH137" s="159"/>
      <c r="AMI137" s="159"/>
      <c r="AMJ137" s="159"/>
      <c r="AMK137" s="159"/>
      <c r="AML137" s="159"/>
      <c r="AMM137" s="159"/>
      <c r="AMN137" s="159"/>
      <c r="AMO137" s="159"/>
    </row>
    <row r="138" spans="1:1029" s="161" customFormat="1" ht="26.25" thickBot="1" x14ac:dyDescent="0.3">
      <c r="A138" s="127">
        <v>46213</v>
      </c>
      <c r="B138" s="151" t="s">
        <v>105</v>
      </c>
      <c r="C138" s="151" t="s">
        <v>30</v>
      </c>
      <c r="D138" s="162" t="s">
        <v>31</v>
      </c>
      <c r="E138" s="150" t="s">
        <v>144</v>
      </c>
      <c r="F138" s="151" t="s">
        <v>10</v>
      </c>
      <c r="G138" s="151" t="s">
        <v>11</v>
      </c>
      <c r="H138" s="145" t="b">
        <f>IF(ISBLANK($B138),$W$53,IF(AND($B138=E138,$C138=F138,$D138=G138),$W$50,IF(AND($B138=E138,OR($C138=F138,$D138=G138)),$W$51+$W$52,IF(OR($B138=E138,AND($C138=F138,$D138=G138)),$W$51,IF(OR($C138=F138,$D138=G138),$W$52)))))</f>
        <v>0</v>
      </c>
      <c r="I138" s="130" t="s">
        <v>73</v>
      </c>
      <c r="J138" s="131" t="s">
        <v>54</v>
      </c>
      <c r="K138" s="131" t="s">
        <v>31</v>
      </c>
      <c r="L138" s="145">
        <f t="shared" si="13"/>
        <v>0.5</v>
      </c>
      <c r="M138" s="131" t="s">
        <v>14</v>
      </c>
      <c r="N138" s="131" t="s">
        <v>10</v>
      </c>
      <c r="O138" s="131" t="s">
        <v>11</v>
      </c>
      <c r="P138" s="145" t="b">
        <f t="shared" si="14"/>
        <v>0</v>
      </c>
      <c r="Q138" s="152" t="str">
        <f>M138</f>
        <v>Spinatspatzlen</v>
      </c>
      <c r="R138" s="151" t="str">
        <f>N138</f>
        <v>Leberkas</v>
      </c>
      <c r="S138" s="151" t="str">
        <f>O138</f>
        <v>Röstkartoffeln</v>
      </c>
      <c r="T138" s="145" t="b">
        <f t="shared" si="15"/>
        <v>0</v>
      </c>
      <c r="U138" s="159"/>
      <c r="V138" s="159"/>
      <c r="W138" s="159"/>
      <c r="X138" s="159"/>
      <c r="Y138" s="159"/>
      <c r="Z138" s="159"/>
      <c r="AA138" s="159"/>
      <c r="AB138" s="159"/>
      <c r="AC138" s="159"/>
      <c r="AD138" s="159"/>
      <c r="AE138" s="159"/>
      <c r="AF138" s="159"/>
      <c r="AG138" s="159"/>
      <c r="AH138" s="159"/>
      <c r="AI138" s="159"/>
      <c r="AJ138" s="159"/>
      <c r="AK138" s="159"/>
      <c r="AL138" s="159"/>
      <c r="AM138" s="159"/>
      <c r="AN138" s="159"/>
      <c r="AO138" s="159"/>
      <c r="AP138" s="159"/>
      <c r="AQ138" s="159"/>
      <c r="AR138" s="159"/>
      <c r="AS138" s="159"/>
      <c r="AT138" s="159"/>
      <c r="AU138" s="159"/>
      <c r="AV138" s="159"/>
      <c r="AW138" s="159"/>
      <c r="AX138" s="159"/>
      <c r="AY138" s="159"/>
      <c r="AZ138" s="159"/>
      <c r="BA138" s="159"/>
      <c r="BB138" s="159"/>
      <c r="BC138" s="159"/>
      <c r="BD138" s="159"/>
      <c r="BE138" s="159"/>
      <c r="BF138" s="159"/>
      <c r="BG138" s="159"/>
      <c r="BH138" s="159"/>
      <c r="BI138" s="159"/>
      <c r="BJ138" s="159"/>
      <c r="BK138" s="159"/>
      <c r="BL138" s="159"/>
      <c r="BM138" s="159"/>
      <c r="BN138" s="159"/>
      <c r="BO138" s="159"/>
      <c r="BP138" s="159"/>
      <c r="BQ138" s="159"/>
      <c r="BR138" s="159"/>
      <c r="BS138" s="159"/>
      <c r="BT138" s="159"/>
      <c r="BU138" s="159"/>
      <c r="BV138" s="159"/>
      <c r="BW138" s="159"/>
      <c r="BX138" s="159"/>
      <c r="BY138" s="159"/>
      <c r="BZ138" s="159"/>
      <c r="CA138" s="159"/>
      <c r="CB138" s="159"/>
      <c r="CC138" s="159"/>
      <c r="CD138" s="159"/>
      <c r="CE138" s="159"/>
      <c r="CF138" s="159"/>
      <c r="CG138" s="159"/>
      <c r="CH138" s="159"/>
      <c r="CI138" s="159"/>
      <c r="CJ138" s="159"/>
      <c r="CK138" s="159"/>
      <c r="CL138" s="159"/>
      <c r="CM138" s="159"/>
      <c r="CN138" s="159"/>
      <c r="CO138" s="159"/>
      <c r="CP138" s="159"/>
      <c r="CQ138" s="159"/>
      <c r="CR138" s="159"/>
      <c r="CS138" s="159"/>
      <c r="CT138" s="159"/>
      <c r="CU138" s="159"/>
      <c r="CV138" s="159"/>
      <c r="CW138" s="159"/>
      <c r="CX138" s="159"/>
      <c r="CY138" s="159"/>
      <c r="CZ138" s="159"/>
      <c r="DA138" s="159"/>
      <c r="DB138" s="159"/>
      <c r="DC138" s="159"/>
      <c r="DD138" s="159"/>
      <c r="DE138" s="159"/>
      <c r="DF138" s="159"/>
      <c r="DG138" s="159"/>
      <c r="DH138" s="159"/>
      <c r="DI138" s="159"/>
      <c r="DJ138" s="159"/>
      <c r="DK138" s="159"/>
      <c r="DL138" s="159"/>
      <c r="DM138" s="159"/>
      <c r="DN138" s="159"/>
      <c r="DO138" s="159"/>
      <c r="DP138" s="159"/>
      <c r="DQ138" s="159"/>
      <c r="DR138" s="159"/>
      <c r="DS138" s="159"/>
      <c r="DT138" s="159"/>
      <c r="DU138" s="159"/>
      <c r="DV138" s="159"/>
      <c r="DW138" s="159"/>
      <c r="DX138" s="159"/>
      <c r="DY138" s="159"/>
      <c r="DZ138" s="159"/>
      <c r="EA138" s="159"/>
      <c r="EB138" s="159"/>
      <c r="EC138" s="159"/>
      <c r="ED138" s="159"/>
      <c r="EE138" s="159"/>
      <c r="EF138" s="159"/>
      <c r="EG138" s="159"/>
      <c r="EH138" s="159"/>
      <c r="EI138" s="159"/>
      <c r="EJ138" s="159"/>
      <c r="EK138" s="159"/>
      <c r="EL138" s="159"/>
      <c r="EM138" s="159"/>
      <c r="EN138" s="159"/>
      <c r="EO138" s="159"/>
      <c r="EP138" s="159"/>
      <c r="EQ138" s="159"/>
      <c r="ER138" s="159"/>
      <c r="ES138" s="159"/>
      <c r="ET138" s="159"/>
      <c r="EU138" s="159"/>
      <c r="EV138" s="159"/>
      <c r="EW138" s="159"/>
      <c r="EX138" s="159"/>
      <c r="EY138" s="159"/>
      <c r="EZ138" s="159"/>
      <c r="FA138" s="159"/>
      <c r="FB138" s="159"/>
      <c r="FC138" s="159"/>
      <c r="FD138" s="159"/>
      <c r="FE138" s="159"/>
      <c r="FF138" s="159"/>
      <c r="FG138" s="159"/>
      <c r="FH138" s="159"/>
      <c r="FI138" s="159"/>
      <c r="FJ138" s="159"/>
      <c r="FK138" s="159"/>
      <c r="FL138" s="159"/>
      <c r="FM138" s="159"/>
      <c r="FN138" s="159"/>
      <c r="FO138" s="159"/>
      <c r="FP138" s="159"/>
      <c r="FQ138" s="159"/>
      <c r="FR138" s="159"/>
      <c r="FS138" s="159"/>
      <c r="FT138" s="159"/>
      <c r="FU138" s="159"/>
      <c r="FV138" s="159"/>
      <c r="FW138" s="159"/>
      <c r="FX138" s="159"/>
      <c r="FY138" s="159"/>
      <c r="FZ138" s="159"/>
      <c r="GA138" s="159"/>
      <c r="GB138" s="159"/>
      <c r="GC138" s="159"/>
      <c r="GD138" s="159"/>
      <c r="GE138" s="159"/>
      <c r="GF138" s="159"/>
      <c r="GG138" s="159"/>
      <c r="GH138" s="159"/>
      <c r="GI138" s="159"/>
      <c r="GJ138" s="159"/>
      <c r="GK138" s="159"/>
      <c r="GL138" s="159"/>
      <c r="GM138" s="159"/>
      <c r="GN138" s="159"/>
      <c r="GO138" s="159"/>
      <c r="GP138" s="159"/>
      <c r="GQ138" s="159"/>
      <c r="GR138" s="159"/>
      <c r="GS138" s="159"/>
      <c r="GT138" s="159"/>
      <c r="GU138" s="159"/>
      <c r="GV138" s="159"/>
      <c r="GW138" s="159"/>
      <c r="GX138" s="159"/>
      <c r="GY138" s="159"/>
      <c r="GZ138" s="159"/>
      <c r="HA138" s="159"/>
      <c r="HB138" s="159"/>
      <c r="HC138" s="159"/>
      <c r="HD138" s="159"/>
      <c r="HE138" s="159"/>
      <c r="HF138" s="159"/>
      <c r="HG138" s="159"/>
      <c r="HH138" s="159"/>
      <c r="HI138" s="159"/>
      <c r="HJ138" s="159"/>
      <c r="HK138" s="159"/>
      <c r="HL138" s="159"/>
      <c r="HM138" s="159"/>
      <c r="HN138" s="159"/>
      <c r="HO138" s="159"/>
      <c r="HP138" s="159"/>
      <c r="HQ138" s="159"/>
      <c r="HR138" s="159"/>
      <c r="HS138" s="159"/>
      <c r="HT138" s="159"/>
      <c r="HU138" s="159"/>
      <c r="HV138" s="159"/>
      <c r="HW138" s="159"/>
      <c r="HX138" s="159"/>
      <c r="HY138" s="159"/>
      <c r="HZ138" s="159"/>
      <c r="IA138" s="159"/>
      <c r="IB138" s="159"/>
      <c r="IC138" s="159"/>
      <c r="ID138" s="159"/>
      <c r="IE138" s="159"/>
      <c r="IF138" s="159"/>
      <c r="IG138" s="159"/>
      <c r="IH138" s="159"/>
      <c r="II138" s="159"/>
      <c r="IJ138" s="159"/>
      <c r="IK138" s="159"/>
      <c r="IL138" s="159"/>
      <c r="IM138" s="159"/>
      <c r="IN138" s="159"/>
      <c r="IO138" s="159"/>
      <c r="IP138" s="159"/>
      <c r="IQ138" s="159"/>
      <c r="IR138" s="159"/>
      <c r="IS138" s="159"/>
      <c r="IT138" s="159"/>
      <c r="IU138" s="159"/>
      <c r="IV138" s="159"/>
      <c r="IW138" s="159"/>
      <c r="IX138" s="159"/>
      <c r="IY138" s="159"/>
      <c r="IZ138" s="159"/>
      <c r="JA138" s="159"/>
      <c r="JB138" s="159"/>
      <c r="JC138" s="159"/>
      <c r="JD138" s="159"/>
      <c r="JE138" s="159"/>
      <c r="JF138" s="159"/>
      <c r="JG138" s="159"/>
      <c r="JH138" s="159"/>
      <c r="JI138" s="159"/>
      <c r="JJ138" s="159"/>
      <c r="JK138" s="159"/>
      <c r="JL138" s="159"/>
      <c r="JM138" s="159"/>
      <c r="JN138" s="159"/>
      <c r="JO138" s="159"/>
      <c r="JP138" s="159"/>
      <c r="JQ138" s="159"/>
      <c r="JR138" s="159"/>
      <c r="JS138" s="159"/>
      <c r="JT138" s="159"/>
      <c r="JU138" s="159"/>
      <c r="JV138" s="159"/>
      <c r="JW138" s="159"/>
      <c r="JX138" s="159"/>
      <c r="JY138" s="159"/>
      <c r="JZ138" s="159"/>
      <c r="KA138" s="159"/>
      <c r="KB138" s="159"/>
      <c r="KC138" s="159"/>
      <c r="KD138" s="159"/>
      <c r="KE138" s="159"/>
      <c r="KF138" s="159"/>
      <c r="KG138" s="159"/>
      <c r="KH138" s="159"/>
      <c r="KI138" s="159"/>
      <c r="KJ138" s="159"/>
      <c r="KK138" s="159"/>
      <c r="KL138" s="159"/>
      <c r="KM138" s="159"/>
      <c r="KN138" s="159"/>
      <c r="KO138" s="159"/>
      <c r="KP138" s="159"/>
      <c r="KQ138" s="159"/>
      <c r="KR138" s="159"/>
      <c r="KS138" s="159"/>
      <c r="KT138" s="159"/>
      <c r="KU138" s="159"/>
      <c r="KV138" s="159"/>
      <c r="KW138" s="159"/>
      <c r="KX138" s="159"/>
      <c r="KY138" s="159"/>
      <c r="KZ138" s="159"/>
      <c r="LA138" s="159"/>
      <c r="LB138" s="159"/>
      <c r="LC138" s="159"/>
      <c r="LD138" s="159"/>
      <c r="LE138" s="159"/>
      <c r="LF138" s="159"/>
      <c r="LG138" s="159"/>
      <c r="LH138" s="159"/>
      <c r="LI138" s="159"/>
      <c r="LJ138" s="159"/>
      <c r="LK138" s="159"/>
      <c r="LL138" s="159"/>
      <c r="LM138" s="159"/>
      <c r="LN138" s="159"/>
      <c r="LO138" s="159"/>
      <c r="LP138" s="159"/>
      <c r="LQ138" s="159"/>
      <c r="LR138" s="159"/>
      <c r="LS138" s="159"/>
      <c r="LT138" s="159"/>
      <c r="LU138" s="159"/>
      <c r="LV138" s="159"/>
      <c r="LW138" s="159"/>
      <c r="LX138" s="159"/>
      <c r="LY138" s="159"/>
      <c r="LZ138" s="159"/>
      <c r="MA138" s="159"/>
      <c r="MB138" s="159"/>
      <c r="MC138" s="159"/>
      <c r="MD138" s="159"/>
      <c r="ME138" s="159"/>
      <c r="MF138" s="159"/>
      <c r="MG138" s="159"/>
      <c r="MH138" s="159"/>
      <c r="MI138" s="159"/>
      <c r="MJ138" s="159"/>
      <c r="MK138" s="159"/>
      <c r="ML138" s="159"/>
      <c r="MM138" s="159"/>
      <c r="MN138" s="159"/>
      <c r="MO138" s="159"/>
      <c r="MP138" s="159"/>
      <c r="MQ138" s="159"/>
      <c r="MR138" s="159"/>
      <c r="MS138" s="159"/>
      <c r="MT138" s="159"/>
      <c r="MU138" s="159"/>
      <c r="MV138" s="159"/>
      <c r="MW138" s="159"/>
      <c r="MX138" s="159"/>
      <c r="MY138" s="159"/>
      <c r="MZ138" s="159"/>
      <c r="NA138" s="159"/>
      <c r="NB138" s="159"/>
      <c r="NC138" s="159"/>
      <c r="ND138" s="159"/>
      <c r="NE138" s="159"/>
      <c r="NF138" s="159"/>
      <c r="NG138" s="159"/>
      <c r="NH138" s="159"/>
      <c r="NI138" s="159"/>
      <c r="NJ138" s="159"/>
      <c r="NK138" s="159"/>
      <c r="NL138" s="159"/>
      <c r="NM138" s="159"/>
      <c r="NN138" s="159"/>
      <c r="NO138" s="159"/>
      <c r="NP138" s="159"/>
      <c r="NQ138" s="159"/>
      <c r="NR138" s="159"/>
      <c r="NS138" s="159"/>
      <c r="NT138" s="159"/>
      <c r="NU138" s="159"/>
      <c r="NV138" s="159"/>
      <c r="NW138" s="159"/>
      <c r="NX138" s="159"/>
      <c r="NY138" s="159"/>
      <c r="NZ138" s="159"/>
      <c r="OA138" s="159"/>
      <c r="OB138" s="159"/>
      <c r="OC138" s="159"/>
      <c r="OD138" s="159"/>
      <c r="OE138" s="159"/>
      <c r="OF138" s="159"/>
      <c r="OG138" s="159"/>
      <c r="OH138" s="159"/>
      <c r="OI138" s="159"/>
      <c r="OJ138" s="159"/>
      <c r="OK138" s="159"/>
      <c r="OL138" s="159"/>
      <c r="OM138" s="159"/>
      <c r="ON138" s="159"/>
      <c r="OO138" s="159"/>
      <c r="OP138" s="159"/>
      <c r="OQ138" s="159"/>
      <c r="OR138" s="159"/>
      <c r="OS138" s="159"/>
      <c r="OT138" s="159"/>
      <c r="OU138" s="159"/>
      <c r="OV138" s="159"/>
      <c r="OW138" s="159"/>
      <c r="OX138" s="159"/>
      <c r="OY138" s="159"/>
      <c r="OZ138" s="159"/>
      <c r="PA138" s="159"/>
      <c r="PB138" s="159"/>
      <c r="PC138" s="159"/>
      <c r="PD138" s="159"/>
      <c r="PE138" s="159"/>
      <c r="PF138" s="159"/>
      <c r="PG138" s="159"/>
      <c r="PH138" s="159"/>
      <c r="PI138" s="159"/>
      <c r="PJ138" s="159"/>
      <c r="PK138" s="159"/>
      <c r="PL138" s="159"/>
      <c r="PM138" s="159"/>
      <c r="PN138" s="159"/>
      <c r="PO138" s="159"/>
      <c r="PP138" s="159"/>
      <c r="PQ138" s="159"/>
      <c r="PR138" s="159"/>
      <c r="PS138" s="159"/>
      <c r="PT138" s="159"/>
      <c r="PU138" s="159"/>
      <c r="PV138" s="159"/>
      <c r="PW138" s="159"/>
      <c r="PX138" s="159"/>
      <c r="PY138" s="159"/>
      <c r="PZ138" s="159"/>
      <c r="QA138" s="159"/>
      <c r="QB138" s="159"/>
      <c r="QC138" s="159"/>
      <c r="QD138" s="159"/>
      <c r="QE138" s="159"/>
      <c r="QF138" s="159"/>
      <c r="QG138" s="159"/>
      <c r="QH138" s="159"/>
      <c r="QI138" s="159"/>
      <c r="QJ138" s="159"/>
      <c r="QK138" s="159"/>
      <c r="QL138" s="159"/>
      <c r="QM138" s="159"/>
      <c r="QN138" s="159"/>
      <c r="QO138" s="159"/>
      <c r="QP138" s="159"/>
      <c r="QQ138" s="159"/>
      <c r="QR138" s="159"/>
      <c r="QS138" s="159"/>
      <c r="QT138" s="159"/>
      <c r="QU138" s="159"/>
      <c r="QV138" s="159"/>
      <c r="QW138" s="159"/>
      <c r="QX138" s="159"/>
      <c r="QY138" s="159"/>
      <c r="QZ138" s="159"/>
      <c r="RA138" s="159"/>
      <c r="RB138" s="159"/>
      <c r="RC138" s="159"/>
      <c r="RD138" s="159"/>
      <c r="RE138" s="159"/>
      <c r="RF138" s="159"/>
      <c r="RG138" s="159"/>
      <c r="RH138" s="159"/>
      <c r="RI138" s="159"/>
      <c r="RJ138" s="159"/>
      <c r="RK138" s="159"/>
      <c r="RL138" s="159"/>
      <c r="RM138" s="159"/>
      <c r="RN138" s="159"/>
      <c r="RO138" s="159"/>
      <c r="RP138" s="159"/>
      <c r="RQ138" s="159"/>
      <c r="RR138" s="159"/>
      <c r="RS138" s="159"/>
      <c r="RT138" s="159"/>
      <c r="RU138" s="159"/>
      <c r="RV138" s="159"/>
      <c r="RW138" s="159"/>
      <c r="RX138" s="159"/>
      <c r="RY138" s="159"/>
      <c r="RZ138" s="159"/>
      <c r="SA138" s="159"/>
      <c r="SB138" s="159"/>
      <c r="SC138" s="159"/>
      <c r="SD138" s="159"/>
      <c r="SE138" s="159"/>
      <c r="SF138" s="159"/>
      <c r="SG138" s="159"/>
      <c r="SH138" s="159"/>
      <c r="SI138" s="159"/>
      <c r="SJ138" s="159"/>
      <c r="SK138" s="159"/>
      <c r="SL138" s="159"/>
      <c r="SM138" s="159"/>
      <c r="SN138" s="159"/>
      <c r="SO138" s="159"/>
      <c r="SP138" s="159"/>
      <c r="SQ138" s="159"/>
      <c r="SR138" s="159"/>
      <c r="SS138" s="159"/>
      <c r="ST138" s="159"/>
      <c r="SU138" s="159"/>
      <c r="SV138" s="159"/>
      <c r="SW138" s="159"/>
      <c r="SX138" s="159"/>
      <c r="SY138" s="159"/>
      <c r="SZ138" s="159"/>
      <c r="TA138" s="159"/>
      <c r="TB138" s="159"/>
      <c r="TC138" s="159"/>
      <c r="TD138" s="159"/>
      <c r="TE138" s="159"/>
      <c r="TF138" s="159"/>
      <c r="TG138" s="159"/>
      <c r="TH138" s="159"/>
      <c r="TI138" s="159"/>
      <c r="TJ138" s="159"/>
      <c r="TK138" s="159"/>
      <c r="TL138" s="159"/>
      <c r="TM138" s="159"/>
      <c r="TN138" s="159"/>
      <c r="TO138" s="159"/>
      <c r="TP138" s="159"/>
      <c r="TQ138" s="159"/>
      <c r="TR138" s="159"/>
      <c r="TS138" s="159"/>
      <c r="TT138" s="159"/>
      <c r="TU138" s="159"/>
      <c r="TV138" s="159"/>
      <c r="TW138" s="159"/>
      <c r="TX138" s="159"/>
      <c r="TY138" s="159"/>
      <c r="TZ138" s="159"/>
      <c r="UA138" s="159"/>
      <c r="UB138" s="159"/>
      <c r="UC138" s="159"/>
      <c r="UD138" s="159"/>
      <c r="UE138" s="159"/>
      <c r="UF138" s="159"/>
      <c r="UG138" s="159"/>
      <c r="UH138" s="159"/>
      <c r="UI138" s="159"/>
      <c r="UJ138" s="159"/>
      <c r="UK138" s="159"/>
      <c r="UL138" s="159"/>
      <c r="UM138" s="159"/>
      <c r="UN138" s="159"/>
      <c r="UO138" s="159"/>
      <c r="UP138" s="159"/>
      <c r="UQ138" s="159"/>
      <c r="UR138" s="159"/>
      <c r="US138" s="159"/>
      <c r="UT138" s="159"/>
      <c r="UU138" s="159"/>
      <c r="UV138" s="159"/>
      <c r="UW138" s="159"/>
      <c r="UX138" s="159"/>
      <c r="UY138" s="159"/>
      <c r="UZ138" s="159"/>
      <c r="VA138" s="159"/>
      <c r="VB138" s="159"/>
      <c r="VC138" s="159"/>
      <c r="VD138" s="159"/>
      <c r="VE138" s="159"/>
      <c r="VF138" s="159"/>
      <c r="VG138" s="159"/>
      <c r="VH138" s="159"/>
      <c r="VI138" s="159"/>
      <c r="VJ138" s="159"/>
      <c r="VK138" s="159"/>
      <c r="VL138" s="159"/>
      <c r="VM138" s="159"/>
      <c r="VN138" s="159"/>
      <c r="VO138" s="159"/>
      <c r="VP138" s="159"/>
      <c r="VQ138" s="159"/>
      <c r="VR138" s="159"/>
      <c r="VS138" s="159"/>
      <c r="VT138" s="159"/>
      <c r="VU138" s="159"/>
      <c r="VV138" s="159"/>
      <c r="VW138" s="159"/>
      <c r="VX138" s="159"/>
      <c r="VY138" s="159"/>
      <c r="VZ138" s="159"/>
      <c r="WA138" s="159"/>
      <c r="WB138" s="159"/>
      <c r="WC138" s="159"/>
      <c r="WD138" s="159"/>
      <c r="WE138" s="159"/>
      <c r="WF138" s="159"/>
      <c r="WG138" s="159"/>
      <c r="WH138" s="159"/>
      <c r="WI138" s="159"/>
      <c r="WJ138" s="159"/>
      <c r="WK138" s="159"/>
      <c r="WL138" s="159"/>
      <c r="WM138" s="159"/>
      <c r="WN138" s="159"/>
      <c r="WO138" s="159"/>
      <c r="WP138" s="159"/>
      <c r="WQ138" s="159"/>
      <c r="WR138" s="159"/>
      <c r="WS138" s="159"/>
      <c r="WT138" s="159"/>
      <c r="WU138" s="159"/>
      <c r="WV138" s="159"/>
      <c r="WW138" s="159"/>
      <c r="WX138" s="159"/>
      <c r="WY138" s="159"/>
      <c r="WZ138" s="159"/>
      <c r="XA138" s="159"/>
      <c r="XB138" s="159"/>
      <c r="XC138" s="159"/>
      <c r="XD138" s="159"/>
      <c r="XE138" s="159"/>
      <c r="XF138" s="159"/>
      <c r="XG138" s="159"/>
      <c r="XH138" s="159"/>
      <c r="XI138" s="159"/>
      <c r="XJ138" s="159"/>
      <c r="XK138" s="159"/>
      <c r="XL138" s="159"/>
      <c r="XM138" s="159"/>
      <c r="XN138" s="159"/>
      <c r="XO138" s="159"/>
      <c r="XP138" s="159"/>
      <c r="XQ138" s="159"/>
      <c r="XR138" s="159"/>
      <c r="XS138" s="159"/>
      <c r="XT138" s="159"/>
      <c r="XU138" s="159"/>
      <c r="XV138" s="159"/>
      <c r="XW138" s="159"/>
      <c r="XX138" s="159"/>
      <c r="XY138" s="159"/>
      <c r="XZ138" s="159"/>
      <c r="YA138" s="159"/>
      <c r="YB138" s="159"/>
      <c r="YC138" s="159"/>
      <c r="YD138" s="159"/>
      <c r="YE138" s="159"/>
      <c r="YF138" s="159"/>
      <c r="YG138" s="159"/>
      <c r="YH138" s="159"/>
      <c r="YI138" s="159"/>
      <c r="YJ138" s="159"/>
      <c r="YK138" s="159"/>
      <c r="YL138" s="159"/>
      <c r="YM138" s="159"/>
      <c r="YN138" s="159"/>
      <c r="YO138" s="159"/>
      <c r="YP138" s="159"/>
      <c r="YQ138" s="159"/>
      <c r="YR138" s="159"/>
      <c r="YS138" s="159"/>
      <c r="YT138" s="159"/>
      <c r="YU138" s="159"/>
      <c r="YV138" s="159"/>
      <c r="YW138" s="159"/>
      <c r="YX138" s="159"/>
      <c r="YY138" s="159"/>
      <c r="YZ138" s="159"/>
      <c r="ZA138" s="159"/>
      <c r="ZB138" s="159"/>
      <c r="ZC138" s="159"/>
      <c r="ZD138" s="159"/>
      <c r="ZE138" s="159"/>
      <c r="ZF138" s="159"/>
      <c r="ZG138" s="159"/>
      <c r="ZH138" s="159"/>
      <c r="ZI138" s="159"/>
      <c r="ZJ138" s="159"/>
      <c r="ZK138" s="159"/>
      <c r="ZL138" s="159"/>
      <c r="ZM138" s="159"/>
      <c r="ZN138" s="159"/>
      <c r="ZO138" s="159"/>
      <c r="ZP138" s="159"/>
      <c r="ZQ138" s="159"/>
      <c r="ZR138" s="159"/>
      <c r="ZS138" s="159"/>
      <c r="ZT138" s="159"/>
      <c r="ZU138" s="159"/>
      <c r="ZV138" s="159"/>
      <c r="ZW138" s="159"/>
      <c r="ZX138" s="159"/>
      <c r="ZY138" s="159"/>
      <c r="ZZ138" s="159"/>
      <c r="AAA138" s="159"/>
      <c r="AAB138" s="159"/>
      <c r="AAC138" s="159"/>
      <c r="AAD138" s="159"/>
      <c r="AAE138" s="159"/>
      <c r="AAF138" s="159"/>
      <c r="AAG138" s="159"/>
      <c r="AAH138" s="159"/>
      <c r="AAI138" s="159"/>
      <c r="AAJ138" s="159"/>
      <c r="AAK138" s="159"/>
      <c r="AAL138" s="159"/>
      <c r="AAM138" s="159"/>
      <c r="AAN138" s="159"/>
      <c r="AAO138" s="159"/>
      <c r="AAP138" s="159"/>
      <c r="AAQ138" s="159"/>
      <c r="AAR138" s="159"/>
      <c r="AAS138" s="159"/>
      <c r="AAT138" s="159"/>
      <c r="AAU138" s="159"/>
      <c r="AAV138" s="159"/>
      <c r="AAW138" s="159"/>
      <c r="AAX138" s="159"/>
      <c r="AAY138" s="159"/>
      <c r="AAZ138" s="159"/>
      <c r="ABA138" s="159"/>
      <c r="ABB138" s="159"/>
      <c r="ABC138" s="159"/>
      <c r="ABD138" s="159"/>
      <c r="ABE138" s="159"/>
      <c r="ABF138" s="159"/>
      <c r="ABG138" s="159"/>
      <c r="ABH138" s="159"/>
      <c r="ABI138" s="159"/>
      <c r="ABJ138" s="159"/>
      <c r="ABK138" s="159"/>
      <c r="ABL138" s="159"/>
      <c r="ABM138" s="159"/>
      <c r="ABN138" s="159"/>
      <c r="ABO138" s="159"/>
      <c r="ABP138" s="159"/>
      <c r="ABQ138" s="159"/>
      <c r="ABR138" s="159"/>
      <c r="ABS138" s="159"/>
      <c r="ABT138" s="159"/>
      <c r="ABU138" s="159"/>
      <c r="ABV138" s="159"/>
      <c r="ABW138" s="159"/>
      <c r="ABX138" s="159"/>
      <c r="ABY138" s="159"/>
      <c r="ABZ138" s="159"/>
      <c r="ACA138" s="159"/>
      <c r="ACB138" s="159"/>
      <c r="ACC138" s="159"/>
      <c r="ACD138" s="159"/>
      <c r="ACE138" s="159"/>
      <c r="ACF138" s="159"/>
      <c r="ACG138" s="159"/>
      <c r="ACH138" s="159"/>
      <c r="ACI138" s="159"/>
      <c r="ACJ138" s="159"/>
      <c r="ACK138" s="159"/>
      <c r="ACL138" s="159"/>
      <c r="ACM138" s="159"/>
      <c r="ACN138" s="159"/>
      <c r="ACO138" s="159"/>
      <c r="ACP138" s="159"/>
      <c r="ACQ138" s="159"/>
      <c r="ACR138" s="159"/>
      <c r="ACS138" s="159"/>
      <c r="ACT138" s="159"/>
      <c r="ACU138" s="159"/>
      <c r="ACV138" s="159"/>
      <c r="ACW138" s="159"/>
      <c r="ACX138" s="159"/>
      <c r="ACY138" s="159"/>
      <c r="ACZ138" s="159"/>
      <c r="ADA138" s="159"/>
      <c r="ADB138" s="159"/>
      <c r="ADC138" s="159"/>
      <c r="ADD138" s="159"/>
      <c r="ADE138" s="159"/>
      <c r="ADF138" s="159"/>
      <c r="ADG138" s="159"/>
      <c r="ADH138" s="159"/>
      <c r="ADI138" s="159"/>
      <c r="ADJ138" s="159"/>
      <c r="ADK138" s="159"/>
      <c r="ADL138" s="159"/>
      <c r="ADM138" s="159"/>
      <c r="ADN138" s="159"/>
      <c r="ADO138" s="159"/>
      <c r="ADP138" s="159"/>
      <c r="ADQ138" s="159"/>
      <c r="ADR138" s="159"/>
      <c r="ADS138" s="159"/>
      <c r="ADT138" s="159"/>
      <c r="ADU138" s="159"/>
      <c r="ADV138" s="159"/>
      <c r="ADW138" s="159"/>
      <c r="ADX138" s="159"/>
      <c r="ADY138" s="159"/>
      <c r="ADZ138" s="159"/>
      <c r="AEA138" s="159"/>
      <c r="AEB138" s="159"/>
      <c r="AEC138" s="159"/>
      <c r="AED138" s="159"/>
      <c r="AEE138" s="159"/>
      <c r="AEF138" s="159"/>
      <c r="AEG138" s="159"/>
      <c r="AEH138" s="159"/>
      <c r="AEI138" s="159"/>
      <c r="AEJ138" s="159"/>
      <c r="AEK138" s="159"/>
      <c r="AEL138" s="159"/>
      <c r="AEM138" s="159"/>
      <c r="AEN138" s="159"/>
      <c r="AEO138" s="159"/>
      <c r="AEP138" s="159"/>
      <c r="AEQ138" s="159"/>
      <c r="AER138" s="159"/>
      <c r="AES138" s="159"/>
      <c r="AET138" s="159"/>
      <c r="AEU138" s="159"/>
      <c r="AEV138" s="159"/>
      <c r="AEW138" s="159"/>
      <c r="AEX138" s="159"/>
      <c r="AEY138" s="159"/>
      <c r="AEZ138" s="159"/>
      <c r="AFA138" s="159"/>
      <c r="AFB138" s="159"/>
      <c r="AFC138" s="159"/>
      <c r="AFD138" s="159"/>
      <c r="AFE138" s="159"/>
      <c r="AFF138" s="159"/>
      <c r="AFG138" s="159"/>
      <c r="AFH138" s="159"/>
      <c r="AFI138" s="159"/>
      <c r="AFJ138" s="159"/>
      <c r="AFK138" s="159"/>
      <c r="AFL138" s="159"/>
      <c r="AFM138" s="159"/>
      <c r="AFN138" s="159"/>
      <c r="AFO138" s="159"/>
      <c r="AFP138" s="159"/>
      <c r="AFQ138" s="159"/>
      <c r="AFR138" s="159"/>
      <c r="AFS138" s="159"/>
      <c r="AFT138" s="159"/>
      <c r="AFU138" s="159"/>
      <c r="AFV138" s="159"/>
      <c r="AFW138" s="159"/>
      <c r="AFX138" s="159"/>
      <c r="AFY138" s="159"/>
      <c r="AFZ138" s="159"/>
      <c r="AGA138" s="159"/>
      <c r="AGB138" s="159"/>
      <c r="AGC138" s="159"/>
      <c r="AGD138" s="159"/>
      <c r="AGE138" s="159"/>
      <c r="AGF138" s="159"/>
      <c r="AGG138" s="159"/>
      <c r="AGH138" s="159"/>
      <c r="AGI138" s="159"/>
      <c r="AGJ138" s="159"/>
      <c r="AGK138" s="159"/>
      <c r="AGL138" s="159"/>
      <c r="AGM138" s="159"/>
      <c r="AGN138" s="159"/>
      <c r="AGO138" s="159"/>
      <c r="AGP138" s="159"/>
      <c r="AGQ138" s="159"/>
      <c r="AGR138" s="159"/>
      <c r="AGS138" s="159"/>
      <c r="AGT138" s="159"/>
      <c r="AGU138" s="159"/>
      <c r="AGV138" s="159"/>
      <c r="AGW138" s="159"/>
      <c r="AGX138" s="159"/>
      <c r="AGY138" s="159"/>
      <c r="AGZ138" s="159"/>
      <c r="AHA138" s="159"/>
      <c r="AHB138" s="159"/>
      <c r="AHC138" s="159"/>
      <c r="AHD138" s="159"/>
      <c r="AHE138" s="159"/>
      <c r="AHF138" s="159"/>
      <c r="AHG138" s="159"/>
      <c r="AHH138" s="159"/>
      <c r="AHI138" s="159"/>
      <c r="AHJ138" s="159"/>
      <c r="AHK138" s="159"/>
      <c r="AHL138" s="159"/>
      <c r="AHM138" s="159"/>
      <c r="AHN138" s="159"/>
      <c r="AHO138" s="159"/>
      <c r="AHP138" s="159"/>
      <c r="AHQ138" s="159"/>
      <c r="AHR138" s="159"/>
      <c r="AHS138" s="159"/>
      <c r="AHT138" s="159"/>
      <c r="AHU138" s="159"/>
      <c r="AHV138" s="159"/>
      <c r="AHW138" s="159"/>
      <c r="AHX138" s="159"/>
      <c r="AHY138" s="159"/>
      <c r="AHZ138" s="159"/>
      <c r="AIA138" s="159"/>
      <c r="AIB138" s="159"/>
      <c r="AIC138" s="159"/>
      <c r="AID138" s="159"/>
      <c r="AIE138" s="159"/>
      <c r="AIF138" s="159"/>
      <c r="AIG138" s="159"/>
      <c r="AIH138" s="159"/>
      <c r="AII138" s="159"/>
      <c r="AIJ138" s="159"/>
      <c r="AIK138" s="159"/>
      <c r="AIL138" s="159"/>
      <c r="AIM138" s="159"/>
      <c r="AIN138" s="159"/>
      <c r="AIO138" s="159"/>
      <c r="AIP138" s="159"/>
      <c r="AIQ138" s="159"/>
      <c r="AIR138" s="159"/>
      <c r="AIS138" s="159"/>
      <c r="AIT138" s="159"/>
      <c r="AIU138" s="159"/>
      <c r="AIV138" s="159"/>
      <c r="AIW138" s="159"/>
      <c r="AIX138" s="159"/>
      <c r="AIY138" s="159"/>
      <c r="AIZ138" s="159"/>
      <c r="AJA138" s="159"/>
      <c r="AJB138" s="159"/>
      <c r="AJC138" s="159"/>
      <c r="AJD138" s="159"/>
      <c r="AJE138" s="159"/>
      <c r="AJF138" s="159"/>
      <c r="AJG138" s="159"/>
      <c r="AJH138" s="159"/>
      <c r="AJI138" s="159"/>
      <c r="AJJ138" s="159"/>
      <c r="AJK138" s="159"/>
      <c r="AJL138" s="159"/>
      <c r="AJM138" s="159"/>
      <c r="AJN138" s="159"/>
      <c r="AJO138" s="159"/>
      <c r="AJP138" s="159"/>
      <c r="AJQ138" s="159"/>
      <c r="AJR138" s="159"/>
      <c r="AJS138" s="159"/>
      <c r="AJT138" s="159"/>
      <c r="AJU138" s="159"/>
      <c r="AJV138" s="159"/>
      <c r="AJW138" s="159"/>
      <c r="AJX138" s="159"/>
      <c r="AJY138" s="159"/>
      <c r="AJZ138" s="159"/>
      <c r="AKA138" s="159"/>
      <c r="AKB138" s="159"/>
      <c r="AKC138" s="159"/>
      <c r="AKD138" s="159"/>
      <c r="AKE138" s="159"/>
      <c r="AKF138" s="159"/>
      <c r="AKG138" s="159"/>
      <c r="AKH138" s="159"/>
      <c r="AKI138" s="159"/>
      <c r="AKJ138" s="159"/>
      <c r="AKK138" s="159"/>
      <c r="AKL138" s="159"/>
      <c r="AKM138" s="159"/>
      <c r="AKN138" s="159"/>
      <c r="AKO138" s="159"/>
      <c r="AKP138" s="159"/>
      <c r="AKQ138" s="159"/>
      <c r="AKR138" s="159"/>
      <c r="AKS138" s="159"/>
      <c r="AKT138" s="159"/>
      <c r="AKU138" s="159"/>
      <c r="AKV138" s="159"/>
      <c r="AKW138" s="159"/>
      <c r="AKX138" s="159"/>
      <c r="AKY138" s="159"/>
      <c r="AKZ138" s="159"/>
      <c r="ALA138" s="159"/>
      <c r="ALB138" s="159"/>
      <c r="ALC138" s="159"/>
      <c r="ALD138" s="159"/>
      <c r="ALE138" s="159"/>
      <c r="ALF138" s="159"/>
      <c r="ALG138" s="159"/>
      <c r="ALH138" s="159"/>
      <c r="ALI138" s="159"/>
      <c r="ALJ138" s="159"/>
      <c r="ALK138" s="159"/>
      <c r="ALL138" s="159"/>
      <c r="ALM138" s="159"/>
      <c r="ALN138" s="159"/>
      <c r="ALO138" s="159"/>
      <c r="ALP138" s="159"/>
      <c r="ALQ138" s="159"/>
      <c r="ALR138" s="159"/>
      <c r="ALS138" s="159"/>
      <c r="ALT138" s="159"/>
      <c r="ALU138" s="159"/>
      <c r="ALV138" s="159"/>
      <c r="ALW138" s="159"/>
      <c r="ALX138" s="159"/>
      <c r="ALY138" s="159"/>
      <c r="ALZ138" s="159"/>
      <c r="AMA138" s="159"/>
      <c r="AMB138" s="159"/>
      <c r="AMC138" s="159"/>
      <c r="AMD138" s="159"/>
      <c r="AME138" s="159"/>
      <c r="AMF138" s="159"/>
      <c r="AMG138" s="159"/>
      <c r="AMH138" s="159"/>
      <c r="AMI138" s="159"/>
      <c r="AMJ138" s="159"/>
      <c r="AMK138" s="159"/>
      <c r="AML138" s="159"/>
      <c r="AMM138" s="159"/>
      <c r="AMN138" s="159"/>
      <c r="AMO138" s="159"/>
    </row>
    <row r="139" spans="1:1029" ht="26.25" thickTop="1" x14ac:dyDescent="0.25">
      <c r="A139" s="8">
        <v>46216</v>
      </c>
      <c r="B139" s="9" t="s">
        <v>113</v>
      </c>
      <c r="C139" s="9" t="s">
        <v>74</v>
      </c>
      <c r="D139" s="101" t="s">
        <v>27</v>
      </c>
      <c r="E139" s="11" t="s">
        <v>73</v>
      </c>
      <c r="F139" s="9" t="s">
        <v>119</v>
      </c>
      <c r="G139" s="9" t="s">
        <v>21</v>
      </c>
      <c r="H139" s="10" t="b">
        <f t="shared" si="12"/>
        <v>0</v>
      </c>
      <c r="I139" s="13" t="s">
        <v>19</v>
      </c>
      <c r="J139" s="13" t="s">
        <v>117</v>
      </c>
      <c r="K139" s="13" t="s">
        <v>21</v>
      </c>
      <c r="L139" s="10" t="b">
        <f t="shared" si="13"/>
        <v>0</v>
      </c>
      <c r="M139" s="121" t="s">
        <v>19</v>
      </c>
      <c r="N139" s="121" t="s">
        <v>117</v>
      </c>
      <c r="O139" s="121" t="s">
        <v>90</v>
      </c>
      <c r="P139" s="146" t="b">
        <f t="shared" si="14"/>
        <v>0</v>
      </c>
      <c r="Q139" s="121" t="s">
        <v>22</v>
      </c>
      <c r="R139" s="119" t="s">
        <v>38</v>
      </c>
      <c r="S139" s="119" t="s">
        <v>21</v>
      </c>
      <c r="T139" s="10" t="b">
        <f t="shared" si="15"/>
        <v>0</v>
      </c>
    </row>
    <row r="140" spans="1:1029" s="161" customFormat="1" ht="25.5" x14ac:dyDescent="0.25">
      <c r="A140" s="138">
        <v>46217</v>
      </c>
      <c r="B140" s="99" t="s">
        <v>29</v>
      </c>
      <c r="C140" s="99" t="s">
        <v>118</v>
      </c>
      <c r="D140" s="160" t="s">
        <v>13</v>
      </c>
      <c r="E140" s="118" t="s">
        <v>14</v>
      </c>
      <c r="F140" s="99" t="s">
        <v>125</v>
      </c>
      <c r="G140" s="99" t="s">
        <v>31</v>
      </c>
      <c r="H140" s="141" t="b">
        <f t="shared" si="12"/>
        <v>0</v>
      </c>
      <c r="I140" s="121" t="s">
        <v>144</v>
      </c>
      <c r="J140" s="121" t="s">
        <v>51</v>
      </c>
      <c r="K140" s="121" t="s">
        <v>52</v>
      </c>
      <c r="L140" s="141" t="b">
        <f t="shared" si="13"/>
        <v>0</v>
      </c>
      <c r="M140" s="121" t="s">
        <v>14</v>
      </c>
      <c r="N140" s="121" t="s">
        <v>77</v>
      </c>
      <c r="O140" s="121" t="s">
        <v>21</v>
      </c>
      <c r="P140" s="141" t="b">
        <f t="shared" si="14"/>
        <v>0</v>
      </c>
      <c r="Q140" s="149" t="s">
        <v>8</v>
      </c>
      <c r="R140" s="99" t="s">
        <v>130</v>
      </c>
      <c r="S140" s="99" t="s">
        <v>16</v>
      </c>
      <c r="T140" s="141" t="b">
        <f t="shared" si="15"/>
        <v>0</v>
      </c>
      <c r="U140" s="159"/>
      <c r="V140" s="159"/>
      <c r="W140" s="159"/>
      <c r="X140" s="159"/>
      <c r="Y140" s="159"/>
      <c r="Z140" s="159"/>
      <c r="AA140" s="159"/>
      <c r="AB140" s="159"/>
      <c r="AC140" s="159"/>
      <c r="AD140" s="159"/>
      <c r="AE140" s="159"/>
      <c r="AF140" s="159"/>
      <c r="AG140" s="159"/>
      <c r="AH140" s="159"/>
      <c r="AI140" s="159"/>
      <c r="AJ140" s="159"/>
      <c r="AK140" s="159"/>
      <c r="AL140" s="159"/>
      <c r="AM140" s="159"/>
      <c r="AN140" s="159"/>
      <c r="AO140" s="159"/>
      <c r="AP140" s="159"/>
      <c r="AQ140" s="159"/>
      <c r="AR140" s="159"/>
      <c r="AS140" s="159"/>
      <c r="AT140" s="159"/>
      <c r="AU140" s="159"/>
      <c r="AV140" s="159"/>
      <c r="AW140" s="159"/>
      <c r="AX140" s="159"/>
      <c r="AY140" s="159"/>
      <c r="AZ140" s="159"/>
      <c r="BA140" s="159"/>
      <c r="BB140" s="159"/>
      <c r="BC140" s="159"/>
      <c r="BD140" s="159"/>
      <c r="BE140" s="159"/>
      <c r="BF140" s="159"/>
      <c r="BG140" s="159"/>
      <c r="BH140" s="159"/>
      <c r="BI140" s="159"/>
      <c r="BJ140" s="159"/>
      <c r="BK140" s="159"/>
      <c r="BL140" s="159"/>
      <c r="BM140" s="159"/>
      <c r="BN140" s="159"/>
      <c r="BO140" s="159"/>
      <c r="BP140" s="159"/>
      <c r="BQ140" s="159"/>
      <c r="BR140" s="159"/>
      <c r="BS140" s="159"/>
      <c r="BT140" s="159"/>
      <c r="BU140" s="159"/>
      <c r="BV140" s="159"/>
      <c r="BW140" s="159"/>
      <c r="BX140" s="159"/>
      <c r="BY140" s="159"/>
      <c r="BZ140" s="159"/>
      <c r="CA140" s="159"/>
      <c r="CB140" s="159"/>
      <c r="CC140" s="159"/>
      <c r="CD140" s="159"/>
      <c r="CE140" s="159"/>
      <c r="CF140" s="159"/>
      <c r="CG140" s="159"/>
      <c r="CH140" s="159"/>
      <c r="CI140" s="159"/>
      <c r="CJ140" s="159"/>
      <c r="CK140" s="159"/>
      <c r="CL140" s="159"/>
      <c r="CM140" s="159"/>
      <c r="CN140" s="159"/>
      <c r="CO140" s="159"/>
      <c r="CP140" s="159"/>
      <c r="CQ140" s="159"/>
      <c r="CR140" s="159"/>
      <c r="CS140" s="159"/>
      <c r="CT140" s="159"/>
      <c r="CU140" s="159"/>
      <c r="CV140" s="159"/>
      <c r="CW140" s="159"/>
      <c r="CX140" s="159"/>
      <c r="CY140" s="159"/>
      <c r="CZ140" s="159"/>
      <c r="DA140" s="159"/>
      <c r="DB140" s="159"/>
      <c r="DC140" s="159"/>
      <c r="DD140" s="159"/>
      <c r="DE140" s="159"/>
      <c r="DF140" s="159"/>
      <c r="DG140" s="159"/>
      <c r="DH140" s="159"/>
      <c r="DI140" s="159"/>
      <c r="DJ140" s="159"/>
      <c r="DK140" s="159"/>
      <c r="DL140" s="159"/>
      <c r="DM140" s="159"/>
      <c r="DN140" s="159"/>
      <c r="DO140" s="159"/>
      <c r="DP140" s="159"/>
      <c r="DQ140" s="159"/>
      <c r="DR140" s="159"/>
      <c r="DS140" s="159"/>
      <c r="DT140" s="159"/>
      <c r="DU140" s="159"/>
      <c r="DV140" s="159"/>
      <c r="DW140" s="159"/>
      <c r="DX140" s="159"/>
      <c r="DY140" s="159"/>
      <c r="DZ140" s="159"/>
      <c r="EA140" s="159"/>
      <c r="EB140" s="159"/>
      <c r="EC140" s="159"/>
      <c r="ED140" s="159"/>
      <c r="EE140" s="159"/>
      <c r="EF140" s="159"/>
      <c r="EG140" s="159"/>
      <c r="EH140" s="159"/>
      <c r="EI140" s="159"/>
      <c r="EJ140" s="159"/>
      <c r="EK140" s="159"/>
      <c r="EL140" s="159"/>
      <c r="EM140" s="159"/>
      <c r="EN140" s="159"/>
      <c r="EO140" s="159"/>
      <c r="EP140" s="159"/>
      <c r="EQ140" s="159"/>
      <c r="ER140" s="159"/>
      <c r="ES140" s="159"/>
      <c r="ET140" s="159"/>
      <c r="EU140" s="159"/>
      <c r="EV140" s="159"/>
      <c r="EW140" s="159"/>
      <c r="EX140" s="159"/>
      <c r="EY140" s="159"/>
      <c r="EZ140" s="159"/>
      <c r="FA140" s="159"/>
      <c r="FB140" s="159"/>
      <c r="FC140" s="159"/>
      <c r="FD140" s="159"/>
      <c r="FE140" s="159"/>
      <c r="FF140" s="159"/>
      <c r="FG140" s="159"/>
      <c r="FH140" s="159"/>
      <c r="FI140" s="159"/>
      <c r="FJ140" s="159"/>
      <c r="FK140" s="159"/>
      <c r="FL140" s="159"/>
      <c r="FM140" s="159"/>
      <c r="FN140" s="159"/>
      <c r="FO140" s="159"/>
      <c r="FP140" s="159"/>
      <c r="FQ140" s="159"/>
      <c r="FR140" s="159"/>
      <c r="FS140" s="159"/>
      <c r="FT140" s="159"/>
      <c r="FU140" s="159"/>
      <c r="FV140" s="159"/>
      <c r="FW140" s="159"/>
      <c r="FX140" s="159"/>
      <c r="FY140" s="159"/>
      <c r="FZ140" s="159"/>
      <c r="GA140" s="159"/>
      <c r="GB140" s="159"/>
      <c r="GC140" s="159"/>
      <c r="GD140" s="159"/>
      <c r="GE140" s="159"/>
      <c r="GF140" s="159"/>
      <c r="GG140" s="159"/>
      <c r="GH140" s="159"/>
      <c r="GI140" s="159"/>
      <c r="GJ140" s="159"/>
      <c r="GK140" s="159"/>
      <c r="GL140" s="159"/>
      <c r="GM140" s="159"/>
      <c r="GN140" s="159"/>
      <c r="GO140" s="159"/>
      <c r="GP140" s="159"/>
      <c r="GQ140" s="159"/>
      <c r="GR140" s="159"/>
      <c r="GS140" s="159"/>
      <c r="GT140" s="159"/>
      <c r="GU140" s="159"/>
      <c r="GV140" s="159"/>
      <c r="GW140" s="159"/>
      <c r="GX140" s="159"/>
      <c r="GY140" s="159"/>
      <c r="GZ140" s="159"/>
      <c r="HA140" s="159"/>
      <c r="HB140" s="159"/>
      <c r="HC140" s="159"/>
      <c r="HD140" s="159"/>
      <c r="HE140" s="159"/>
      <c r="HF140" s="159"/>
      <c r="HG140" s="159"/>
      <c r="HH140" s="159"/>
      <c r="HI140" s="159"/>
      <c r="HJ140" s="159"/>
      <c r="HK140" s="159"/>
      <c r="HL140" s="159"/>
      <c r="HM140" s="159"/>
      <c r="HN140" s="159"/>
      <c r="HO140" s="159"/>
      <c r="HP140" s="159"/>
      <c r="HQ140" s="159"/>
      <c r="HR140" s="159"/>
      <c r="HS140" s="159"/>
      <c r="HT140" s="159"/>
      <c r="HU140" s="159"/>
      <c r="HV140" s="159"/>
      <c r="HW140" s="159"/>
      <c r="HX140" s="159"/>
      <c r="HY140" s="159"/>
      <c r="HZ140" s="159"/>
      <c r="IA140" s="159"/>
      <c r="IB140" s="159"/>
      <c r="IC140" s="159"/>
      <c r="ID140" s="159"/>
      <c r="IE140" s="159"/>
      <c r="IF140" s="159"/>
      <c r="IG140" s="159"/>
      <c r="IH140" s="159"/>
      <c r="II140" s="159"/>
      <c r="IJ140" s="159"/>
      <c r="IK140" s="159"/>
      <c r="IL140" s="159"/>
      <c r="IM140" s="159"/>
      <c r="IN140" s="159"/>
      <c r="IO140" s="159"/>
      <c r="IP140" s="159"/>
      <c r="IQ140" s="159"/>
      <c r="IR140" s="159"/>
      <c r="IS140" s="159"/>
      <c r="IT140" s="159"/>
      <c r="IU140" s="159"/>
      <c r="IV140" s="159"/>
      <c r="IW140" s="159"/>
      <c r="IX140" s="159"/>
      <c r="IY140" s="159"/>
      <c r="IZ140" s="159"/>
      <c r="JA140" s="159"/>
      <c r="JB140" s="159"/>
      <c r="JC140" s="159"/>
      <c r="JD140" s="159"/>
      <c r="JE140" s="159"/>
      <c r="JF140" s="159"/>
      <c r="JG140" s="159"/>
      <c r="JH140" s="159"/>
      <c r="JI140" s="159"/>
      <c r="JJ140" s="159"/>
      <c r="JK140" s="159"/>
      <c r="JL140" s="159"/>
      <c r="JM140" s="159"/>
      <c r="JN140" s="159"/>
      <c r="JO140" s="159"/>
      <c r="JP140" s="159"/>
      <c r="JQ140" s="159"/>
      <c r="JR140" s="159"/>
      <c r="JS140" s="159"/>
      <c r="JT140" s="159"/>
      <c r="JU140" s="159"/>
      <c r="JV140" s="159"/>
      <c r="JW140" s="159"/>
      <c r="JX140" s="159"/>
      <c r="JY140" s="159"/>
      <c r="JZ140" s="159"/>
      <c r="KA140" s="159"/>
      <c r="KB140" s="159"/>
      <c r="KC140" s="159"/>
      <c r="KD140" s="159"/>
      <c r="KE140" s="159"/>
      <c r="KF140" s="159"/>
      <c r="KG140" s="159"/>
      <c r="KH140" s="159"/>
      <c r="KI140" s="159"/>
      <c r="KJ140" s="159"/>
      <c r="KK140" s="159"/>
      <c r="KL140" s="159"/>
      <c r="KM140" s="159"/>
      <c r="KN140" s="159"/>
      <c r="KO140" s="159"/>
      <c r="KP140" s="159"/>
      <c r="KQ140" s="159"/>
      <c r="KR140" s="159"/>
      <c r="KS140" s="159"/>
      <c r="KT140" s="159"/>
      <c r="KU140" s="159"/>
      <c r="KV140" s="159"/>
      <c r="KW140" s="159"/>
      <c r="KX140" s="159"/>
      <c r="KY140" s="159"/>
      <c r="KZ140" s="159"/>
      <c r="LA140" s="159"/>
      <c r="LB140" s="159"/>
      <c r="LC140" s="159"/>
      <c r="LD140" s="159"/>
      <c r="LE140" s="159"/>
      <c r="LF140" s="159"/>
      <c r="LG140" s="159"/>
      <c r="LH140" s="159"/>
      <c r="LI140" s="159"/>
      <c r="LJ140" s="159"/>
      <c r="LK140" s="159"/>
      <c r="LL140" s="159"/>
      <c r="LM140" s="159"/>
      <c r="LN140" s="159"/>
      <c r="LO140" s="159"/>
      <c r="LP140" s="159"/>
      <c r="LQ140" s="159"/>
      <c r="LR140" s="159"/>
      <c r="LS140" s="159"/>
      <c r="LT140" s="159"/>
      <c r="LU140" s="159"/>
      <c r="LV140" s="159"/>
      <c r="LW140" s="159"/>
      <c r="LX140" s="159"/>
      <c r="LY140" s="159"/>
      <c r="LZ140" s="159"/>
      <c r="MA140" s="159"/>
      <c r="MB140" s="159"/>
      <c r="MC140" s="159"/>
      <c r="MD140" s="159"/>
      <c r="ME140" s="159"/>
      <c r="MF140" s="159"/>
      <c r="MG140" s="159"/>
      <c r="MH140" s="159"/>
      <c r="MI140" s="159"/>
      <c r="MJ140" s="159"/>
      <c r="MK140" s="159"/>
      <c r="ML140" s="159"/>
      <c r="MM140" s="159"/>
      <c r="MN140" s="159"/>
      <c r="MO140" s="159"/>
      <c r="MP140" s="159"/>
      <c r="MQ140" s="159"/>
      <c r="MR140" s="159"/>
      <c r="MS140" s="159"/>
      <c r="MT140" s="159"/>
      <c r="MU140" s="159"/>
      <c r="MV140" s="159"/>
      <c r="MW140" s="159"/>
      <c r="MX140" s="159"/>
      <c r="MY140" s="159"/>
      <c r="MZ140" s="159"/>
      <c r="NA140" s="159"/>
      <c r="NB140" s="159"/>
      <c r="NC140" s="159"/>
      <c r="ND140" s="159"/>
      <c r="NE140" s="159"/>
      <c r="NF140" s="159"/>
      <c r="NG140" s="159"/>
      <c r="NH140" s="159"/>
      <c r="NI140" s="159"/>
      <c r="NJ140" s="159"/>
      <c r="NK140" s="159"/>
      <c r="NL140" s="159"/>
      <c r="NM140" s="159"/>
      <c r="NN140" s="159"/>
      <c r="NO140" s="159"/>
      <c r="NP140" s="159"/>
      <c r="NQ140" s="159"/>
      <c r="NR140" s="159"/>
      <c r="NS140" s="159"/>
      <c r="NT140" s="159"/>
      <c r="NU140" s="159"/>
      <c r="NV140" s="159"/>
      <c r="NW140" s="159"/>
      <c r="NX140" s="159"/>
      <c r="NY140" s="159"/>
      <c r="NZ140" s="159"/>
      <c r="OA140" s="159"/>
      <c r="OB140" s="159"/>
      <c r="OC140" s="159"/>
      <c r="OD140" s="159"/>
      <c r="OE140" s="159"/>
      <c r="OF140" s="159"/>
      <c r="OG140" s="159"/>
      <c r="OH140" s="159"/>
      <c r="OI140" s="159"/>
      <c r="OJ140" s="159"/>
      <c r="OK140" s="159"/>
      <c r="OL140" s="159"/>
      <c r="OM140" s="159"/>
      <c r="ON140" s="159"/>
      <c r="OO140" s="159"/>
      <c r="OP140" s="159"/>
      <c r="OQ140" s="159"/>
      <c r="OR140" s="159"/>
      <c r="OS140" s="159"/>
      <c r="OT140" s="159"/>
      <c r="OU140" s="159"/>
      <c r="OV140" s="159"/>
      <c r="OW140" s="159"/>
      <c r="OX140" s="159"/>
      <c r="OY140" s="159"/>
      <c r="OZ140" s="159"/>
      <c r="PA140" s="159"/>
      <c r="PB140" s="159"/>
      <c r="PC140" s="159"/>
      <c r="PD140" s="159"/>
      <c r="PE140" s="159"/>
      <c r="PF140" s="159"/>
      <c r="PG140" s="159"/>
      <c r="PH140" s="159"/>
      <c r="PI140" s="159"/>
      <c r="PJ140" s="159"/>
      <c r="PK140" s="159"/>
      <c r="PL140" s="159"/>
      <c r="PM140" s="159"/>
      <c r="PN140" s="159"/>
      <c r="PO140" s="159"/>
      <c r="PP140" s="159"/>
      <c r="PQ140" s="159"/>
      <c r="PR140" s="159"/>
      <c r="PS140" s="159"/>
      <c r="PT140" s="159"/>
      <c r="PU140" s="159"/>
      <c r="PV140" s="159"/>
      <c r="PW140" s="159"/>
      <c r="PX140" s="159"/>
      <c r="PY140" s="159"/>
      <c r="PZ140" s="159"/>
      <c r="QA140" s="159"/>
      <c r="QB140" s="159"/>
      <c r="QC140" s="159"/>
      <c r="QD140" s="159"/>
      <c r="QE140" s="159"/>
      <c r="QF140" s="159"/>
      <c r="QG140" s="159"/>
      <c r="QH140" s="159"/>
      <c r="QI140" s="159"/>
      <c r="QJ140" s="159"/>
      <c r="QK140" s="159"/>
      <c r="QL140" s="159"/>
      <c r="QM140" s="159"/>
      <c r="QN140" s="159"/>
      <c r="QO140" s="159"/>
      <c r="QP140" s="159"/>
      <c r="QQ140" s="159"/>
      <c r="QR140" s="159"/>
      <c r="QS140" s="159"/>
      <c r="QT140" s="159"/>
      <c r="QU140" s="159"/>
      <c r="QV140" s="159"/>
      <c r="QW140" s="159"/>
      <c r="QX140" s="159"/>
      <c r="QY140" s="159"/>
      <c r="QZ140" s="159"/>
      <c r="RA140" s="159"/>
      <c r="RB140" s="159"/>
      <c r="RC140" s="159"/>
      <c r="RD140" s="159"/>
      <c r="RE140" s="159"/>
      <c r="RF140" s="159"/>
      <c r="RG140" s="159"/>
      <c r="RH140" s="159"/>
      <c r="RI140" s="159"/>
      <c r="RJ140" s="159"/>
      <c r="RK140" s="159"/>
      <c r="RL140" s="159"/>
      <c r="RM140" s="159"/>
      <c r="RN140" s="159"/>
      <c r="RO140" s="159"/>
      <c r="RP140" s="159"/>
      <c r="RQ140" s="159"/>
      <c r="RR140" s="159"/>
      <c r="RS140" s="159"/>
      <c r="RT140" s="159"/>
      <c r="RU140" s="159"/>
      <c r="RV140" s="159"/>
      <c r="RW140" s="159"/>
      <c r="RX140" s="159"/>
      <c r="RY140" s="159"/>
      <c r="RZ140" s="159"/>
      <c r="SA140" s="159"/>
      <c r="SB140" s="159"/>
      <c r="SC140" s="159"/>
      <c r="SD140" s="159"/>
      <c r="SE140" s="159"/>
      <c r="SF140" s="159"/>
      <c r="SG140" s="159"/>
      <c r="SH140" s="159"/>
      <c r="SI140" s="159"/>
      <c r="SJ140" s="159"/>
      <c r="SK140" s="159"/>
      <c r="SL140" s="159"/>
      <c r="SM140" s="159"/>
      <c r="SN140" s="159"/>
      <c r="SO140" s="159"/>
      <c r="SP140" s="159"/>
      <c r="SQ140" s="159"/>
      <c r="SR140" s="159"/>
      <c r="SS140" s="159"/>
      <c r="ST140" s="159"/>
      <c r="SU140" s="159"/>
      <c r="SV140" s="159"/>
      <c r="SW140" s="159"/>
      <c r="SX140" s="159"/>
      <c r="SY140" s="159"/>
      <c r="SZ140" s="159"/>
      <c r="TA140" s="159"/>
      <c r="TB140" s="159"/>
      <c r="TC140" s="159"/>
      <c r="TD140" s="159"/>
      <c r="TE140" s="159"/>
      <c r="TF140" s="159"/>
      <c r="TG140" s="159"/>
      <c r="TH140" s="159"/>
      <c r="TI140" s="159"/>
      <c r="TJ140" s="159"/>
      <c r="TK140" s="159"/>
      <c r="TL140" s="159"/>
      <c r="TM140" s="159"/>
      <c r="TN140" s="159"/>
      <c r="TO140" s="159"/>
      <c r="TP140" s="159"/>
      <c r="TQ140" s="159"/>
      <c r="TR140" s="159"/>
      <c r="TS140" s="159"/>
      <c r="TT140" s="159"/>
      <c r="TU140" s="159"/>
      <c r="TV140" s="159"/>
      <c r="TW140" s="159"/>
      <c r="TX140" s="159"/>
      <c r="TY140" s="159"/>
      <c r="TZ140" s="159"/>
      <c r="UA140" s="159"/>
      <c r="UB140" s="159"/>
      <c r="UC140" s="159"/>
      <c r="UD140" s="159"/>
      <c r="UE140" s="159"/>
      <c r="UF140" s="159"/>
      <c r="UG140" s="159"/>
      <c r="UH140" s="159"/>
      <c r="UI140" s="159"/>
      <c r="UJ140" s="159"/>
      <c r="UK140" s="159"/>
      <c r="UL140" s="159"/>
      <c r="UM140" s="159"/>
      <c r="UN140" s="159"/>
      <c r="UO140" s="159"/>
      <c r="UP140" s="159"/>
      <c r="UQ140" s="159"/>
      <c r="UR140" s="159"/>
      <c r="US140" s="159"/>
      <c r="UT140" s="159"/>
      <c r="UU140" s="159"/>
      <c r="UV140" s="159"/>
      <c r="UW140" s="159"/>
      <c r="UX140" s="159"/>
      <c r="UY140" s="159"/>
      <c r="UZ140" s="159"/>
      <c r="VA140" s="159"/>
      <c r="VB140" s="159"/>
      <c r="VC140" s="159"/>
      <c r="VD140" s="159"/>
      <c r="VE140" s="159"/>
      <c r="VF140" s="159"/>
      <c r="VG140" s="159"/>
      <c r="VH140" s="159"/>
      <c r="VI140" s="159"/>
      <c r="VJ140" s="159"/>
      <c r="VK140" s="159"/>
      <c r="VL140" s="159"/>
      <c r="VM140" s="159"/>
      <c r="VN140" s="159"/>
      <c r="VO140" s="159"/>
      <c r="VP140" s="159"/>
      <c r="VQ140" s="159"/>
      <c r="VR140" s="159"/>
      <c r="VS140" s="159"/>
      <c r="VT140" s="159"/>
      <c r="VU140" s="159"/>
      <c r="VV140" s="159"/>
      <c r="VW140" s="159"/>
      <c r="VX140" s="159"/>
      <c r="VY140" s="159"/>
      <c r="VZ140" s="159"/>
      <c r="WA140" s="159"/>
      <c r="WB140" s="159"/>
      <c r="WC140" s="159"/>
      <c r="WD140" s="159"/>
      <c r="WE140" s="159"/>
      <c r="WF140" s="159"/>
      <c r="WG140" s="159"/>
      <c r="WH140" s="159"/>
      <c r="WI140" s="159"/>
      <c r="WJ140" s="159"/>
      <c r="WK140" s="159"/>
      <c r="WL140" s="159"/>
      <c r="WM140" s="159"/>
      <c r="WN140" s="159"/>
      <c r="WO140" s="159"/>
      <c r="WP140" s="159"/>
      <c r="WQ140" s="159"/>
      <c r="WR140" s="159"/>
      <c r="WS140" s="159"/>
      <c r="WT140" s="159"/>
      <c r="WU140" s="159"/>
      <c r="WV140" s="159"/>
      <c r="WW140" s="159"/>
      <c r="WX140" s="159"/>
      <c r="WY140" s="159"/>
      <c r="WZ140" s="159"/>
      <c r="XA140" s="159"/>
      <c r="XB140" s="159"/>
      <c r="XC140" s="159"/>
      <c r="XD140" s="159"/>
      <c r="XE140" s="159"/>
      <c r="XF140" s="159"/>
      <c r="XG140" s="159"/>
      <c r="XH140" s="159"/>
      <c r="XI140" s="159"/>
      <c r="XJ140" s="159"/>
      <c r="XK140" s="159"/>
      <c r="XL140" s="159"/>
      <c r="XM140" s="159"/>
      <c r="XN140" s="159"/>
      <c r="XO140" s="159"/>
      <c r="XP140" s="159"/>
      <c r="XQ140" s="159"/>
      <c r="XR140" s="159"/>
      <c r="XS140" s="159"/>
      <c r="XT140" s="159"/>
      <c r="XU140" s="159"/>
      <c r="XV140" s="159"/>
      <c r="XW140" s="159"/>
      <c r="XX140" s="159"/>
      <c r="XY140" s="159"/>
      <c r="XZ140" s="159"/>
      <c r="YA140" s="159"/>
      <c r="YB140" s="159"/>
      <c r="YC140" s="159"/>
      <c r="YD140" s="159"/>
      <c r="YE140" s="159"/>
      <c r="YF140" s="159"/>
      <c r="YG140" s="159"/>
      <c r="YH140" s="159"/>
      <c r="YI140" s="159"/>
      <c r="YJ140" s="159"/>
      <c r="YK140" s="159"/>
      <c r="YL140" s="159"/>
      <c r="YM140" s="159"/>
      <c r="YN140" s="159"/>
      <c r="YO140" s="159"/>
      <c r="YP140" s="159"/>
      <c r="YQ140" s="159"/>
      <c r="YR140" s="159"/>
      <c r="YS140" s="159"/>
      <c r="YT140" s="159"/>
      <c r="YU140" s="159"/>
      <c r="YV140" s="159"/>
      <c r="YW140" s="159"/>
      <c r="YX140" s="159"/>
      <c r="YY140" s="159"/>
      <c r="YZ140" s="159"/>
      <c r="ZA140" s="159"/>
      <c r="ZB140" s="159"/>
      <c r="ZC140" s="159"/>
      <c r="ZD140" s="159"/>
      <c r="ZE140" s="159"/>
      <c r="ZF140" s="159"/>
      <c r="ZG140" s="159"/>
      <c r="ZH140" s="159"/>
      <c r="ZI140" s="159"/>
      <c r="ZJ140" s="159"/>
      <c r="ZK140" s="159"/>
      <c r="ZL140" s="159"/>
      <c r="ZM140" s="159"/>
      <c r="ZN140" s="159"/>
      <c r="ZO140" s="159"/>
      <c r="ZP140" s="159"/>
      <c r="ZQ140" s="159"/>
      <c r="ZR140" s="159"/>
      <c r="ZS140" s="159"/>
      <c r="ZT140" s="159"/>
      <c r="ZU140" s="159"/>
      <c r="ZV140" s="159"/>
      <c r="ZW140" s="159"/>
      <c r="ZX140" s="159"/>
      <c r="ZY140" s="159"/>
      <c r="ZZ140" s="159"/>
      <c r="AAA140" s="159"/>
      <c r="AAB140" s="159"/>
      <c r="AAC140" s="159"/>
      <c r="AAD140" s="159"/>
      <c r="AAE140" s="159"/>
      <c r="AAF140" s="159"/>
      <c r="AAG140" s="159"/>
      <c r="AAH140" s="159"/>
      <c r="AAI140" s="159"/>
      <c r="AAJ140" s="159"/>
      <c r="AAK140" s="159"/>
      <c r="AAL140" s="159"/>
      <c r="AAM140" s="159"/>
      <c r="AAN140" s="159"/>
      <c r="AAO140" s="159"/>
      <c r="AAP140" s="159"/>
      <c r="AAQ140" s="159"/>
      <c r="AAR140" s="159"/>
      <c r="AAS140" s="159"/>
      <c r="AAT140" s="159"/>
      <c r="AAU140" s="159"/>
      <c r="AAV140" s="159"/>
      <c r="AAW140" s="159"/>
      <c r="AAX140" s="159"/>
      <c r="AAY140" s="159"/>
      <c r="AAZ140" s="159"/>
      <c r="ABA140" s="159"/>
      <c r="ABB140" s="159"/>
      <c r="ABC140" s="159"/>
      <c r="ABD140" s="159"/>
      <c r="ABE140" s="159"/>
      <c r="ABF140" s="159"/>
      <c r="ABG140" s="159"/>
      <c r="ABH140" s="159"/>
      <c r="ABI140" s="159"/>
      <c r="ABJ140" s="159"/>
      <c r="ABK140" s="159"/>
      <c r="ABL140" s="159"/>
      <c r="ABM140" s="159"/>
      <c r="ABN140" s="159"/>
      <c r="ABO140" s="159"/>
      <c r="ABP140" s="159"/>
      <c r="ABQ140" s="159"/>
      <c r="ABR140" s="159"/>
      <c r="ABS140" s="159"/>
      <c r="ABT140" s="159"/>
      <c r="ABU140" s="159"/>
      <c r="ABV140" s="159"/>
      <c r="ABW140" s="159"/>
      <c r="ABX140" s="159"/>
      <c r="ABY140" s="159"/>
      <c r="ABZ140" s="159"/>
      <c r="ACA140" s="159"/>
      <c r="ACB140" s="159"/>
      <c r="ACC140" s="159"/>
      <c r="ACD140" s="159"/>
      <c r="ACE140" s="159"/>
      <c r="ACF140" s="159"/>
      <c r="ACG140" s="159"/>
      <c r="ACH140" s="159"/>
      <c r="ACI140" s="159"/>
      <c r="ACJ140" s="159"/>
      <c r="ACK140" s="159"/>
      <c r="ACL140" s="159"/>
      <c r="ACM140" s="159"/>
      <c r="ACN140" s="159"/>
      <c r="ACO140" s="159"/>
      <c r="ACP140" s="159"/>
      <c r="ACQ140" s="159"/>
      <c r="ACR140" s="159"/>
      <c r="ACS140" s="159"/>
      <c r="ACT140" s="159"/>
      <c r="ACU140" s="159"/>
      <c r="ACV140" s="159"/>
      <c r="ACW140" s="159"/>
      <c r="ACX140" s="159"/>
      <c r="ACY140" s="159"/>
      <c r="ACZ140" s="159"/>
      <c r="ADA140" s="159"/>
      <c r="ADB140" s="159"/>
      <c r="ADC140" s="159"/>
      <c r="ADD140" s="159"/>
      <c r="ADE140" s="159"/>
      <c r="ADF140" s="159"/>
      <c r="ADG140" s="159"/>
      <c r="ADH140" s="159"/>
      <c r="ADI140" s="159"/>
      <c r="ADJ140" s="159"/>
      <c r="ADK140" s="159"/>
      <c r="ADL140" s="159"/>
      <c r="ADM140" s="159"/>
      <c r="ADN140" s="159"/>
      <c r="ADO140" s="159"/>
      <c r="ADP140" s="159"/>
      <c r="ADQ140" s="159"/>
      <c r="ADR140" s="159"/>
      <c r="ADS140" s="159"/>
      <c r="ADT140" s="159"/>
      <c r="ADU140" s="159"/>
      <c r="ADV140" s="159"/>
      <c r="ADW140" s="159"/>
      <c r="ADX140" s="159"/>
      <c r="ADY140" s="159"/>
      <c r="ADZ140" s="159"/>
      <c r="AEA140" s="159"/>
      <c r="AEB140" s="159"/>
      <c r="AEC140" s="159"/>
      <c r="AED140" s="159"/>
      <c r="AEE140" s="159"/>
      <c r="AEF140" s="159"/>
      <c r="AEG140" s="159"/>
      <c r="AEH140" s="159"/>
      <c r="AEI140" s="159"/>
      <c r="AEJ140" s="159"/>
      <c r="AEK140" s="159"/>
      <c r="AEL140" s="159"/>
      <c r="AEM140" s="159"/>
      <c r="AEN140" s="159"/>
      <c r="AEO140" s="159"/>
      <c r="AEP140" s="159"/>
      <c r="AEQ140" s="159"/>
      <c r="AER140" s="159"/>
      <c r="AES140" s="159"/>
      <c r="AET140" s="159"/>
      <c r="AEU140" s="159"/>
      <c r="AEV140" s="159"/>
      <c r="AEW140" s="159"/>
      <c r="AEX140" s="159"/>
      <c r="AEY140" s="159"/>
      <c r="AEZ140" s="159"/>
      <c r="AFA140" s="159"/>
      <c r="AFB140" s="159"/>
      <c r="AFC140" s="159"/>
      <c r="AFD140" s="159"/>
      <c r="AFE140" s="159"/>
      <c r="AFF140" s="159"/>
      <c r="AFG140" s="159"/>
      <c r="AFH140" s="159"/>
      <c r="AFI140" s="159"/>
      <c r="AFJ140" s="159"/>
      <c r="AFK140" s="159"/>
      <c r="AFL140" s="159"/>
      <c r="AFM140" s="159"/>
      <c r="AFN140" s="159"/>
      <c r="AFO140" s="159"/>
      <c r="AFP140" s="159"/>
      <c r="AFQ140" s="159"/>
      <c r="AFR140" s="159"/>
      <c r="AFS140" s="159"/>
      <c r="AFT140" s="159"/>
      <c r="AFU140" s="159"/>
      <c r="AFV140" s="159"/>
      <c r="AFW140" s="159"/>
      <c r="AFX140" s="159"/>
      <c r="AFY140" s="159"/>
      <c r="AFZ140" s="159"/>
      <c r="AGA140" s="159"/>
      <c r="AGB140" s="159"/>
      <c r="AGC140" s="159"/>
      <c r="AGD140" s="159"/>
      <c r="AGE140" s="159"/>
      <c r="AGF140" s="159"/>
      <c r="AGG140" s="159"/>
      <c r="AGH140" s="159"/>
      <c r="AGI140" s="159"/>
      <c r="AGJ140" s="159"/>
      <c r="AGK140" s="159"/>
      <c r="AGL140" s="159"/>
      <c r="AGM140" s="159"/>
      <c r="AGN140" s="159"/>
      <c r="AGO140" s="159"/>
      <c r="AGP140" s="159"/>
      <c r="AGQ140" s="159"/>
      <c r="AGR140" s="159"/>
      <c r="AGS140" s="159"/>
      <c r="AGT140" s="159"/>
      <c r="AGU140" s="159"/>
      <c r="AGV140" s="159"/>
      <c r="AGW140" s="159"/>
      <c r="AGX140" s="159"/>
      <c r="AGY140" s="159"/>
      <c r="AGZ140" s="159"/>
      <c r="AHA140" s="159"/>
      <c r="AHB140" s="159"/>
      <c r="AHC140" s="159"/>
      <c r="AHD140" s="159"/>
      <c r="AHE140" s="159"/>
      <c r="AHF140" s="159"/>
      <c r="AHG140" s="159"/>
      <c r="AHH140" s="159"/>
      <c r="AHI140" s="159"/>
      <c r="AHJ140" s="159"/>
      <c r="AHK140" s="159"/>
      <c r="AHL140" s="159"/>
      <c r="AHM140" s="159"/>
      <c r="AHN140" s="159"/>
      <c r="AHO140" s="159"/>
      <c r="AHP140" s="159"/>
      <c r="AHQ140" s="159"/>
      <c r="AHR140" s="159"/>
      <c r="AHS140" s="159"/>
      <c r="AHT140" s="159"/>
      <c r="AHU140" s="159"/>
      <c r="AHV140" s="159"/>
      <c r="AHW140" s="159"/>
      <c r="AHX140" s="159"/>
      <c r="AHY140" s="159"/>
      <c r="AHZ140" s="159"/>
      <c r="AIA140" s="159"/>
      <c r="AIB140" s="159"/>
      <c r="AIC140" s="159"/>
      <c r="AID140" s="159"/>
      <c r="AIE140" s="159"/>
      <c r="AIF140" s="159"/>
      <c r="AIG140" s="159"/>
      <c r="AIH140" s="159"/>
      <c r="AII140" s="159"/>
      <c r="AIJ140" s="159"/>
      <c r="AIK140" s="159"/>
      <c r="AIL140" s="159"/>
      <c r="AIM140" s="159"/>
      <c r="AIN140" s="159"/>
      <c r="AIO140" s="159"/>
      <c r="AIP140" s="159"/>
      <c r="AIQ140" s="159"/>
      <c r="AIR140" s="159"/>
      <c r="AIS140" s="159"/>
      <c r="AIT140" s="159"/>
      <c r="AIU140" s="159"/>
      <c r="AIV140" s="159"/>
      <c r="AIW140" s="159"/>
      <c r="AIX140" s="159"/>
      <c r="AIY140" s="159"/>
      <c r="AIZ140" s="159"/>
      <c r="AJA140" s="159"/>
      <c r="AJB140" s="159"/>
      <c r="AJC140" s="159"/>
      <c r="AJD140" s="159"/>
      <c r="AJE140" s="159"/>
      <c r="AJF140" s="159"/>
      <c r="AJG140" s="159"/>
      <c r="AJH140" s="159"/>
      <c r="AJI140" s="159"/>
      <c r="AJJ140" s="159"/>
      <c r="AJK140" s="159"/>
      <c r="AJL140" s="159"/>
      <c r="AJM140" s="159"/>
      <c r="AJN140" s="159"/>
      <c r="AJO140" s="159"/>
      <c r="AJP140" s="159"/>
      <c r="AJQ140" s="159"/>
      <c r="AJR140" s="159"/>
      <c r="AJS140" s="159"/>
      <c r="AJT140" s="159"/>
      <c r="AJU140" s="159"/>
      <c r="AJV140" s="159"/>
      <c r="AJW140" s="159"/>
      <c r="AJX140" s="159"/>
      <c r="AJY140" s="159"/>
      <c r="AJZ140" s="159"/>
      <c r="AKA140" s="159"/>
      <c r="AKB140" s="159"/>
      <c r="AKC140" s="159"/>
      <c r="AKD140" s="159"/>
      <c r="AKE140" s="159"/>
      <c r="AKF140" s="159"/>
      <c r="AKG140" s="159"/>
      <c r="AKH140" s="159"/>
      <c r="AKI140" s="159"/>
      <c r="AKJ140" s="159"/>
      <c r="AKK140" s="159"/>
      <c r="AKL140" s="159"/>
      <c r="AKM140" s="159"/>
      <c r="AKN140" s="159"/>
      <c r="AKO140" s="159"/>
      <c r="AKP140" s="159"/>
      <c r="AKQ140" s="159"/>
      <c r="AKR140" s="159"/>
      <c r="AKS140" s="159"/>
      <c r="AKT140" s="159"/>
      <c r="AKU140" s="159"/>
      <c r="AKV140" s="159"/>
      <c r="AKW140" s="159"/>
      <c r="AKX140" s="159"/>
      <c r="AKY140" s="159"/>
      <c r="AKZ140" s="159"/>
      <c r="ALA140" s="159"/>
      <c r="ALB140" s="159"/>
      <c r="ALC140" s="159"/>
      <c r="ALD140" s="159"/>
      <c r="ALE140" s="159"/>
      <c r="ALF140" s="159"/>
      <c r="ALG140" s="159"/>
      <c r="ALH140" s="159"/>
      <c r="ALI140" s="159"/>
      <c r="ALJ140" s="159"/>
      <c r="ALK140" s="159"/>
      <c r="ALL140" s="159"/>
      <c r="ALM140" s="159"/>
      <c r="ALN140" s="159"/>
      <c r="ALO140" s="159"/>
      <c r="ALP140" s="159"/>
      <c r="ALQ140" s="159"/>
      <c r="ALR140" s="159"/>
      <c r="ALS140" s="159"/>
      <c r="ALT140" s="159"/>
      <c r="ALU140" s="159"/>
      <c r="ALV140" s="159"/>
      <c r="ALW140" s="159"/>
      <c r="ALX140" s="159"/>
      <c r="ALY140" s="159"/>
      <c r="ALZ140" s="159"/>
      <c r="AMA140" s="159"/>
      <c r="AMB140" s="159"/>
      <c r="AMC140" s="159"/>
      <c r="AMD140" s="159"/>
      <c r="AME140" s="159"/>
      <c r="AMF140" s="159"/>
      <c r="AMG140" s="159"/>
      <c r="AMH140" s="159"/>
      <c r="AMI140" s="159"/>
      <c r="AMJ140" s="159"/>
      <c r="AMK140" s="159"/>
      <c r="AML140" s="159"/>
      <c r="AMM140" s="159"/>
      <c r="AMN140" s="159"/>
      <c r="AMO140" s="159"/>
    </row>
    <row r="141" spans="1:1029" s="161" customFormat="1" ht="25.5" x14ac:dyDescent="0.25">
      <c r="A141" s="138">
        <v>46218</v>
      </c>
      <c r="B141" s="99" t="s">
        <v>240</v>
      </c>
      <c r="C141" s="99" t="s">
        <v>195</v>
      </c>
      <c r="D141" s="160" t="s">
        <v>21</v>
      </c>
      <c r="E141" s="118" t="s">
        <v>47</v>
      </c>
      <c r="F141" s="99" t="s">
        <v>151</v>
      </c>
      <c r="G141" s="99" t="s">
        <v>16</v>
      </c>
      <c r="H141" s="141" t="b">
        <f t="shared" si="12"/>
        <v>0</v>
      </c>
      <c r="I141" s="121" t="s">
        <v>35</v>
      </c>
      <c r="J141" s="121" t="s">
        <v>119</v>
      </c>
      <c r="K141" s="121" t="s">
        <v>21</v>
      </c>
      <c r="L141" s="141">
        <f t="shared" si="13"/>
        <v>1</v>
      </c>
      <c r="M141" s="121" t="s">
        <v>35</v>
      </c>
      <c r="N141" s="121" t="s">
        <v>82</v>
      </c>
      <c r="O141" s="121" t="s">
        <v>168</v>
      </c>
      <c r="P141" s="141" t="b">
        <f t="shared" si="14"/>
        <v>0</v>
      </c>
      <c r="Q141" s="149" t="s">
        <v>47</v>
      </c>
      <c r="R141" s="99" t="s">
        <v>82</v>
      </c>
      <c r="S141" s="99" t="s">
        <v>21</v>
      </c>
      <c r="T141" s="141">
        <f t="shared" si="15"/>
        <v>0.5</v>
      </c>
      <c r="U141" s="159"/>
      <c r="V141" s="159"/>
      <c r="W141" s="159"/>
      <c r="X141" s="159"/>
      <c r="Y141" s="159"/>
      <c r="Z141" s="159"/>
      <c r="AA141" s="159"/>
      <c r="AB141" s="159"/>
      <c r="AC141" s="159"/>
      <c r="AD141" s="159"/>
      <c r="AE141" s="159"/>
      <c r="AF141" s="159"/>
      <c r="AG141" s="159"/>
      <c r="AH141" s="159"/>
      <c r="AI141" s="159"/>
      <c r="AJ141" s="159"/>
      <c r="AK141" s="159"/>
      <c r="AL141" s="159"/>
      <c r="AM141" s="159"/>
      <c r="AN141" s="159"/>
      <c r="AO141" s="159"/>
      <c r="AP141" s="159"/>
      <c r="AQ141" s="159"/>
      <c r="AR141" s="159"/>
      <c r="AS141" s="159"/>
      <c r="AT141" s="159"/>
      <c r="AU141" s="159"/>
      <c r="AV141" s="159"/>
      <c r="AW141" s="159"/>
      <c r="AX141" s="159"/>
      <c r="AY141" s="159"/>
      <c r="AZ141" s="159"/>
      <c r="BA141" s="159"/>
      <c r="BB141" s="159"/>
      <c r="BC141" s="159"/>
      <c r="BD141" s="159"/>
      <c r="BE141" s="159"/>
      <c r="BF141" s="159"/>
      <c r="BG141" s="159"/>
      <c r="BH141" s="159"/>
      <c r="BI141" s="159"/>
      <c r="BJ141" s="159"/>
      <c r="BK141" s="159"/>
      <c r="BL141" s="159"/>
      <c r="BM141" s="159"/>
      <c r="BN141" s="159"/>
      <c r="BO141" s="159"/>
      <c r="BP141" s="159"/>
      <c r="BQ141" s="159"/>
      <c r="BR141" s="159"/>
      <c r="BS141" s="159"/>
      <c r="BT141" s="159"/>
      <c r="BU141" s="159"/>
      <c r="BV141" s="159"/>
      <c r="BW141" s="159"/>
      <c r="BX141" s="159"/>
      <c r="BY141" s="159"/>
      <c r="BZ141" s="159"/>
      <c r="CA141" s="159"/>
      <c r="CB141" s="159"/>
      <c r="CC141" s="159"/>
      <c r="CD141" s="159"/>
      <c r="CE141" s="159"/>
      <c r="CF141" s="159"/>
      <c r="CG141" s="159"/>
      <c r="CH141" s="159"/>
      <c r="CI141" s="159"/>
      <c r="CJ141" s="159"/>
      <c r="CK141" s="159"/>
      <c r="CL141" s="159"/>
      <c r="CM141" s="159"/>
      <c r="CN141" s="159"/>
      <c r="CO141" s="159"/>
      <c r="CP141" s="159"/>
      <c r="CQ141" s="159"/>
      <c r="CR141" s="159"/>
      <c r="CS141" s="159"/>
      <c r="CT141" s="159"/>
      <c r="CU141" s="159"/>
      <c r="CV141" s="159"/>
      <c r="CW141" s="159"/>
      <c r="CX141" s="159"/>
      <c r="CY141" s="159"/>
      <c r="CZ141" s="159"/>
      <c r="DA141" s="159"/>
      <c r="DB141" s="159"/>
      <c r="DC141" s="159"/>
      <c r="DD141" s="159"/>
      <c r="DE141" s="159"/>
      <c r="DF141" s="159"/>
      <c r="DG141" s="159"/>
      <c r="DH141" s="159"/>
      <c r="DI141" s="159"/>
      <c r="DJ141" s="159"/>
      <c r="DK141" s="159"/>
      <c r="DL141" s="159"/>
      <c r="DM141" s="159"/>
      <c r="DN141" s="159"/>
      <c r="DO141" s="159"/>
      <c r="DP141" s="159"/>
      <c r="DQ141" s="159"/>
      <c r="DR141" s="159"/>
      <c r="DS141" s="159"/>
      <c r="DT141" s="159"/>
      <c r="DU141" s="159"/>
      <c r="DV141" s="159"/>
      <c r="DW141" s="159"/>
      <c r="DX141" s="159"/>
      <c r="DY141" s="159"/>
      <c r="DZ141" s="159"/>
      <c r="EA141" s="159"/>
      <c r="EB141" s="159"/>
      <c r="EC141" s="159"/>
      <c r="ED141" s="159"/>
      <c r="EE141" s="159"/>
      <c r="EF141" s="159"/>
      <c r="EG141" s="159"/>
      <c r="EH141" s="159"/>
      <c r="EI141" s="159"/>
      <c r="EJ141" s="159"/>
      <c r="EK141" s="159"/>
      <c r="EL141" s="159"/>
      <c r="EM141" s="159"/>
      <c r="EN141" s="159"/>
      <c r="EO141" s="159"/>
      <c r="EP141" s="159"/>
      <c r="EQ141" s="159"/>
      <c r="ER141" s="159"/>
      <c r="ES141" s="159"/>
      <c r="ET141" s="159"/>
      <c r="EU141" s="159"/>
      <c r="EV141" s="159"/>
      <c r="EW141" s="159"/>
      <c r="EX141" s="159"/>
      <c r="EY141" s="159"/>
      <c r="EZ141" s="159"/>
      <c r="FA141" s="159"/>
      <c r="FB141" s="159"/>
      <c r="FC141" s="159"/>
      <c r="FD141" s="159"/>
      <c r="FE141" s="159"/>
      <c r="FF141" s="159"/>
      <c r="FG141" s="159"/>
      <c r="FH141" s="159"/>
      <c r="FI141" s="159"/>
      <c r="FJ141" s="159"/>
      <c r="FK141" s="159"/>
      <c r="FL141" s="159"/>
      <c r="FM141" s="159"/>
      <c r="FN141" s="159"/>
      <c r="FO141" s="159"/>
      <c r="FP141" s="159"/>
      <c r="FQ141" s="159"/>
      <c r="FR141" s="159"/>
      <c r="FS141" s="159"/>
      <c r="FT141" s="159"/>
      <c r="FU141" s="159"/>
      <c r="FV141" s="159"/>
      <c r="FW141" s="159"/>
      <c r="FX141" s="159"/>
      <c r="FY141" s="159"/>
      <c r="FZ141" s="159"/>
      <c r="GA141" s="159"/>
      <c r="GB141" s="159"/>
      <c r="GC141" s="159"/>
      <c r="GD141" s="159"/>
      <c r="GE141" s="159"/>
      <c r="GF141" s="159"/>
      <c r="GG141" s="159"/>
      <c r="GH141" s="159"/>
      <c r="GI141" s="159"/>
      <c r="GJ141" s="159"/>
      <c r="GK141" s="159"/>
      <c r="GL141" s="159"/>
      <c r="GM141" s="159"/>
      <c r="GN141" s="159"/>
      <c r="GO141" s="159"/>
      <c r="GP141" s="159"/>
      <c r="GQ141" s="159"/>
      <c r="GR141" s="159"/>
      <c r="GS141" s="159"/>
      <c r="GT141" s="159"/>
      <c r="GU141" s="159"/>
      <c r="GV141" s="159"/>
      <c r="GW141" s="159"/>
      <c r="GX141" s="159"/>
      <c r="GY141" s="159"/>
      <c r="GZ141" s="159"/>
      <c r="HA141" s="159"/>
      <c r="HB141" s="159"/>
      <c r="HC141" s="159"/>
      <c r="HD141" s="159"/>
      <c r="HE141" s="159"/>
      <c r="HF141" s="159"/>
      <c r="HG141" s="159"/>
      <c r="HH141" s="159"/>
      <c r="HI141" s="159"/>
      <c r="HJ141" s="159"/>
      <c r="HK141" s="159"/>
      <c r="HL141" s="159"/>
      <c r="HM141" s="159"/>
      <c r="HN141" s="159"/>
      <c r="HO141" s="159"/>
      <c r="HP141" s="159"/>
      <c r="HQ141" s="159"/>
      <c r="HR141" s="159"/>
      <c r="HS141" s="159"/>
      <c r="HT141" s="159"/>
      <c r="HU141" s="159"/>
      <c r="HV141" s="159"/>
      <c r="HW141" s="159"/>
      <c r="HX141" s="159"/>
      <c r="HY141" s="159"/>
      <c r="HZ141" s="159"/>
      <c r="IA141" s="159"/>
      <c r="IB141" s="159"/>
      <c r="IC141" s="159"/>
      <c r="ID141" s="159"/>
      <c r="IE141" s="159"/>
      <c r="IF141" s="159"/>
      <c r="IG141" s="159"/>
      <c r="IH141" s="159"/>
      <c r="II141" s="159"/>
      <c r="IJ141" s="159"/>
      <c r="IK141" s="159"/>
      <c r="IL141" s="159"/>
      <c r="IM141" s="159"/>
      <c r="IN141" s="159"/>
      <c r="IO141" s="159"/>
      <c r="IP141" s="159"/>
      <c r="IQ141" s="159"/>
      <c r="IR141" s="159"/>
      <c r="IS141" s="159"/>
      <c r="IT141" s="159"/>
      <c r="IU141" s="159"/>
      <c r="IV141" s="159"/>
      <c r="IW141" s="159"/>
      <c r="IX141" s="159"/>
      <c r="IY141" s="159"/>
      <c r="IZ141" s="159"/>
      <c r="JA141" s="159"/>
      <c r="JB141" s="159"/>
      <c r="JC141" s="159"/>
      <c r="JD141" s="159"/>
      <c r="JE141" s="159"/>
      <c r="JF141" s="159"/>
      <c r="JG141" s="159"/>
      <c r="JH141" s="159"/>
      <c r="JI141" s="159"/>
      <c r="JJ141" s="159"/>
      <c r="JK141" s="159"/>
      <c r="JL141" s="159"/>
      <c r="JM141" s="159"/>
      <c r="JN141" s="159"/>
      <c r="JO141" s="159"/>
      <c r="JP141" s="159"/>
      <c r="JQ141" s="159"/>
      <c r="JR141" s="159"/>
      <c r="JS141" s="159"/>
      <c r="JT141" s="159"/>
      <c r="JU141" s="159"/>
      <c r="JV141" s="159"/>
      <c r="JW141" s="159"/>
      <c r="JX141" s="159"/>
      <c r="JY141" s="159"/>
      <c r="JZ141" s="159"/>
      <c r="KA141" s="159"/>
      <c r="KB141" s="159"/>
      <c r="KC141" s="159"/>
      <c r="KD141" s="159"/>
      <c r="KE141" s="159"/>
      <c r="KF141" s="159"/>
      <c r="KG141" s="159"/>
      <c r="KH141" s="159"/>
      <c r="KI141" s="159"/>
      <c r="KJ141" s="159"/>
      <c r="KK141" s="159"/>
      <c r="KL141" s="159"/>
      <c r="KM141" s="159"/>
      <c r="KN141" s="159"/>
      <c r="KO141" s="159"/>
      <c r="KP141" s="159"/>
      <c r="KQ141" s="159"/>
      <c r="KR141" s="159"/>
      <c r="KS141" s="159"/>
      <c r="KT141" s="159"/>
      <c r="KU141" s="159"/>
      <c r="KV141" s="159"/>
      <c r="KW141" s="159"/>
      <c r="KX141" s="159"/>
      <c r="KY141" s="159"/>
      <c r="KZ141" s="159"/>
      <c r="LA141" s="159"/>
      <c r="LB141" s="159"/>
      <c r="LC141" s="159"/>
      <c r="LD141" s="159"/>
      <c r="LE141" s="159"/>
      <c r="LF141" s="159"/>
      <c r="LG141" s="159"/>
      <c r="LH141" s="159"/>
      <c r="LI141" s="159"/>
      <c r="LJ141" s="159"/>
      <c r="LK141" s="159"/>
      <c r="LL141" s="159"/>
      <c r="LM141" s="159"/>
      <c r="LN141" s="159"/>
      <c r="LO141" s="159"/>
      <c r="LP141" s="159"/>
      <c r="LQ141" s="159"/>
      <c r="LR141" s="159"/>
      <c r="LS141" s="159"/>
      <c r="LT141" s="159"/>
      <c r="LU141" s="159"/>
      <c r="LV141" s="159"/>
      <c r="LW141" s="159"/>
      <c r="LX141" s="159"/>
      <c r="LY141" s="159"/>
      <c r="LZ141" s="159"/>
      <c r="MA141" s="159"/>
      <c r="MB141" s="159"/>
      <c r="MC141" s="159"/>
      <c r="MD141" s="159"/>
      <c r="ME141" s="159"/>
      <c r="MF141" s="159"/>
      <c r="MG141" s="159"/>
      <c r="MH141" s="159"/>
      <c r="MI141" s="159"/>
      <c r="MJ141" s="159"/>
      <c r="MK141" s="159"/>
      <c r="ML141" s="159"/>
      <c r="MM141" s="159"/>
      <c r="MN141" s="159"/>
      <c r="MO141" s="159"/>
      <c r="MP141" s="159"/>
      <c r="MQ141" s="159"/>
      <c r="MR141" s="159"/>
      <c r="MS141" s="159"/>
      <c r="MT141" s="159"/>
      <c r="MU141" s="159"/>
      <c r="MV141" s="159"/>
      <c r="MW141" s="159"/>
      <c r="MX141" s="159"/>
      <c r="MY141" s="159"/>
      <c r="MZ141" s="159"/>
      <c r="NA141" s="159"/>
      <c r="NB141" s="159"/>
      <c r="NC141" s="159"/>
      <c r="ND141" s="159"/>
      <c r="NE141" s="159"/>
      <c r="NF141" s="159"/>
      <c r="NG141" s="159"/>
      <c r="NH141" s="159"/>
      <c r="NI141" s="159"/>
      <c r="NJ141" s="159"/>
      <c r="NK141" s="159"/>
      <c r="NL141" s="159"/>
      <c r="NM141" s="159"/>
      <c r="NN141" s="159"/>
      <c r="NO141" s="159"/>
      <c r="NP141" s="159"/>
      <c r="NQ141" s="159"/>
      <c r="NR141" s="159"/>
      <c r="NS141" s="159"/>
      <c r="NT141" s="159"/>
      <c r="NU141" s="159"/>
      <c r="NV141" s="159"/>
      <c r="NW141" s="159"/>
      <c r="NX141" s="159"/>
      <c r="NY141" s="159"/>
      <c r="NZ141" s="159"/>
      <c r="OA141" s="159"/>
      <c r="OB141" s="159"/>
      <c r="OC141" s="159"/>
      <c r="OD141" s="159"/>
      <c r="OE141" s="159"/>
      <c r="OF141" s="159"/>
      <c r="OG141" s="159"/>
      <c r="OH141" s="159"/>
      <c r="OI141" s="159"/>
      <c r="OJ141" s="159"/>
      <c r="OK141" s="159"/>
      <c r="OL141" s="159"/>
      <c r="OM141" s="159"/>
      <c r="ON141" s="159"/>
      <c r="OO141" s="159"/>
      <c r="OP141" s="159"/>
      <c r="OQ141" s="159"/>
      <c r="OR141" s="159"/>
      <c r="OS141" s="159"/>
      <c r="OT141" s="159"/>
      <c r="OU141" s="159"/>
      <c r="OV141" s="159"/>
      <c r="OW141" s="159"/>
      <c r="OX141" s="159"/>
      <c r="OY141" s="159"/>
      <c r="OZ141" s="159"/>
      <c r="PA141" s="159"/>
      <c r="PB141" s="159"/>
      <c r="PC141" s="159"/>
      <c r="PD141" s="159"/>
      <c r="PE141" s="159"/>
      <c r="PF141" s="159"/>
      <c r="PG141" s="159"/>
      <c r="PH141" s="159"/>
      <c r="PI141" s="159"/>
      <c r="PJ141" s="159"/>
      <c r="PK141" s="159"/>
      <c r="PL141" s="159"/>
      <c r="PM141" s="159"/>
      <c r="PN141" s="159"/>
      <c r="PO141" s="159"/>
      <c r="PP141" s="159"/>
      <c r="PQ141" s="159"/>
      <c r="PR141" s="159"/>
      <c r="PS141" s="159"/>
      <c r="PT141" s="159"/>
      <c r="PU141" s="159"/>
      <c r="PV141" s="159"/>
      <c r="PW141" s="159"/>
      <c r="PX141" s="159"/>
      <c r="PY141" s="159"/>
      <c r="PZ141" s="159"/>
      <c r="QA141" s="159"/>
      <c r="QB141" s="159"/>
      <c r="QC141" s="159"/>
      <c r="QD141" s="159"/>
      <c r="QE141" s="159"/>
      <c r="QF141" s="159"/>
      <c r="QG141" s="159"/>
      <c r="QH141" s="159"/>
      <c r="QI141" s="159"/>
      <c r="QJ141" s="159"/>
      <c r="QK141" s="159"/>
      <c r="QL141" s="159"/>
      <c r="QM141" s="159"/>
      <c r="QN141" s="159"/>
      <c r="QO141" s="159"/>
      <c r="QP141" s="159"/>
      <c r="QQ141" s="159"/>
      <c r="QR141" s="159"/>
      <c r="QS141" s="159"/>
      <c r="QT141" s="159"/>
      <c r="QU141" s="159"/>
      <c r="QV141" s="159"/>
      <c r="QW141" s="159"/>
      <c r="QX141" s="159"/>
      <c r="QY141" s="159"/>
      <c r="QZ141" s="159"/>
      <c r="RA141" s="159"/>
      <c r="RB141" s="159"/>
      <c r="RC141" s="159"/>
      <c r="RD141" s="159"/>
      <c r="RE141" s="159"/>
      <c r="RF141" s="159"/>
      <c r="RG141" s="159"/>
      <c r="RH141" s="159"/>
      <c r="RI141" s="159"/>
      <c r="RJ141" s="159"/>
      <c r="RK141" s="159"/>
      <c r="RL141" s="159"/>
      <c r="RM141" s="159"/>
      <c r="RN141" s="159"/>
      <c r="RO141" s="159"/>
      <c r="RP141" s="159"/>
      <c r="RQ141" s="159"/>
      <c r="RR141" s="159"/>
      <c r="RS141" s="159"/>
      <c r="RT141" s="159"/>
      <c r="RU141" s="159"/>
      <c r="RV141" s="159"/>
      <c r="RW141" s="159"/>
      <c r="RX141" s="159"/>
      <c r="RY141" s="159"/>
      <c r="RZ141" s="159"/>
      <c r="SA141" s="159"/>
      <c r="SB141" s="159"/>
      <c r="SC141" s="159"/>
      <c r="SD141" s="159"/>
      <c r="SE141" s="159"/>
      <c r="SF141" s="159"/>
      <c r="SG141" s="159"/>
      <c r="SH141" s="159"/>
      <c r="SI141" s="159"/>
      <c r="SJ141" s="159"/>
      <c r="SK141" s="159"/>
      <c r="SL141" s="159"/>
      <c r="SM141" s="159"/>
      <c r="SN141" s="159"/>
      <c r="SO141" s="159"/>
      <c r="SP141" s="159"/>
      <c r="SQ141" s="159"/>
      <c r="SR141" s="159"/>
      <c r="SS141" s="159"/>
      <c r="ST141" s="159"/>
      <c r="SU141" s="159"/>
      <c r="SV141" s="159"/>
      <c r="SW141" s="159"/>
      <c r="SX141" s="159"/>
      <c r="SY141" s="159"/>
      <c r="SZ141" s="159"/>
      <c r="TA141" s="159"/>
      <c r="TB141" s="159"/>
      <c r="TC141" s="159"/>
      <c r="TD141" s="159"/>
      <c r="TE141" s="159"/>
      <c r="TF141" s="159"/>
      <c r="TG141" s="159"/>
      <c r="TH141" s="159"/>
      <c r="TI141" s="159"/>
      <c r="TJ141" s="159"/>
      <c r="TK141" s="159"/>
      <c r="TL141" s="159"/>
      <c r="TM141" s="159"/>
      <c r="TN141" s="159"/>
      <c r="TO141" s="159"/>
      <c r="TP141" s="159"/>
      <c r="TQ141" s="159"/>
      <c r="TR141" s="159"/>
      <c r="TS141" s="159"/>
      <c r="TT141" s="159"/>
      <c r="TU141" s="159"/>
      <c r="TV141" s="159"/>
      <c r="TW141" s="159"/>
      <c r="TX141" s="159"/>
      <c r="TY141" s="159"/>
      <c r="TZ141" s="159"/>
      <c r="UA141" s="159"/>
      <c r="UB141" s="159"/>
      <c r="UC141" s="159"/>
      <c r="UD141" s="159"/>
      <c r="UE141" s="159"/>
      <c r="UF141" s="159"/>
      <c r="UG141" s="159"/>
      <c r="UH141" s="159"/>
      <c r="UI141" s="159"/>
      <c r="UJ141" s="159"/>
      <c r="UK141" s="159"/>
      <c r="UL141" s="159"/>
      <c r="UM141" s="159"/>
      <c r="UN141" s="159"/>
      <c r="UO141" s="159"/>
      <c r="UP141" s="159"/>
      <c r="UQ141" s="159"/>
      <c r="UR141" s="159"/>
      <c r="US141" s="159"/>
      <c r="UT141" s="159"/>
      <c r="UU141" s="159"/>
      <c r="UV141" s="159"/>
      <c r="UW141" s="159"/>
      <c r="UX141" s="159"/>
      <c r="UY141" s="159"/>
      <c r="UZ141" s="159"/>
      <c r="VA141" s="159"/>
      <c r="VB141" s="159"/>
      <c r="VC141" s="159"/>
      <c r="VD141" s="159"/>
      <c r="VE141" s="159"/>
      <c r="VF141" s="159"/>
      <c r="VG141" s="159"/>
      <c r="VH141" s="159"/>
      <c r="VI141" s="159"/>
      <c r="VJ141" s="159"/>
      <c r="VK141" s="159"/>
      <c r="VL141" s="159"/>
      <c r="VM141" s="159"/>
      <c r="VN141" s="159"/>
      <c r="VO141" s="159"/>
      <c r="VP141" s="159"/>
      <c r="VQ141" s="159"/>
      <c r="VR141" s="159"/>
      <c r="VS141" s="159"/>
      <c r="VT141" s="159"/>
      <c r="VU141" s="159"/>
      <c r="VV141" s="159"/>
      <c r="VW141" s="159"/>
      <c r="VX141" s="159"/>
      <c r="VY141" s="159"/>
      <c r="VZ141" s="159"/>
      <c r="WA141" s="159"/>
      <c r="WB141" s="159"/>
      <c r="WC141" s="159"/>
      <c r="WD141" s="159"/>
      <c r="WE141" s="159"/>
      <c r="WF141" s="159"/>
      <c r="WG141" s="159"/>
      <c r="WH141" s="159"/>
      <c r="WI141" s="159"/>
      <c r="WJ141" s="159"/>
      <c r="WK141" s="159"/>
      <c r="WL141" s="159"/>
      <c r="WM141" s="159"/>
      <c r="WN141" s="159"/>
      <c r="WO141" s="159"/>
      <c r="WP141" s="159"/>
      <c r="WQ141" s="159"/>
      <c r="WR141" s="159"/>
      <c r="WS141" s="159"/>
      <c r="WT141" s="159"/>
      <c r="WU141" s="159"/>
      <c r="WV141" s="159"/>
      <c r="WW141" s="159"/>
      <c r="WX141" s="159"/>
      <c r="WY141" s="159"/>
      <c r="WZ141" s="159"/>
      <c r="XA141" s="159"/>
      <c r="XB141" s="159"/>
      <c r="XC141" s="159"/>
      <c r="XD141" s="159"/>
      <c r="XE141" s="159"/>
      <c r="XF141" s="159"/>
      <c r="XG141" s="159"/>
      <c r="XH141" s="159"/>
      <c r="XI141" s="159"/>
      <c r="XJ141" s="159"/>
      <c r="XK141" s="159"/>
      <c r="XL141" s="159"/>
      <c r="XM141" s="159"/>
      <c r="XN141" s="159"/>
      <c r="XO141" s="159"/>
      <c r="XP141" s="159"/>
      <c r="XQ141" s="159"/>
      <c r="XR141" s="159"/>
      <c r="XS141" s="159"/>
      <c r="XT141" s="159"/>
      <c r="XU141" s="159"/>
      <c r="XV141" s="159"/>
      <c r="XW141" s="159"/>
      <c r="XX141" s="159"/>
      <c r="XY141" s="159"/>
      <c r="XZ141" s="159"/>
      <c r="YA141" s="159"/>
      <c r="YB141" s="159"/>
      <c r="YC141" s="159"/>
      <c r="YD141" s="159"/>
      <c r="YE141" s="159"/>
      <c r="YF141" s="159"/>
      <c r="YG141" s="159"/>
      <c r="YH141" s="159"/>
      <c r="YI141" s="159"/>
      <c r="YJ141" s="159"/>
      <c r="YK141" s="159"/>
      <c r="YL141" s="159"/>
      <c r="YM141" s="159"/>
      <c r="YN141" s="159"/>
      <c r="YO141" s="159"/>
      <c r="YP141" s="159"/>
      <c r="YQ141" s="159"/>
      <c r="YR141" s="159"/>
      <c r="YS141" s="159"/>
      <c r="YT141" s="159"/>
      <c r="YU141" s="159"/>
      <c r="YV141" s="159"/>
      <c r="YW141" s="159"/>
      <c r="YX141" s="159"/>
      <c r="YY141" s="159"/>
      <c r="YZ141" s="159"/>
      <c r="ZA141" s="159"/>
      <c r="ZB141" s="159"/>
      <c r="ZC141" s="159"/>
      <c r="ZD141" s="159"/>
      <c r="ZE141" s="159"/>
      <c r="ZF141" s="159"/>
      <c r="ZG141" s="159"/>
      <c r="ZH141" s="159"/>
      <c r="ZI141" s="159"/>
      <c r="ZJ141" s="159"/>
      <c r="ZK141" s="159"/>
      <c r="ZL141" s="159"/>
      <c r="ZM141" s="159"/>
      <c r="ZN141" s="159"/>
      <c r="ZO141" s="159"/>
      <c r="ZP141" s="159"/>
      <c r="ZQ141" s="159"/>
      <c r="ZR141" s="159"/>
      <c r="ZS141" s="159"/>
      <c r="ZT141" s="159"/>
      <c r="ZU141" s="159"/>
      <c r="ZV141" s="159"/>
      <c r="ZW141" s="159"/>
      <c r="ZX141" s="159"/>
      <c r="ZY141" s="159"/>
      <c r="ZZ141" s="159"/>
      <c r="AAA141" s="159"/>
      <c r="AAB141" s="159"/>
      <c r="AAC141" s="159"/>
      <c r="AAD141" s="159"/>
      <c r="AAE141" s="159"/>
      <c r="AAF141" s="159"/>
      <c r="AAG141" s="159"/>
      <c r="AAH141" s="159"/>
      <c r="AAI141" s="159"/>
      <c r="AAJ141" s="159"/>
      <c r="AAK141" s="159"/>
      <c r="AAL141" s="159"/>
      <c r="AAM141" s="159"/>
      <c r="AAN141" s="159"/>
      <c r="AAO141" s="159"/>
      <c r="AAP141" s="159"/>
      <c r="AAQ141" s="159"/>
      <c r="AAR141" s="159"/>
      <c r="AAS141" s="159"/>
      <c r="AAT141" s="159"/>
      <c r="AAU141" s="159"/>
      <c r="AAV141" s="159"/>
      <c r="AAW141" s="159"/>
      <c r="AAX141" s="159"/>
      <c r="AAY141" s="159"/>
      <c r="AAZ141" s="159"/>
      <c r="ABA141" s="159"/>
      <c r="ABB141" s="159"/>
      <c r="ABC141" s="159"/>
      <c r="ABD141" s="159"/>
      <c r="ABE141" s="159"/>
      <c r="ABF141" s="159"/>
      <c r="ABG141" s="159"/>
      <c r="ABH141" s="159"/>
      <c r="ABI141" s="159"/>
      <c r="ABJ141" s="159"/>
      <c r="ABK141" s="159"/>
      <c r="ABL141" s="159"/>
      <c r="ABM141" s="159"/>
      <c r="ABN141" s="159"/>
      <c r="ABO141" s="159"/>
      <c r="ABP141" s="159"/>
      <c r="ABQ141" s="159"/>
      <c r="ABR141" s="159"/>
      <c r="ABS141" s="159"/>
      <c r="ABT141" s="159"/>
      <c r="ABU141" s="159"/>
      <c r="ABV141" s="159"/>
      <c r="ABW141" s="159"/>
      <c r="ABX141" s="159"/>
      <c r="ABY141" s="159"/>
      <c r="ABZ141" s="159"/>
      <c r="ACA141" s="159"/>
      <c r="ACB141" s="159"/>
      <c r="ACC141" s="159"/>
      <c r="ACD141" s="159"/>
      <c r="ACE141" s="159"/>
      <c r="ACF141" s="159"/>
      <c r="ACG141" s="159"/>
      <c r="ACH141" s="159"/>
      <c r="ACI141" s="159"/>
      <c r="ACJ141" s="159"/>
      <c r="ACK141" s="159"/>
      <c r="ACL141" s="159"/>
      <c r="ACM141" s="159"/>
      <c r="ACN141" s="159"/>
      <c r="ACO141" s="159"/>
      <c r="ACP141" s="159"/>
      <c r="ACQ141" s="159"/>
      <c r="ACR141" s="159"/>
      <c r="ACS141" s="159"/>
      <c r="ACT141" s="159"/>
      <c r="ACU141" s="159"/>
      <c r="ACV141" s="159"/>
      <c r="ACW141" s="159"/>
      <c r="ACX141" s="159"/>
      <c r="ACY141" s="159"/>
      <c r="ACZ141" s="159"/>
      <c r="ADA141" s="159"/>
      <c r="ADB141" s="159"/>
      <c r="ADC141" s="159"/>
      <c r="ADD141" s="159"/>
      <c r="ADE141" s="159"/>
      <c r="ADF141" s="159"/>
      <c r="ADG141" s="159"/>
      <c r="ADH141" s="159"/>
      <c r="ADI141" s="159"/>
      <c r="ADJ141" s="159"/>
      <c r="ADK141" s="159"/>
      <c r="ADL141" s="159"/>
      <c r="ADM141" s="159"/>
      <c r="ADN141" s="159"/>
      <c r="ADO141" s="159"/>
      <c r="ADP141" s="159"/>
      <c r="ADQ141" s="159"/>
      <c r="ADR141" s="159"/>
      <c r="ADS141" s="159"/>
      <c r="ADT141" s="159"/>
      <c r="ADU141" s="159"/>
      <c r="ADV141" s="159"/>
      <c r="ADW141" s="159"/>
      <c r="ADX141" s="159"/>
      <c r="ADY141" s="159"/>
      <c r="ADZ141" s="159"/>
      <c r="AEA141" s="159"/>
      <c r="AEB141" s="159"/>
      <c r="AEC141" s="159"/>
      <c r="AED141" s="159"/>
      <c r="AEE141" s="159"/>
      <c r="AEF141" s="159"/>
      <c r="AEG141" s="159"/>
      <c r="AEH141" s="159"/>
      <c r="AEI141" s="159"/>
      <c r="AEJ141" s="159"/>
      <c r="AEK141" s="159"/>
      <c r="AEL141" s="159"/>
      <c r="AEM141" s="159"/>
      <c r="AEN141" s="159"/>
      <c r="AEO141" s="159"/>
      <c r="AEP141" s="159"/>
      <c r="AEQ141" s="159"/>
      <c r="AER141" s="159"/>
      <c r="AES141" s="159"/>
      <c r="AET141" s="159"/>
      <c r="AEU141" s="159"/>
      <c r="AEV141" s="159"/>
      <c r="AEW141" s="159"/>
      <c r="AEX141" s="159"/>
      <c r="AEY141" s="159"/>
      <c r="AEZ141" s="159"/>
      <c r="AFA141" s="159"/>
      <c r="AFB141" s="159"/>
      <c r="AFC141" s="159"/>
      <c r="AFD141" s="159"/>
      <c r="AFE141" s="159"/>
      <c r="AFF141" s="159"/>
      <c r="AFG141" s="159"/>
      <c r="AFH141" s="159"/>
      <c r="AFI141" s="159"/>
      <c r="AFJ141" s="159"/>
      <c r="AFK141" s="159"/>
      <c r="AFL141" s="159"/>
      <c r="AFM141" s="159"/>
      <c r="AFN141" s="159"/>
      <c r="AFO141" s="159"/>
      <c r="AFP141" s="159"/>
      <c r="AFQ141" s="159"/>
      <c r="AFR141" s="159"/>
      <c r="AFS141" s="159"/>
      <c r="AFT141" s="159"/>
      <c r="AFU141" s="159"/>
      <c r="AFV141" s="159"/>
      <c r="AFW141" s="159"/>
      <c r="AFX141" s="159"/>
      <c r="AFY141" s="159"/>
      <c r="AFZ141" s="159"/>
      <c r="AGA141" s="159"/>
      <c r="AGB141" s="159"/>
      <c r="AGC141" s="159"/>
      <c r="AGD141" s="159"/>
      <c r="AGE141" s="159"/>
      <c r="AGF141" s="159"/>
      <c r="AGG141" s="159"/>
      <c r="AGH141" s="159"/>
      <c r="AGI141" s="159"/>
      <c r="AGJ141" s="159"/>
      <c r="AGK141" s="159"/>
      <c r="AGL141" s="159"/>
      <c r="AGM141" s="159"/>
      <c r="AGN141" s="159"/>
      <c r="AGO141" s="159"/>
      <c r="AGP141" s="159"/>
      <c r="AGQ141" s="159"/>
      <c r="AGR141" s="159"/>
      <c r="AGS141" s="159"/>
      <c r="AGT141" s="159"/>
      <c r="AGU141" s="159"/>
      <c r="AGV141" s="159"/>
      <c r="AGW141" s="159"/>
      <c r="AGX141" s="159"/>
      <c r="AGY141" s="159"/>
      <c r="AGZ141" s="159"/>
      <c r="AHA141" s="159"/>
      <c r="AHB141" s="159"/>
      <c r="AHC141" s="159"/>
      <c r="AHD141" s="159"/>
      <c r="AHE141" s="159"/>
      <c r="AHF141" s="159"/>
      <c r="AHG141" s="159"/>
      <c r="AHH141" s="159"/>
      <c r="AHI141" s="159"/>
      <c r="AHJ141" s="159"/>
      <c r="AHK141" s="159"/>
      <c r="AHL141" s="159"/>
      <c r="AHM141" s="159"/>
      <c r="AHN141" s="159"/>
      <c r="AHO141" s="159"/>
      <c r="AHP141" s="159"/>
      <c r="AHQ141" s="159"/>
      <c r="AHR141" s="159"/>
      <c r="AHS141" s="159"/>
      <c r="AHT141" s="159"/>
      <c r="AHU141" s="159"/>
      <c r="AHV141" s="159"/>
      <c r="AHW141" s="159"/>
      <c r="AHX141" s="159"/>
      <c r="AHY141" s="159"/>
      <c r="AHZ141" s="159"/>
      <c r="AIA141" s="159"/>
      <c r="AIB141" s="159"/>
      <c r="AIC141" s="159"/>
      <c r="AID141" s="159"/>
      <c r="AIE141" s="159"/>
      <c r="AIF141" s="159"/>
      <c r="AIG141" s="159"/>
      <c r="AIH141" s="159"/>
      <c r="AII141" s="159"/>
      <c r="AIJ141" s="159"/>
      <c r="AIK141" s="159"/>
      <c r="AIL141" s="159"/>
      <c r="AIM141" s="159"/>
      <c r="AIN141" s="159"/>
      <c r="AIO141" s="159"/>
      <c r="AIP141" s="159"/>
      <c r="AIQ141" s="159"/>
      <c r="AIR141" s="159"/>
      <c r="AIS141" s="159"/>
      <c r="AIT141" s="159"/>
      <c r="AIU141" s="159"/>
      <c r="AIV141" s="159"/>
      <c r="AIW141" s="159"/>
      <c r="AIX141" s="159"/>
      <c r="AIY141" s="159"/>
      <c r="AIZ141" s="159"/>
      <c r="AJA141" s="159"/>
      <c r="AJB141" s="159"/>
      <c r="AJC141" s="159"/>
      <c r="AJD141" s="159"/>
      <c r="AJE141" s="159"/>
      <c r="AJF141" s="159"/>
      <c r="AJG141" s="159"/>
      <c r="AJH141" s="159"/>
      <c r="AJI141" s="159"/>
      <c r="AJJ141" s="159"/>
      <c r="AJK141" s="159"/>
      <c r="AJL141" s="159"/>
      <c r="AJM141" s="159"/>
      <c r="AJN141" s="159"/>
      <c r="AJO141" s="159"/>
      <c r="AJP141" s="159"/>
      <c r="AJQ141" s="159"/>
      <c r="AJR141" s="159"/>
      <c r="AJS141" s="159"/>
      <c r="AJT141" s="159"/>
      <c r="AJU141" s="159"/>
      <c r="AJV141" s="159"/>
      <c r="AJW141" s="159"/>
      <c r="AJX141" s="159"/>
      <c r="AJY141" s="159"/>
      <c r="AJZ141" s="159"/>
      <c r="AKA141" s="159"/>
      <c r="AKB141" s="159"/>
      <c r="AKC141" s="159"/>
      <c r="AKD141" s="159"/>
      <c r="AKE141" s="159"/>
      <c r="AKF141" s="159"/>
      <c r="AKG141" s="159"/>
      <c r="AKH141" s="159"/>
      <c r="AKI141" s="159"/>
      <c r="AKJ141" s="159"/>
      <c r="AKK141" s="159"/>
      <c r="AKL141" s="159"/>
      <c r="AKM141" s="159"/>
      <c r="AKN141" s="159"/>
      <c r="AKO141" s="159"/>
      <c r="AKP141" s="159"/>
      <c r="AKQ141" s="159"/>
      <c r="AKR141" s="159"/>
      <c r="AKS141" s="159"/>
      <c r="AKT141" s="159"/>
      <c r="AKU141" s="159"/>
      <c r="AKV141" s="159"/>
      <c r="AKW141" s="159"/>
      <c r="AKX141" s="159"/>
      <c r="AKY141" s="159"/>
      <c r="AKZ141" s="159"/>
      <c r="ALA141" s="159"/>
      <c r="ALB141" s="159"/>
      <c r="ALC141" s="159"/>
      <c r="ALD141" s="159"/>
      <c r="ALE141" s="159"/>
      <c r="ALF141" s="159"/>
      <c r="ALG141" s="159"/>
      <c r="ALH141" s="159"/>
      <c r="ALI141" s="159"/>
      <c r="ALJ141" s="159"/>
      <c r="ALK141" s="159"/>
      <c r="ALL141" s="159"/>
      <c r="ALM141" s="159"/>
      <c r="ALN141" s="159"/>
      <c r="ALO141" s="159"/>
      <c r="ALP141" s="159"/>
      <c r="ALQ141" s="159"/>
      <c r="ALR141" s="159"/>
      <c r="ALS141" s="159"/>
      <c r="ALT141" s="159"/>
      <c r="ALU141" s="159"/>
      <c r="ALV141" s="159"/>
      <c r="ALW141" s="159"/>
      <c r="ALX141" s="159"/>
      <c r="ALY141" s="159"/>
      <c r="ALZ141" s="159"/>
      <c r="AMA141" s="159"/>
      <c r="AMB141" s="159"/>
      <c r="AMC141" s="159"/>
      <c r="AMD141" s="159"/>
      <c r="AME141" s="159"/>
      <c r="AMF141" s="159"/>
      <c r="AMG141" s="159"/>
      <c r="AMH141" s="159"/>
      <c r="AMI141" s="159"/>
      <c r="AMJ141" s="159"/>
      <c r="AMK141" s="159"/>
      <c r="AML141" s="159"/>
      <c r="AMM141" s="159"/>
      <c r="AMN141" s="159"/>
      <c r="AMO141" s="159"/>
    </row>
    <row r="142" spans="1:1029" s="161" customFormat="1" ht="25.5" x14ac:dyDescent="0.25">
      <c r="A142" s="138">
        <v>46219</v>
      </c>
      <c r="B142" s="99" t="s">
        <v>193</v>
      </c>
      <c r="C142" s="99" t="s">
        <v>10</v>
      </c>
      <c r="D142" s="160" t="s">
        <v>31</v>
      </c>
      <c r="E142" s="118" t="s">
        <v>8</v>
      </c>
      <c r="F142" s="99" t="s">
        <v>125</v>
      </c>
      <c r="G142" s="99" t="s">
        <v>31</v>
      </c>
      <c r="H142" s="141">
        <f t="shared" si="12"/>
        <v>0.5</v>
      </c>
      <c r="I142" s="121" t="s">
        <v>144</v>
      </c>
      <c r="J142" s="121" t="s">
        <v>151</v>
      </c>
      <c r="K142" s="121" t="s">
        <v>31</v>
      </c>
      <c r="L142" s="141">
        <f t="shared" si="13"/>
        <v>0.5</v>
      </c>
      <c r="M142" s="121" t="s">
        <v>19</v>
      </c>
      <c r="N142" s="121" t="s">
        <v>77</v>
      </c>
      <c r="O142" s="121" t="s">
        <v>90</v>
      </c>
      <c r="P142" s="141" t="b">
        <f t="shared" si="14"/>
        <v>0</v>
      </c>
      <c r="Q142" s="149" t="s">
        <v>64</v>
      </c>
      <c r="R142" s="99" t="s">
        <v>279</v>
      </c>
      <c r="S142" s="99" t="s">
        <v>31</v>
      </c>
      <c r="T142" s="141">
        <f t="shared" si="15"/>
        <v>0.5</v>
      </c>
      <c r="U142" s="159"/>
      <c r="V142" s="159"/>
      <c r="W142" s="159"/>
      <c r="X142" s="159"/>
      <c r="Y142" s="159"/>
      <c r="Z142" s="159"/>
      <c r="AA142" s="159"/>
      <c r="AB142" s="159"/>
      <c r="AC142" s="159"/>
      <c r="AD142" s="159"/>
      <c r="AE142" s="159"/>
      <c r="AF142" s="159"/>
      <c r="AG142" s="159"/>
      <c r="AH142" s="159"/>
      <c r="AI142" s="159"/>
      <c r="AJ142" s="159"/>
      <c r="AK142" s="159"/>
      <c r="AL142" s="159"/>
      <c r="AM142" s="159"/>
      <c r="AN142" s="159"/>
      <c r="AO142" s="159"/>
      <c r="AP142" s="159"/>
      <c r="AQ142" s="159"/>
      <c r="AR142" s="159"/>
      <c r="AS142" s="159"/>
      <c r="AT142" s="159"/>
      <c r="AU142" s="159"/>
      <c r="AV142" s="159"/>
      <c r="AW142" s="159"/>
      <c r="AX142" s="159"/>
      <c r="AY142" s="159"/>
      <c r="AZ142" s="159"/>
      <c r="BA142" s="159"/>
      <c r="BB142" s="159"/>
      <c r="BC142" s="159"/>
      <c r="BD142" s="159"/>
      <c r="BE142" s="159"/>
      <c r="BF142" s="159"/>
      <c r="BG142" s="159"/>
      <c r="BH142" s="159"/>
      <c r="BI142" s="159"/>
      <c r="BJ142" s="159"/>
      <c r="BK142" s="159"/>
      <c r="BL142" s="159"/>
      <c r="BM142" s="159"/>
      <c r="BN142" s="159"/>
      <c r="BO142" s="159"/>
      <c r="BP142" s="159"/>
      <c r="BQ142" s="159"/>
      <c r="BR142" s="159"/>
      <c r="BS142" s="159"/>
      <c r="BT142" s="159"/>
      <c r="BU142" s="159"/>
      <c r="BV142" s="159"/>
      <c r="BW142" s="159"/>
      <c r="BX142" s="159"/>
      <c r="BY142" s="159"/>
      <c r="BZ142" s="159"/>
      <c r="CA142" s="159"/>
      <c r="CB142" s="159"/>
      <c r="CC142" s="159"/>
      <c r="CD142" s="159"/>
      <c r="CE142" s="159"/>
      <c r="CF142" s="159"/>
      <c r="CG142" s="159"/>
      <c r="CH142" s="159"/>
      <c r="CI142" s="159"/>
      <c r="CJ142" s="159"/>
      <c r="CK142" s="159"/>
      <c r="CL142" s="159"/>
      <c r="CM142" s="159"/>
      <c r="CN142" s="159"/>
      <c r="CO142" s="159"/>
      <c r="CP142" s="159"/>
      <c r="CQ142" s="159"/>
      <c r="CR142" s="159"/>
      <c r="CS142" s="159"/>
      <c r="CT142" s="159"/>
      <c r="CU142" s="159"/>
      <c r="CV142" s="159"/>
      <c r="CW142" s="159"/>
      <c r="CX142" s="159"/>
      <c r="CY142" s="159"/>
      <c r="CZ142" s="159"/>
      <c r="DA142" s="159"/>
      <c r="DB142" s="159"/>
      <c r="DC142" s="159"/>
      <c r="DD142" s="159"/>
      <c r="DE142" s="159"/>
      <c r="DF142" s="159"/>
      <c r="DG142" s="159"/>
      <c r="DH142" s="159"/>
      <c r="DI142" s="159"/>
      <c r="DJ142" s="159"/>
      <c r="DK142" s="159"/>
      <c r="DL142" s="159"/>
      <c r="DM142" s="159"/>
      <c r="DN142" s="159"/>
      <c r="DO142" s="159"/>
      <c r="DP142" s="159"/>
      <c r="DQ142" s="159"/>
      <c r="DR142" s="159"/>
      <c r="DS142" s="159"/>
      <c r="DT142" s="159"/>
      <c r="DU142" s="159"/>
      <c r="DV142" s="159"/>
      <c r="DW142" s="159"/>
      <c r="DX142" s="159"/>
      <c r="DY142" s="159"/>
      <c r="DZ142" s="159"/>
      <c r="EA142" s="159"/>
      <c r="EB142" s="159"/>
      <c r="EC142" s="159"/>
      <c r="ED142" s="159"/>
      <c r="EE142" s="159"/>
      <c r="EF142" s="159"/>
      <c r="EG142" s="159"/>
      <c r="EH142" s="159"/>
      <c r="EI142" s="159"/>
      <c r="EJ142" s="159"/>
      <c r="EK142" s="159"/>
      <c r="EL142" s="159"/>
      <c r="EM142" s="159"/>
      <c r="EN142" s="159"/>
      <c r="EO142" s="159"/>
      <c r="EP142" s="159"/>
      <c r="EQ142" s="159"/>
      <c r="ER142" s="159"/>
      <c r="ES142" s="159"/>
      <c r="ET142" s="159"/>
      <c r="EU142" s="159"/>
      <c r="EV142" s="159"/>
      <c r="EW142" s="159"/>
      <c r="EX142" s="159"/>
      <c r="EY142" s="159"/>
      <c r="EZ142" s="159"/>
      <c r="FA142" s="159"/>
      <c r="FB142" s="159"/>
      <c r="FC142" s="159"/>
      <c r="FD142" s="159"/>
      <c r="FE142" s="159"/>
      <c r="FF142" s="159"/>
      <c r="FG142" s="159"/>
      <c r="FH142" s="159"/>
      <c r="FI142" s="159"/>
      <c r="FJ142" s="159"/>
      <c r="FK142" s="159"/>
      <c r="FL142" s="159"/>
      <c r="FM142" s="159"/>
      <c r="FN142" s="159"/>
      <c r="FO142" s="159"/>
      <c r="FP142" s="159"/>
      <c r="FQ142" s="159"/>
      <c r="FR142" s="159"/>
      <c r="FS142" s="159"/>
      <c r="FT142" s="159"/>
      <c r="FU142" s="159"/>
      <c r="FV142" s="159"/>
      <c r="FW142" s="159"/>
      <c r="FX142" s="159"/>
      <c r="FY142" s="159"/>
      <c r="FZ142" s="159"/>
      <c r="GA142" s="159"/>
      <c r="GB142" s="159"/>
      <c r="GC142" s="159"/>
      <c r="GD142" s="159"/>
      <c r="GE142" s="159"/>
      <c r="GF142" s="159"/>
      <c r="GG142" s="159"/>
      <c r="GH142" s="159"/>
      <c r="GI142" s="159"/>
      <c r="GJ142" s="159"/>
      <c r="GK142" s="159"/>
      <c r="GL142" s="159"/>
      <c r="GM142" s="159"/>
      <c r="GN142" s="159"/>
      <c r="GO142" s="159"/>
      <c r="GP142" s="159"/>
      <c r="GQ142" s="159"/>
      <c r="GR142" s="159"/>
      <c r="GS142" s="159"/>
      <c r="GT142" s="159"/>
      <c r="GU142" s="159"/>
      <c r="GV142" s="159"/>
      <c r="GW142" s="159"/>
      <c r="GX142" s="159"/>
      <c r="GY142" s="159"/>
      <c r="GZ142" s="159"/>
      <c r="HA142" s="159"/>
      <c r="HB142" s="159"/>
      <c r="HC142" s="159"/>
      <c r="HD142" s="159"/>
      <c r="HE142" s="159"/>
      <c r="HF142" s="159"/>
      <c r="HG142" s="159"/>
      <c r="HH142" s="159"/>
      <c r="HI142" s="159"/>
      <c r="HJ142" s="159"/>
      <c r="HK142" s="159"/>
      <c r="HL142" s="159"/>
      <c r="HM142" s="159"/>
      <c r="HN142" s="159"/>
      <c r="HO142" s="159"/>
      <c r="HP142" s="159"/>
      <c r="HQ142" s="159"/>
      <c r="HR142" s="159"/>
      <c r="HS142" s="159"/>
      <c r="HT142" s="159"/>
      <c r="HU142" s="159"/>
      <c r="HV142" s="159"/>
      <c r="HW142" s="159"/>
      <c r="HX142" s="159"/>
      <c r="HY142" s="159"/>
      <c r="HZ142" s="159"/>
      <c r="IA142" s="159"/>
      <c r="IB142" s="159"/>
      <c r="IC142" s="159"/>
      <c r="ID142" s="159"/>
      <c r="IE142" s="159"/>
      <c r="IF142" s="159"/>
      <c r="IG142" s="159"/>
      <c r="IH142" s="159"/>
      <c r="II142" s="159"/>
      <c r="IJ142" s="159"/>
      <c r="IK142" s="159"/>
      <c r="IL142" s="159"/>
      <c r="IM142" s="159"/>
      <c r="IN142" s="159"/>
      <c r="IO142" s="159"/>
      <c r="IP142" s="159"/>
      <c r="IQ142" s="159"/>
      <c r="IR142" s="159"/>
      <c r="IS142" s="159"/>
      <c r="IT142" s="159"/>
      <c r="IU142" s="159"/>
      <c r="IV142" s="159"/>
      <c r="IW142" s="159"/>
      <c r="IX142" s="159"/>
      <c r="IY142" s="159"/>
      <c r="IZ142" s="159"/>
      <c r="JA142" s="159"/>
      <c r="JB142" s="159"/>
      <c r="JC142" s="159"/>
      <c r="JD142" s="159"/>
      <c r="JE142" s="159"/>
      <c r="JF142" s="159"/>
      <c r="JG142" s="159"/>
      <c r="JH142" s="159"/>
      <c r="JI142" s="159"/>
      <c r="JJ142" s="159"/>
      <c r="JK142" s="159"/>
      <c r="JL142" s="159"/>
      <c r="JM142" s="159"/>
      <c r="JN142" s="159"/>
      <c r="JO142" s="159"/>
      <c r="JP142" s="159"/>
      <c r="JQ142" s="159"/>
      <c r="JR142" s="159"/>
      <c r="JS142" s="159"/>
      <c r="JT142" s="159"/>
      <c r="JU142" s="159"/>
      <c r="JV142" s="159"/>
      <c r="JW142" s="159"/>
      <c r="JX142" s="159"/>
      <c r="JY142" s="159"/>
      <c r="JZ142" s="159"/>
      <c r="KA142" s="159"/>
      <c r="KB142" s="159"/>
      <c r="KC142" s="159"/>
      <c r="KD142" s="159"/>
      <c r="KE142" s="159"/>
      <c r="KF142" s="159"/>
      <c r="KG142" s="159"/>
      <c r="KH142" s="159"/>
      <c r="KI142" s="159"/>
      <c r="KJ142" s="159"/>
      <c r="KK142" s="159"/>
      <c r="KL142" s="159"/>
      <c r="KM142" s="159"/>
      <c r="KN142" s="159"/>
      <c r="KO142" s="159"/>
      <c r="KP142" s="159"/>
      <c r="KQ142" s="159"/>
      <c r="KR142" s="159"/>
      <c r="KS142" s="159"/>
      <c r="KT142" s="159"/>
      <c r="KU142" s="159"/>
      <c r="KV142" s="159"/>
      <c r="KW142" s="159"/>
      <c r="KX142" s="159"/>
      <c r="KY142" s="159"/>
      <c r="KZ142" s="159"/>
      <c r="LA142" s="159"/>
      <c r="LB142" s="159"/>
      <c r="LC142" s="159"/>
      <c r="LD142" s="159"/>
      <c r="LE142" s="159"/>
      <c r="LF142" s="159"/>
      <c r="LG142" s="159"/>
      <c r="LH142" s="159"/>
      <c r="LI142" s="159"/>
      <c r="LJ142" s="159"/>
      <c r="LK142" s="159"/>
      <c r="LL142" s="159"/>
      <c r="LM142" s="159"/>
      <c r="LN142" s="159"/>
      <c r="LO142" s="159"/>
      <c r="LP142" s="159"/>
      <c r="LQ142" s="159"/>
      <c r="LR142" s="159"/>
      <c r="LS142" s="159"/>
      <c r="LT142" s="159"/>
      <c r="LU142" s="159"/>
      <c r="LV142" s="159"/>
      <c r="LW142" s="159"/>
      <c r="LX142" s="159"/>
      <c r="LY142" s="159"/>
      <c r="LZ142" s="159"/>
      <c r="MA142" s="159"/>
      <c r="MB142" s="159"/>
      <c r="MC142" s="159"/>
      <c r="MD142" s="159"/>
      <c r="ME142" s="159"/>
      <c r="MF142" s="159"/>
      <c r="MG142" s="159"/>
      <c r="MH142" s="159"/>
      <c r="MI142" s="159"/>
      <c r="MJ142" s="159"/>
      <c r="MK142" s="159"/>
      <c r="ML142" s="159"/>
      <c r="MM142" s="159"/>
      <c r="MN142" s="159"/>
      <c r="MO142" s="159"/>
      <c r="MP142" s="159"/>
      <c r="MQ142" s="159"/>
      <c r="MR142" s="159"/>
      <c r="MS142" s="159"/>
      <c r="MT142" s="159"/>
      <c r="MU142" s="159"/>
      <c r="MV142" s="159"/>
      <c r="MW142" s="159"/>
      <c r="MX142" s="159"/>
      <c r="MY142" s="159"/>
      <c r="MZ142" s="159"/>
      <c r="NA142" s="159"/>
      <c r="NB142" s="159"/>
      <c r="NC142" s="159"/>
      <c r="ND142" s="159"/>
      <c r="NE142" s="159"/>
      <c r="NF142" s="159"/>
      <c r="NG142" s="159"/>
      <c r="NH142" s="159"/>
      <c r="NI142" s="159"/>
      <c r="NJ142" s="159"/>
      <c r="NK142" s="159"/>
      <c r="NL142" s="159"/>
      <c r="NM142" s="159"/>
      <c r="NN142" s="159"/>
      <c r="NO142" s="159"/>
      <c r="NP142" s="159"/>
      <c r="NQ142" s="159"/>
      <c r="NR142" s="159"/>
      <c r="NS142" s="159"/>
      <c r="NT142" s="159"/>
      <c r="NU142" s="159"/>
      <c r="NV142" s="159"/>
      <c r="NW142" s="159"/>
      <c r="NX142" s="159"/>
      <c r="NY142" s="159"/>
      <c r="NZ142" s="159"/>
      <c r="OA142" s="159"/>
      <c r="OB142" s="159"/>
      <c r="OC142" s="159"/>
      <c r="OD142" s="159"/>
      <c r="OE142" s="159"/>
      <c r="OF142" s="159"/>
      <c r="OG142" s="159"/>
      <c r="OH142" s="159"/>
      <c r="OI142" s="159"/>
      <c r="OJ142" s="159"/>
      <c r="OK142" s="159"/>
      <c r="OL142" s="159"/>
      <c r="OM142" s="159"/>
      <c r="ON142" s="159"/>
      <c r="OO142" s="159"/>
      <c r="OP142" s="159"/>
      <c r="OQ142" s="159"/>
      <c r="OR142" s="159"/>
      <c r="OS142" s="159"/>
      <c r="OT142" s="159"/>
      <c r="OU142" s="159"/>
      <c r="OV142" s="159"/>
      <c r="OW142" s="159"/>
      <c r="OX142" s="159"/>
      <c r="OY142" s="159"/>
      <c r="OZ142" s="159"/>
      <c r="PA142" s="159"/>
      <c r="PB142" s="159"/>
      <c r="PC142" s="159"/>
      <c r="PD142" s="159"/>
      <c r="PE142" s="159"/>
      <c r="PF142" s="159"/>
      <c r="PG142" s="159"/>
      <c r="PH142" s="159"/>
      <c r="PI142" s="159"/>
      <c r="PJ142" s="159"/>
      <c r="PK142" s="159"/>
      <c r="PL142" s="159"/>
      <c r="PM142" s="159"/>
      <c r="PN142" s="159"/>
      <c r="PO142" s="159"/>
      <c r="PP142" s="159"/>
      <c r="PQ142" s="159"/>
      <c r="PR142" s="159"/>
      <c r="PS142" s="159"/>
      <c r="PT142" s="159"/>
      <c r="PU142" s="159"/>
      <c r="PV142" s="159"/>
      <c r="PW142" s="159"/>
      <c r="PX142" s="159"/>
      <c r="PY142" s="159"/>
      <c r="PZ142" s="159"/>
      <c r="QA142" s="159"/>
      <c r="QB142" s="159"/>
      <c r="QC142" s="159"/>
      <c r="QD142" s="159"/>
      <c r="QE142" s="159"/>
      <c r="QF142" s="159"/>
      <c r="QG142" s="159"/>
      <c r="QH142" s="159"/>
      <c r="QI142" s="159"/>
      <c r="QJ142" s="159"/>
      <c r="QK142" s="159"/>
      <c r="QL142" s="159"/>
      <c r="QM142" s="159"/>
      <c r="QN142" s="159"/>
      <c r="QO142" s="159"/>
      <c r="QP142" s="159"/>
      <c r="QQ142" s="159"/>
      <c r="QR142" s="159"/>
      <c r="QS142" s="159"/>
      <c r="QT142" s="159"/>
      <c r="QU142" s="159"/>
      <c r="QV142" s="159"/>
      <c r="QW142" s="159"/>
      <c r="QX142" s="159"/>
      <c r="QY142" s="159"/>
      <c r="QZ142" s="159"/>
      <c r="RA142" s="159"/>
      <c r="RB142" s="159"/>
      <c r="RC142" s="159"/>
      <c r="RD142" s="159"/>
      <c r="RE142" s="159"/>
      <c r="RF142" s="159"/>
      <c r="RG142" s="159"/>
      <c r="RH142" s="159"/>
      <c r="RI142" s="159"/>
      <c r="RJ142" s="159"/>
      <c r="RK142" s="159"/>
      <c r="RL142" s="159"/>
      <c r="RM142" s="159"/>
      <c r="RN142" s="159"/>
      <c r="RO142" s="159"/>
      <c r="RP142" s="159"/>
      <c r="RQ142" s="159"/>
      <c r="RR142" s="159"/>
      <c r="RS142" s="159"/>
      <c r="RT142" s="159"/>
      <c r="RU142" s="159"/>
      <c r="RV142" s="159"/>
      <c r="RW142" s="159"/>
      <c r="RX142" s="159"/>
      <c r="RY142" s="159"/>
      <c r="RZ142" s="159"/>
      <c r="SA142" s="159"/>
      <c r="SB142" s="159"/>
      <c r="SC142" s="159"/>
      <c r="SD142" s="159"/>
      <c r="SE142" s="159"/>
      <c r="SF142" s="159"/>
      <c r="SG142" s="159"/>
      <c r="SH142" s="159"/>
      <c r="SI142" s="159"/>
      <c r="SJ142" s="159"/>
      <c r="SK142" s="159"/>
      <c r="SL142" s="159"/>
      <c r="SM142" s="159"/>
      <c r="SN142" s="159"/>
      <c r="SO142" s="159"/>
      <c r="SP142" s="159"/>
      <c r="SQ142" s="159"/>
      <c r="SR142" s="159"/>
      <c r="SS142" s="159"/>
      <c r="ST142" s="159"/>
      <c r="SU142" s="159"/>
      <c r="SV142" s="159"/>
      <c r="SW142" s="159"/>
      <c r="SX142" s="159"/>
      <c r="SY142" s="159"/>
      <c r="SZ142" s="159"/>
      <c r="TA142" s="159"/>
      <c r="TB142" s="159"/>
      <c r="TC142" s="159"/>
      <c r="TD142" s="159"/>
      <c r="TE142" s="159"/>
      <c r="TF142" s="159"/>
      <c r="TG142" s="159"/>
      <c r="TH142" s="159"/>
      <c r="TI142" s="159"/>
      <c r="TJ142" s="159"/>
      <c r="TK142" s="159"/>
      <c r="TL142" s="159"/>
      <c r="TM142" s="159"/>
      <c r="TN142" s="159"/>
      <c r="TO142" s="159"/>
      <c r="TP142" s="159"/>
      <c r="TQ142" s="159"/>
      <c r="TR142" s="159"/>
      <c r="TS142" s="159"/>
      <c r="TT142" s="159"/>
      <c r="TU142" s="159"/>
      <c r="TV142" s="159"/>
      <c r="TW142" s="159"/>
      <c r="TX142" s="159"/>
      <c r="TY142" s="159"/>
      <c r="TZ142" s="159"/>
      <c r="UA142" s="159"/>
      <c r="UB142" s="159"/>
      <c r="UC142" s="159"/>
      <c r="UD142" s="159"/>
      <c r="UE142" s="159"/>
      <c r="UF142" s="159"/>
      <c r="UG142" s="159"/>
      <c r="UH142" s="159"/>
      <c r="UI142" s="159"/>
      <c r="UJ142" s="159"/>
      <c r="UK142" s="159"/>
      <c r="UL142" s="159"/>
      <c r="UM142" s="159"/>
      <c r="UN142" s="159"/>
      <c r="UO142" s="159"/>
      <c r="UP142" s="159"/>
      <c r="UQ142" s="159"/>
      <c r="UR142" s="159"/>
      <c r="US142" s="159"/>
      <c r="UT142" s="159"/>
      <c r="UU142" s="159"/>
      <c r="UV142" s="159"/>
      <c r="UW142" s="159"/>
      <c r="UX142" s="159"/>
      <c r="UY142" s="159"/>
      <c r="UZ142" s="159"/>
      <c r="VA142" s="159"/>
      <c r="VB142" s="159"/>
      <c r="VC142" s="159"/>
      <c r="VD142" s="159"/>
      <c r="VE142" s="159"/>
      <c r="VF142" s="159"/>
      <c r="VG142" s="159"/>
      <c r="VH142" s="159"/>
      <c r="VI142" s="159"/>
      <c r="VJ142" s="159"/>
      <c r="VK142" s="159"/>
      <c r="VL142" s="159"/>
      <c r="VM142" s="159"/>
      <c r="VN142" s="159"/>
      <c r="VO142" s="159"/>
      <c r="VP142" s="159"/>
      <c r="VQ142" s="159"/>
      <c r="VR142" s="159"/>
      <c r="VS142" s="159"/>
      <c r="VT142" s="159"/>
      <c r="VU142" s="159"/>
      <c r="VV142" s="159"/>
      <c r="VW142" s="159"/>
      <c r="VX142" s="159"/>
      <c r="VY142" s="159"/>
      <c r="VZ142" s="159"/>
      <c r="WA142" s="159"/>
      <c r="WB142" s="159"/>
      <c r="WC142" s="159"/>
      <c r="WD142" s="159"/>
      <c r="WE142" s="159"/>
      <c r="WF142" s="159"/>
      <c r="WG142" s="159"/>
      <c r="WH142" s="159"/>
      <c r="WI142" s="159"/>
      <c r="WJ142" s="159"/>
      <c r="WK142" s="159"/>
      <c r="WL142" s="159"/>
      <c r="WM142" s="159"/>
      <c r="WN142" s="159"/>
      <c r="WO142" s="159"/>
      <c r="WP142" s="159"/>
      <c r="WQ142" s="159"/>
      <c r="WR142" s="159"/>
      <c r="WS142" s="159"/>
      <c r="WT142" s="159"/>
      <c r="WU142" s="159"/>
      <c r="WV142" s="159"/>
      <c r="WW142" s="159"/>
      <c r="WX142" s="159"/>
      <c r="WY142" s="159"/>
      <c r="WZ142" s="159"/>
      <c r="XA142" s="159"/>
      <c r="XB142" s="159"/>
      <c r="XC142" s="159"/>
      <c r="XD142" s="159"/>
      <c r="XE142" s="159"/>
      <c r="XF142" s="159"/>
      <c r="XG142" s="159"/>
      <c r="XH142" s="159"/>
      <c r="XI142" s="159"/>
      <c r="XJ142" s="159"/>
      <c r="XK142" s="159"/>
      <c r="XL142" s="159"/>
      <c r="XM142" s="159"/>
      <c r="XN142" s="159"/>
      <c r="XO142" s="159"/>
      <c r="XP142" s="159"/>
      <c r="XQ142" s="159"/>
      <c r="XR142" s="159"/>
      <c r="XS142" s="159"/>
      <c r="XT142" s="159"/>
      <c r="XU142" s="159"/>
      <c r="XV142" s="159"/>
      <c r="XW142" s="159"/>
      <c r="XX142" s="159"/>
      <c r="XY142" s="159"/>
      <c r="XZ142" s="159"/>
      <c r="YA142" s="159"/>
      <c r="YB142" s="159"/>
      <c r="YC142" s="159"/>
      <c r="YD142" s="159"/>
      <c r="YE142" s="159"/>
      <c r="YF142" s="159"/>
      <c r="YG142" s="159"/>
      <c r="YH142" s="159"/>
      <c r="YI142" s="159"/>
      <c r="YJ142" s="159"/>
      <c r="YK142" s="159"/>
      <c r="YL142" s="159"/>
      <c r="YM142" s="159"/>
      <c r="YN142" s="159"/>
      <c r="YO142" s="159"/>
      <c r="YP142" s="159"/>
      <c r="YQ142" s="159"/>
      <c r="YR142" s="159"/>
      <c r="YS142" s="159"/>
      <c r="YT142" s="159"/>
      <c r="YU142" s="159"/>
      <c r="YV142" s="159"/>
      <c r="YW142" s="159"/>
      <c r="YX142" s="159"/>
      <c r="YY142" s="159"/>
      <c r="YZ142" s="159"/>
      <c r="ZA142" s="159"/>
      <c r="ZB142" s="159"/>
      <c r="ZC142" s="159"/>
      <c r="ZD142" s="159"/>
      <c r="ZE142" s="159"/>
      <c r="ZF142" s="159"/>
      <c r="ZG142" s="159"/>
      <c r="ZH142" s="159"/>
      <c r="ZI142" s="159"/>
      <c r="ZJ142" s="159"/>
      <c r="ZK142" s="159"/>
      <c r="ZL142" s="159"/>
      <c r="ZM142" s="159"/>
      <c r="ZN142" s="159"/>
      <c r="ZO142" s="159"/>
      <c r="ZP142" s="159"/>
      <c r="ZQ142" s="159"/>
      <c r="ZR142" s="159"/>
      <c r="ZS142" s="159"/>
      <c r="ZT142" s="159"/>
      <c r="ZU142" s="159"/>
      <c r="ZV142" s="159"/>
      <c r="ZW142" s="159"/>
      <c r="ZX142" s="159"/>
      <c r="ZY142" s="159"/>
      <c r="ZZ142" s="159"/>
      <c r="AAA142" s="159"/>
      <c r="AAB142" s="159"/>
      <c r="AAC142" s="159"/>
      <c r="AAD142" s="159"/>
      <c r="AAE142" s="159"/>
      <c r="AAF142" s="159"/>
      <c r="AAG142" s="159"/>
      <c r="AAH142" s="159"/>
      <c r="AAI142" s="159"/>
      <c r="AAJ142" s="159"/>
      <c r="AAK142" s="159"/>
      <c r="AAL142" s="159"/>
      <c r="AAM142" s="159"/>
      <c r="AAN142" s="159"/>
      <c r="AAO142" s="159"/>
      <c r="AAP142" s="159"/>
      <c r="AAQ142" s="159"/>
      <c r="AAR142" s="159"/>
      <c r="AAS142" s="159"/>
      <c r="AAT142" s="159"/>
      <c r="AAU142" s="159"/>
      <c r="AAV142" s="159"/>
      <c r="AAW142" s="159"/>
      <c r="AAX142" s="159"/>
      <c r="AAY142" s="159"/>
      <c r="AAZ142" s="159"/>
      <c r="ABA142" s="159"/>
      <c r="ABB142" s="159"/>
      <c r="ABC142" s="159"/>
      <c r="ABD142" s="159"/>
      <c r="ABE142" s="159"/>
      <c r="ABF142" s="159"/>
      <c r="ABG142" s="159"/>
      <c r="ABH142" s="159"/>
      <c r="ABI142" s="159"/>
      <c r="ABJ142" s="159"/>
      <c r="ABK142" s="159"/>
      <c r="ABL142" s="159"/>
      <c r="ABM142" s="159"/>
      <c r="ABN142" s="159"/>
      <c r="ABO142" s="159"/>
      <c r="ABP142" s="159"/>
      <c r="ABQ142" s="159"/>
      <c r="ABR142" s="159"/>
      <c r="ABS142" s="159"/>
      <c r="ABT142" s="159"/>
      <c r="ABU142" s="159"/>
      <c r="ABV142" s="159"/>
      <c r="ABW142" s="159"/>
      <c r="ABX142" s="159"/>
      <c r="ABY142" s="159"/>
      <c r="ABZ142" s="159"/>
      <c r="ACA142" s="159"/>
      <c r="ACB142" s="159"/>
      <c r="ACC142" s="159"/>
      <c r="ACD142" s="159"/>
      <c r="ACE142" s="159"/>
      <c r="ACF142" s="159"/>
      <c r="ACG142" s="159"/>
      <c r="ACH142" s="159"/>
      <c r="ACI142" s="159"/>
      <c r="ACJ142" s="159"/>
      <c r="ACK142" s="159"/>
      <c r="ACL142" s="159"/>
      <c r="ACM142" s="159"/>
      <c r="ACN142" s="159"/>
      <c r="ACO142" s="159"/>
      <c r="ACP142" s="159"/>
      <c r="ACQ142" s="159"/>
      <c r="ACR142" s="159"/>
      <c r="ACS142" s="159"/>
      <c r="ACT142" s="159"/>
      <c r="ACU142" s="159"/>
      <c r="ACV142" s="159"/>
      <c r="ACW142" s="159"/>
      <c r="ACX142" s="159"/>
      <c r="ACY142" s="159"/>
      <c r="ACZ142" s="159"/>
      <c r="ADA142" s="159"/>
      <c r="ADB142" s="159"/>
      <c r="ADC142" s="159"/>
      <c r="ADD142" s="159"/>
      <c r="ADE142" s="159"/>
      <c r="ADF142" s="159"/>
      <c r="ADG142" s="159"/>
      <c r="ADH142" s="159"/>
      <c r="ADI142" s="159"/>
      <c r="ADJ142" s="159"/>
      <c r="ADK142" s="159"/>
      <c r="ADL142" s="159"/>
      <c r="ADM142" s="159"/>
      <c r="ADN142" s="159"/>
      <c r="ADO142" s="159"/>
      <c r="ADP142" s="159"/>
      <c r="ADQ142" s="159"/>
      <c r="ADR142" s="159"/>
      <c r="ADS142" s="159"/>
      <c r="ADT142" s="159"/>
      <c r="ADU142" s="159"/>
      <c r="ADV142" s="159"/>
      <c r="ADW142" s="159"/>
      <c r="ADX142" s="159"/>
      <c r="ADY142" s="159"/>
      <c r="ADZ142" s="159"/>
      <c r="AEA142" s="159"/>
      <c r="AEB142" s="159"/>
      <c r="AEC142" s="159"/>
      <c r="AED142" s="159"/>
      <c r="AEE142" s="159"/>
      <c r="AEF142" s="159"/>
      <c r="AEG142" s="159"/>
      <c r="AEH142" s="159"/>
      <c r="AEI142" s="159"/>
      <c r="AEJ142" s="159"/>
      <c r="AEK142" s="159"/>
      <c r="AEL142" s="159"/>
      <c r="AEM142" s="159"/>
      <c r="AEN142" s="159"/>
      <c r="AEO142" s="159"/>
      <c r="AEP142" s="159"/>
      <c r="AEQ142" s="159"/>
      <c r="AER142" s="159"/>
      <c r="AES142" s="159"/>
      <c r="AET142" s="159"/>
      <c r="AEU142" s="159"/>
      <c r="AEV142" s="159"/>
      <c r="AEW142" s="159"/>
      <c r="AEX142" s="159"/>
      <c r="AEY142" s="159"/>
      <c r="AEZ142" s="159"/>
      <c r="AFA142" s="159"/>
      <c r="AFB142" s="159"/>
      <c r="AFC142" s="159"/>
      <c r="AFD142" s="159"/>
      <c r="AFE142" s="159"/>
      <c r="AFF142" s="159"/>
      <c r="AFG142" s="159"/>
      <c r="AFH142" s="159"/>
      <c r="AFI142" s="159"/>
      <c r="AFJ142" s="159"/>
      <c r="AFK142" s="159"/>
      <c r="AFL142" s="159"/>
      <c r="AFM142" s="159"/>
      <c r="AFN142" s="159"/>
      <c r="AFO142" s="159"/>
      <c r="AFP142" s="159"/>
      <c r="AFQ142" s="159"/>
      <c r="AFR142" s="159"/>
      <c r="AFS142" s="159"/>
      <c r="AFT142" s="159"/>
      <c r="AFU142" s="159"/>
      <c r="AFV142" s="159"/>
      <c r="AFW142" s="159"/>
      <c r="AFX142" s="159"/>
      <c r="AFY142" s="159"/>
      <c r="AFZ142" s="159"/>
      <c r="AGA142" s="159"/>
      <c r="AGB142" s="159"/>
      <c r="AGC142" s="159"/>
      <c r="AGD142" s="159"/>
      <c r="AGE142" s="159"/>
      <c r="AGF142" s="159"/>
      <c r="AGG142" s="159"/>
      <c r="AGH142" s="159"/>
      <c r="AGI142" s="159"/>
      <c r="AGJ142" s="159"/>
      <c r="AGK142" s="159"/>
      <c r="AGL142" s="159"/>
      <c r="AGM142" s="159"/>
      <c r="AGN142" s="159"/>
      <c r="AGO142" s="159"/>
      <c r="AGP142" s="159"/>
      <c r="AGQ142" s="159"/>
      <c r="AGR142" s="159"/>
      <c r="AGS142" s="159"/>
      <c r="AGT142" s="159"/>
      <c r="AGU142" s="159"/>
      <c r="AGV142" s="159"/>
      <c r="AGW142" s="159"/>
      <c r="AGX142" s="159"/>
      <c r="AGY142" s="159"/>
      <c r="AGZ142" s="159"/>
      <c r="AHA142" s="159"/>
      <c r="AHB142" s="159"/>
      <c r="AHC142" s="159"/>
      <c r="AHD142" s="159"/>
      <c r="AHE142" s="159"/>
      <c r="AHF142" s="159"/>
      <c r="AHG142" s="159"/>
      <c r="AHH142" s="159"/>
      <c r="AHI142" s="159"/>
      <c r="AHJ142" s="159"/>
      <c r="AHK142" s="159"/>
      <c r="AHL142" s="159"/>
      <c r="AHM142" s="159"/>
      <c r="AHN142" s="159"/>
      <c r="AHO142" s="159"/>
      <c r="AHP142" s="159"/>
      <c r="AHQ142" s="159"/>
      <c r="AHR142" s="159"/>
      <c r="AHS142" s="159"/>
      <c r="AHT142" s="159"/>
      <c r="AHU142" s="159"/>
      <c r="AHV142" s="159"/>
      <c r="AHW142" s="159"/>
      <c r="AHX142" s="159"/>
      <c r="AHY142" s="159"/>
      <c r="AHZ142" s="159"/>
      <c r="AIA142" s="159"/>
      <c r="AIB142" s="159"/>
      <c r="AIC142" s="159"/>
      <c r="AID142" s="159"/>
      <c r="AIE142" s="159"/>
      <c r="AIF142" s="159"/>
      <c r="AIG142" s="159"/>
      <c r="AIH142" s="159"/>
      <c r="AII142" s="159"/>
      <c r="AIJ142" s="159"/>
      <c r="AIK142" s="159"/>
      <c r="AIL142" s="159"/>
      <c r="AIM142" s="159"/>
      <c r="AIN142" s="159"/>
      <c r="AIO142" s="159"/>
      <c r="AIP142" s="159"/>
      <c r="AIQ142" s="159"/>
      <c r="AIR142" s="159"/>
      <c r="AIS142" s="159"/>
      <c r="AIT142" s="159"/>
      <c r="AIU142" s="159"/>
      <c r="AIV142" s="159"/>
      <c r="AIW142" s="159"/>
      <c r="AIX142" s="159"/>
      <c r="AIY142" s="159"/>
      <c r="AIZ142" s="159"/>
      <c r="AJA142" s="159"/>
      <c r="AJB142" s="159"/>
      <c r="AJC142" s="159"/>
      <c r="AJD142" s="159"/>
      <c r="AJE142" s="159"/>
      <c r="AJF142" s="159"/>
      <c r="AJG142" s="159"/>
      <c r="AJH142" s="159"/>
      <c r="AJI142" s="159"/>
      <c r="AJJ142" s="159"/>
      <c r="AJK142" s="159"/>
      <c r="AJL142" s="159"/>
      <c r="AJM142" s="159"/>
      <c r="AJN142" s="159"/>
      <c r="AJO142" s="159"/>
      <c r="AJP142" s="159"/>
      <c r="AJQ142" s="159"/>
      <c r="AJR142" s="159"/>
      <c r="AJS142" s="159"/>
      <c r="AJT142" s="159"/>
      <c r="AJU142" s="159"/>
      <c r="AJV142" s="159"/>
      <c r="AJW142" s="159"/>
      <c r="AJX142" s="159"/>
      <c r="AJY142" s="159"/>
      <c r="AJZ142" s="159"/>
      <c r="AKA142" s="159"/>
      <c r="AKB142" s="159"/>
      <c r="AKC142" s="159"/>
      <c r="AKD142" s="159"/>
      <c r="AKE142" s="159"/>
      <c r="AKF142" s="159"/>
      <c r="AKG142" s="159"/>
      <c r="AKH142" s="159"/>
      <c r="AKI142" s="159"/>
      <c r="AKJ142" s="159"/>
      <c r="AKK142" s="159"/>
      <c r="AKL142" s="159"/>
      <c r="AKM142" s="159"/>
      <c r="AKN142" s="159"/>
      <c r="AKO142" s="159"/>
      <c r="AKP142" s="159"/>
      <c r="AKQ142" s="159"/>
      <c r="AKR142" s="159"/>
      <c r="AKS142" s="159"/>
      <c r="AKT142" s="159"/>
      <c r="AKU142" s="159"/>
      <c r="AKV142" s="159"/>
      <c r="AKW142" s="159"/>
      <c r="AKX142" s="159"/>
      <c r="AKY142" s="159"/>
      <c r="AKZ142" s="159"/>
      <c r="ALA142" s="159"/>
      <c r="ALB142" s="159"/>
      <c r="ALC142" s="159"/>
      <c r="ALD142" s="159"/>
      <c r="ALE142" s="159"/>
      <c r="ALF142" s="159"/>
      <c r="ALG142" s="159"/>
      <c r="ALH142" s="159"/>
      <c r="ALI142" s="159"/>
      <c r="ALJ142" s="159"/>
      <c r="ALK142" s="159"/>
      <c r="ALL142" s="159"/>
      <c r="ALM142" s="159"/>
      <c r="ALN142" s="159"/>
      <c r="ALO142" s="159"/>
      <c r="ALP142" s="159"/>
      <c r="ALQ142" s="159"/>
      <c r="ALR142" s="159"/>
      <c r="ALS142" s="159"/>
      <c r="ALT142" s="159"/>
      <c r="ALU142" s="159"/>
      <c r="ALV142" s="159"/>
      <c r="ALW142" s="159"/>
      <c r="ALX142" s="159"/>
      <c r="ALY142" s="159"/>
      <c r="ALZ142" s="159"/>
      <c r="AMA142" s="159"/>
      <c r="AMB142" s="159"/>
      <c r="AMC142" s="159"/>
      <c r="AMD142" s="159"/>
      <c r="AME142" s="159"/>
      <c r="AMF142" s="159"/>
      <c r="AMG142" s="159"/>
      <c r="AMH142" s="159"/>
      <c r="AMI142" s="159"/>
      <c r="AMJ142" s="159"/>
      <c r="AMK142" s="159"/>
      <c r="AML142" s="159"/>
      <c r="AMM142" s="159"/>
      <c r="AMN142" s="159"/>
      <c r="AMO142" s="159"/>
    </row>
    <row r="143" spans="1:1029" s="161" customFormat="1" ht="26.25" thickBot="1" x14ac:dyDescent="0.3">
      <c r="A143" s="163">
        <v>46220</v>
      </c>
      <c r="B143" s="155" t="s">
        <v>19</v>
      </c>
      <c r="C143" s="155" t="s">
        <v>151</v>
      </c>
      <c r="D143" s="164" t="s">
        <v>16</v>
      </c>
      <c r="E143" s="154" t="s">
        <v>14</v>
      </c>
      <c r="F143" s="155" t="s">
        <v>77</v>
      </c>
      <c r="G143" s="155" t="s">
        <v>199</v>
      </c>
      <c r="H143" s="147" t="b">
        <f t="shared" si="12"/>
        <v>0</v>
      </c>
      <c r="I143" s="135" t="s">
        <v>73</v>
      </c>
      <c r="J143" s="135" t="s">
        <v>57</v>
      </c>
      <c r="K143" s="135" t="s">
        <v>52</v>
      </c>
      <c r="L143" s="147" t="b">
        <f t="shared" si="13"/>
        <v>0</v>
      </c>
      <c r="M143" s="135" t="s">
        <v>35</v>
      </c>
      <c r="N143" s="135" t="s">
        <v>82</v>
      </c>
      <c r="O143" s="135" t="s">
        <v>168</v>
      </c>
      <c r="P143" s="147" t="b">
        <f t="shared" si="14"/>
        <v>0</v>
      </c>
      <c r="Q143" s="156" t="s">
        <v>105</v>
      </c>
      <c r="R143" s="155" t="s">
        <v>77</v>
      </c>
      <c r="S143" s="155" t="s">
        <v>90</v>
      </c>
      <c r="T143" s="147" t="b">
        <f t="shared" si="15"/>
        <v>0</v>
      </c>
      <c r="U143" s="159"/>
      <c r="V143" s="159"/>
      <c r="W143" s="159"/>
      <c r="X143" s="159"/>
      <c r="Y143" s="159"/>
      <c r="Z143" s="159"/>
      <c r="AA143" s="159"/>
      <c r="AB143" s="159"/>
      <c r="AC143" s="159"/>
      <c r="AD143" s="159"/>
      <c r="AE143" s="159"/>
      <c r="AF143" s="159"/>
      <c r="AG143" s="159"/>
      <c r="AH143" s="159"/>
      <c r="AI143" s="159"/>
      <c r="AJ143" s="159"/>
      <c r="AK143" s="159"/>
      <c r="AL143" s="159"/>
      <c r="AM143" s="159"/>
      <c r="AN143" s="159"/>
      <c r="AO143" s="159"/>
      <c r="AP143" s="159"/>
      <c r="AQ143" s="159"/>
      <c r="AR143" s="159"/>
      <c r="AS143" s="159"/>
      <c r="AT143" s="159"/>
      <c r="AU143" s="159"/>
      <c r="AV143" s="159"/>
      <c r="AW143" s="159"/>
      <c r="AX143" s="159"/>
      <c r="AY143" s="159"/>
      <c r="AZ143" s="159"/>
      <c r="BA143" s="159"/>
      <c r="BB143" s="159"/>
      <c r="BC143" s="159"/>
      <c r="BD143" s="159"/>
      <c r="BE143" s="159"/>
      <c r="BF143" s="159"/>
      <c r="BG143" s="159"/>
      <c r="BH143" s="159"/>
      <c r="BI143" s="159"/>
      <c r="BJ143" s="159"/>
      <c r="BK143" s="159"/>
      <c r="BL143" s="159"/>
      <c r="BM143" s="159"/>
      <c r="BN143" s="159"/>
      <c r="BO143" s="159"/>
      <c r="BP143" s="159"/>
      <c r="BQ143" s="159"/>
      <c r="BR143" s="159"/>
      <c r="BS143" s="159"/>
      <c r="BT143" s="159"/>
      <c r="BU143" s="159"/>
      <c r="BV143" s="159"/>
      <c r="BW143" s="159"/>
      <c r="BX143" s="159"/>
      <c r="BY143" s="159"/>
      <c r="BZ143" s="159"/>
      <c r="CA143" s="159"/>
      <c r="CB143" s="159"/>
      <c r="CC143" s="159"/>
      <c r="CD143" s="159"/>
      <c r="CE143" s="159"/>
      <c r="CF143" s="159"/>
      <c r="CG143" s="159"/>
      <c r="CH143" s="159"/>
      <c r="CI143" s="159"/>
      <c r="CJ143" s="159"/>
      <c r="CK143" s="159"/>
      <c r="CL143" s="159"/>
      <c r="CM143" s="159"/>
      <c r="CN143" s="159"/>
      <c r="CO143" s="159"/>
      <c r="CP143" s="159"/>
      <c r="CQ143" s="159"/>
      <c r="CR143" s="159"/>
      <c r="CS143" s="159"/>
      <c r="CT143" s="159"/>
      <c r="CU143" s="159"/>
      <c r="CV143" s="159"/>
      <c r="CW143" s="159"/>
      <c r="CX143" s="159"/>
      <c r="CY143" s="159"/>
      <c r="CZ143" s="159"/>
      <c r="DA143" s="159"/>
      <c r="DB143" s="159"/>
      <c r="DC143" s="159"/>
      <c r="DD143" s="159"/>
      <c r="DE143" s="159"/>
      <c r="DF143" s="159"/>
      <c r="DG143" s="159"/>
      <c r="DH143" s="159"/>
      <c r="DI143" s="159"/>
      <c r="DJ143" s="159"/>
      <c r="DK143" s="159"/>
      <c r="DL143" s="159"/>
      <c r="DM143" s="159"/>
      <c r="DN143" s="159"/>
      <c r="DO143" s="159"/>
      <c r="DP143" s="159"/>
      <c r="DQ143" s="159"/>
      <c r="DR143" s="159"/>
      <c r="DS143" s="159"/>
      <c r="DT143" s="159"/>
      <c r="DU143" s="159"/>
      <c r="DV143" s="159"/>
      <c r="DW143" s="159"/>
      <c r="DX143" s="159"/>
      <c r="DY143" s="159"/>
      <c r="DZ143" s="159"/>
      <c r="EA143" s="159"/>
      <c r="EB143" s="159"/>
      <c r="EC143" s="159"/>
      <c r="ED143" s="159"/>
      <c r="EE143" s="159"/>
      <c r="EF143" s="159"/>
      <c r="EG143" s="159"/>
      <c r="EH143" s="159"/>
      <c r="EI143" s="159"/>
      <c r="EJ143" s="159"/>
      <c r="EK143" s="159"/>
      <c r="EL143" s="159"/>
      <c r="EM143" s="159"/>
      <c r="EN143" s="159"/>
      <c r="EO143" s="159"/>
      <c r="EP143" s="159"/>
      <c r="EQ143" s="159"/>
      <c r="ER143" s="159"/>
      <c r="ES143" s="159"/>
      <c r="ET143" s="159"/>
      <c r="EU143" s="159"/>
      <c r="EV143" s="159"/>
      <c r="EW143" s="159"/>
      <c r="EX143" s="159"/>
      <c r="EY143" s="159"/>
      <c r="EZ143" s="159"/>
      <c r="FA143" s="159"/>
      <c r="FB143" s="159"/>
      <c r="FC143" s="159"/>
      <c r="FD143" s="159"/>
      <c r="FE143" s="159"/>
      <c r="FF143" s="159"/>
      <c r="FG143" s="159"/>
      <c r="FH143" s="159"/>
      <c r="FI143" s="159"/>
      <c r="FJ143" s="159"/>
      <c r="FK143" s="159"/>
      <c r="FL143" s="159"/>
      <c r="FM143" s="159"/>
      <c r="FN143" s="159"/>
      <c r="FO143" s="159"/>
      <c r="FP143" s="159"/>
      <c r="FQ143" s="159"/>
      <c r="FR143" s="159"/>
      <c r="FS143" s="159"/>
      <c r="FT143" s="159"/>
      <c r="FU143" s="159"/>
      <c r="FV143" s="159"/>
      <c r="FW143" s="159"/>
      <c r="FX143" s="159"/>
      <c r="FY143" s="159"/>
      <c r="FZ143" s="159"/>
      <c r="GA143" s="159"/>
      <c r="GB143" s="159"/>
      <c r="GC143" s="159"/>
      <c r="GD143" s="159"/>
      <c r="GE143" s="159"/>
      <c r="GF143" s="159"/>
      <c r="GG143" s="159"/>
      <c r="GH143" s="159"/>
      <c r="GI143" s="159"/>
      <c r="GJ143" s="159"/>
      <c r="GK143" s="159"/>
      <c r="GL143" s="159"/>
      <c r="GM143" s="159"/>
      <c r="GN143" s="159"/>
      <c r="GO143" s="159"/>
      <c r="GP143" s="159"/>
      <c r="GQ143" s="159"/>
      <c r="GR143" s="159"/>
      <c r="GS143" s="159"/>
      <c r="GT143" s="159"/>
      <c r="GU143" s="159"/>
      <c r="GV143" s="159"/>
      <c r="GW143" s="159"/>
      <c r="GX143" s="159"/>
      <c r="GY143" s="159"/>
      <c r="GZ143" s="159"/>
      <c r="HA143" s="159"/>
      <c r="HB143" s="159"/>
      <c r="HC143" s="159"/>
      <c r="HD143" s="159"/>
      <c r="HE143" s="159"/>
      <c r="HF143" s="159"/>
      <c r="HG143" s="159"/>
      <c r="HH143" s="159"/>
      <c r="HI143" s="159"/>
      <c r="HJ143" s="159"/>
      <c r="HK143" s="159"/>
      <c r="HL143" s="159"/>
      <c r="HM143" s="159"/>
      <c r="HN143" s="159"/>
      <c r="HO143" s="159"/>
      <c r="HP143" s="159"/>
      <c r="HQ143" s="159"/>
      <c r="HR143" s="159"/>
      <c r="HS143" s="159"/>
      <c r="HT143" s="159"/>
      <c r="HU143" s="159"/>
      <c r="HV143" s="159"/>
      <c r="HW143" s="159"/>
      <c r="HX143" s="159"/>
      <c r="HY143" s="159"/>
      <c r="HZ143" s="159"/>
      <c r="IA143" s="159"/>
      <c r="IB143" s="159"/>
      <c r="IC143" s="159"/>
      <c r="ID143" s="159"/>
      <c r="IE143" s="159"/>
      <c r="IF143" s="159"/>
      <c r="IG143" s="159"/>
      <c r="IH143" s="159"/>
      <c r="II143" s="159"/>
      <c r="IJ143" s="159"/>
      <c r="IK143" s="159"/>
      <c r="IL143" s="159"/>
      <c r="IM143" s="159"/>
      <c r="IN143" s="159"/>
      <c r="IO143" s="159"/>
      <c r="IP143" s="159"/>
      <c r="IQ143" s="159"/>
      <c r="IR143" s="159"/>
      <c r="IS143" s="159"/>
      <c r="IT143" s="159"/>
      <c r="IU143" s="159"/>
      <c r="IV143" s="159"/>
      <c r="IW143" s="159"/>
      <c r="IX143" s="159"/>
      <c r="IY143" s="159"/>
      <c r="IZ143" s="159"/>
      <c r="JA143" s="159"/>
      <c r="JB143" s="159"/>
      <c r="JC143" s="159"/>
      <c r="JD143" s="159"/>
      <c r="JE143" s="159"/>
      <c r="JF143" s="159"/>
      <c r="JG143" s="159"/>
      <c r="JH143" s="159"/>
      <c r="JI143" s="159"/>
      <c r="JJ143" s="159"/>
      <c r="JK143" s="159"/>
      <c r="JL143" s="159"/>
      <c r="JM143" s="159"/>
      <c r="JN143" s="159"/>
      <c r="JO143" s="159"/>
      <c r="JP143" s="159"/>
      <c r="JQ143" s="159"/>
      <c r="JR143" s="159"/>
      <c r="JS143" s="159"/>
      <c r="JT143" s="159"/>
      <c r="JU143" s="159"/>
      <c r="JV143" s="159"/>
      <c r="JW143" s="159"/>
      <c r="JX143" s="159"/>
      <c r="JY143" s="159"/>
      <c r="JZ143" s="159"/>
      <c r="KA143" s="159"/>
      <c r="KB143" s="159"/>
      <c r="KC143" s="159"/>
      <c r="KD143" s="159"/>
      <c r="KE143" s="159"/>
      <c r="KF143" s="159"/>
      <c r="KG143" s="159"/>
      <c r="KH143" s="159"/>
      <c r="KI143" s="159"/>
      <c r="KJ143" s="159"/>
      <c r="KK143" s="159"/>
      <c r="KL143" s="159"/>
      <c r="KM143" s="159"/>
      <c r="KN143" s="159"/>
      <c r="KO143" s="159"/>
      <c r="KP143" s="159"/>
      <c r="KQ143" s="159"/>
      <c r="KR143" s="159"/>
      <c r="KS143" s="159"/>
      <c r="KT143" s="159"/>
      <c r="KU143" s="159"/>
      <c r="KV143" s="159"/>
      <c r="KW143" s="159"/>
      <c r="KX143" s="159"/>
      <c r="KY143" s="159"/>
      <c r="KZ143" s="159"/>
      <c r="LA143" s="159"/>
      <c r="LB143" s="159"/>
      <c r="LC143" s="159"/>
      <c r="LD143" s="159"/>
      <c r="LE143" s="159"/>
      <c r="LF143" s="159"/>
      <c r="LG143" s="159"/>
      <c r="LH143" s="159"/>
      <c r="LI143" s="159"/>
      <c r="LJ143" s="159"/>
      <c r="LK143" s="159"/>
      <c r="LL143" s="159"/>
      <c r="LM143" s="159"/>
      <c r="LN143" s="159"/>
      <c r="LO143" s="159"/>
      <c r="LP143" s="159"/>
      <c r="LQ143" s="159"/>
      <c r="LR143" s="159"/>
      <c r="LS143" s="159"/>
      <c r="LT143" s="159"/>
      <c r="LU143" s="159"/>
      <c r="LV143" s="159"/>
      <c r="LW143" s="159"/>
      <c r="LX143" s="159"/>
      <c r="LY143" s="159"/>
      <c r="LZ143" s="159"/>
      <c r="MA143" s="159"/>
      <c r="MB143" s="159"/>
      <c r="MC143" s="159"/>
      <c r="MD143" s="159"/>
      <c r="ME143" s="159"/>
      <c r="MF143" s="159"/>
      <c r="MG143" s="159"/>
      <c r="MH143" s="159"/>
      <c r="MI143" s="159"/>
      <c r="MJ143" s="159"/>
      <c r="MK143" s="159"/>
      <c r="ML143" s="159"/>
      <c r="MM143" s="159"/>
      <c r="MN143" s="159"/>
      <c r="MO143" s="159"/>
      <c r="MP143" s="159"/>
      <c r="MQ143" s="159"/>
      <c r="MR143" s="159"/>
      <c r="MS143" s="159"/>
      <c r="MT143" s="159"/>
      <c r="MU143" s="159"/>
      <c r="MV143" s="159"/>
      <c r="MW143" s="159"/>
      <c r="MX143" s="159"/>
      <c r="MY143" s="159"/>
      <c r="MZ143" s="159"/>
      <c r="NA143" s="159"/>
      <c r="NB143" s="159"/>
      <c r="NC143" s="159"/>
      <c r="ND143" s="159"/>
      <c r="NE143" s="159"/>
      <c r="NF143" s="159"/>
      <c r="NG143" s="159"/>
      <c r="NH143" s="159"/>
      <c r="NI143" s="159"/>
      <c r="NJ143" s="159"/>
      <c r="NK143" s="159"/>
      <c r="NL143" s="159"/>
      <c r="NM143" s="159"/>
      <c r="NN143" s="159"/>
      <c r="NO143" s="159"/>
      <c r="NP143" s="159"/>
      <c r="NQ143" s="159"/>
      <c r="NR143" s="159"/>
      <c r="NS143" s="159"/>
      <c r="NT143" s="159"/>
      <c r="NU143" s="159"/>
      <c r="NV143" s="159"/>
      <c r="NW143" s="159"/>
      <c r="NX143" s="159"/>
      <c r="NY143" s="159"/>
      <c r="NZ143" s="159"/>
      <c r="OA143" s="159"/>
      <c r="OB143" s="159"/>
      <c r="OC143" s="159"/>
      <c r="OD143" s="159"/>
      <c r="OE143" s="159"/>
      <c r="OF143" s="159"/>
      <c r="OG143" s="159"/>
      <c r="OH143" s="159"/>
      <c r="OI143" s="159"/>
      <c r="OJ143" s="159"/>
      <c r="OK143" s="159"/>
      <c r="OL143" s="159"/>
      <c r="OM143" s="159"/>
      <c r="ON143" s="159"/>
      <c r="OO143" s="159"/>
      <c r="OP143" s="159"/>
      <c r="OQ143" s="159"/>
      <c r="OR143" s="159"/>
      <c r="OS143" s="159"/>
      <c r="OT143" s="159"/>
      <c r="OU143" s="159"/>
      <c r="OV143" s="159"/>
      <c r="OW143" s="159"/>
      <c r="OX143" s="159"/>
      <c r="OY143" s="159"/>
      <c r="OZ143" s="159"/>
      <c r="PA143" s="159"/>
      <c r="PB143" s="159"/>
      <c r="PC143" s="159"/>
      <c r="PD143" s="159"/>
      <c r="PE143" s="159"/>
      <c r="PF143" s="159"/>
      <c r="PG143" s="159"/>
      <c r="PH143" s="159"/>
      <c r="PI143" s="159"/>
      <c r="PJ143" s="159"/>
      <c r="PK143" s="159"/>
      <c r="PL143" s="159"/>
      <c r="PM143" s="159"/>
      <c r="PN143" s="159"/>
      <c r="PO143" s="159"/>
      <c r="PP143" s="159"/>
      <c r="PQ143" s="159"/>
      <c r="PR143" s="159"/>
      <c r="PS143" s="159"/>
      <c r="PT143" s="159"/>
      <c r="PU143" s="159"/>
      <c r="PV143" s="159"/>
      <c r="PW143" s="159"/>
      <c r="PX143" s="159"/>
      <c r="PY143" s="159"/>
      <c r="PZ143" s="159"/>
      <c r="QA143" s="159"/>
      <c r="QB143" s="159"/>
      <c r="QC143" s="159"/>
      <c r="QD143" s="159"/>
      <c r="QE143" s="159"/>
      <c r="QF143" s="159"/>
      <c r="QG143" s="159"/>
      <c r="QH143" s="159"/>
      <c r="QI143" s="159"/>
      <c r="QJ143" s="159"/>
      <c r="QK143" s="159"/>
      <c r="QL143" s="159"/>
      <c r="QM143" s="159"/>
      <c r="QN143" s="159"/>
      <c r="QO143" s="159"/>
      <c r="QP143" s="159"/>
      <c r="QQ143" s="159"/>
      <c r="QR143" s="159"/>
      <c r="QS143" s="159"/>
      <c r="QT143" s="159"/>
      <c r="QU143" s="159"/>
      <c r="QV143" s="159"/>
      <c r="QW143" s="159"/>
      <c r="QX143" s="159"/>
      <c r="QY143" s="159"/>
      <c r="QZ143" s="159"/>
      <c r="RA143" s="159"/>
      <c r="RB143" s="159"/>
      <c r="RC143" s="159"/>
      <c r="RD143" s="159"/>
      <c r="RE143" s="159"/>
      <c r="RF143" s="159"/>
      <c r="RG143" s="159"/>
      <c r="RH143" s="159"/>
      <c r="RI143" s="159"/>
      <c r="RJ143" s="159"/>
      <c r="RK143" s="159"/>
      <c r="RL143" s="159"/>
      <c r="RM143" s="159"/>
      <c r="RN143" s="159"/>
      <c r="RO143" s="159"/>
      <c r="RP143" s="159"/>
      <c r="RQ143" s="159"/>
      <c r="RR143" s="159"/>
      <c r="RS143" s="159"/>
      <c r="RT143" s="159"/>
      <c r="RU143" s="159"/>
      <c r="RV143" s="159"/>
      <c r="RW143" s="159"/>
      <c r="RX143" s="159"/>
      <c r="RY143" s="159"/>
      <c r="RZ143" s="159"/>
      <c r="SA143" s="159"/>
      <c r="SB143" s="159"/>
      <c r="SC143" s="159"/>
      <c r="SD143" s="159"/>
      <c r="SE143" s="159"/>
      <c r="SF143" s="159"/>
      <c r="SG143" s="159"/>
      <c r="SH143" s="159"/>
      <c r="SI143" s="159"/>
      <c r="SJ143" s="159"/>
      <c r="SK143" s="159"/>
      <c r="SL143" s="159"/>
      <c r="SM143" s="159"/>
      <c r="SN143" s="159"/>
      <c r="SO143" s="159"/>
      <c r="SP143" s="159"/>
      <c r="SQ143" s="159"/>
      <c r="SR143" s="159"/>
      <c r="SS143" s="159"/>
      <c r="ST143" s="159"/>
      <c r="SU143" s="159"/>
      <c r="SV143" s="159"/>
      <c r="SW143" s="159"/>
      <c r="SX143" s="159"/>
      <c r="SY143" s="159"/>
      <c r="SZ143" s="159"/>
      <c r="TA143" s="159"/>
      <c r="TB143" s="159"/>
      <c r="TC143" s="159"/>
      <c r="TD143" s="159"/>
      <c r="TE143" s="159"/>
      <c r="TF143" s="159"/>
      <c r="TG143" s="159"/>
      <c r="TH143" s="159"/>
      <c r="TI143" s="159"/>
      <c r="TJ143" s="159"/>
      <c r="TK143" s="159"/>
      <c r="TL143" s="159"/>
      <c r="TM143" s="159"/>
      <c r="TN143" s="159"/>
      <c r="TO143" s="159"/>
      <c r="TP143" s="159"/>
      <c r="TQ143" s="159"/>
      <c r="TR143" s="159"/>
      <c r="TS143" s="159"/>
      <c r="TT143" s="159"/>
      <c r="TU143" s="159"/>
      <c r="TV143" s="159"/>
      <c r="TW143" s="159"/>
      <c r="TX143" s="159"/>
      <c r="TY143" s="159"/>
      <c r="TZ143" s="159"/>
      <c r="UA143" s="159"/>
      <c r="UB143" s="159"/>
      <c r="UC143" s="159"/>
      <c r="UD143" s="159"/>
      <c r="UE143" s="159"/>
      <c r="UF143" s="159"/>
      <c r="UG143" s="159"/>
      <c r="UH143" s="159"/>
      <c r="UI143" s="159"/>
      <c r="UJ143" s="159"/>
      <c r="UK143" s="159"/>
      <c r="UL143" s="159"/>
      <c r="UM143" s="159"/>
      <c r="UN143" s="159"/>
      <c r="UO143" s="159"/>
      <c r="UP143" s="159"/>
      <c r="UQ143" s="159"/>
      <c r="UR143" s="159"/>
      <c r="US143" s="159"/>
      <c r="UT143" s="159"/>
      <c r="UU143" s="159"/>
      <c r="UV143" s="159"/>
      <c r="UW143" s="159"/>
      <c r="UX143" s="159"/>
      <c r="UY143" s="159"/>
      <c r="UZ143" s="159"/>
      <c r="VA143" s="159"/>
      <c r="VB143" s="159"/>
      <c r="VC143" s="159"/>
      <c r="VD143" s="159"/>
      <c r="VE143" s="159"/>
      <c r="VF143" s="159"/>
      <c r="VG143" s="159"/>
      <c r="VH143" s="159"/>
      <c r="VI143" s="159"/>
      <c r="VJ143" s="159"/>
      <c r="VK143" s="159"/>
      <c r="VL143" s="159"/>
      <c r="VM143" s="159"/>
      <c r="VN143" s="159"/>
      <c r="VO143" s="159"/>
      <c r="VP143" s="159"/>
      <c r="VQ143" s="159"/>
      <c r="VR143" s="159"/>
      <c r="VS143" s="159"/>
      <c r="VT143" s="159"/>
      <c r="VU143" s="159"/>
      <c r="VV143" s="159"/>
      <c r="VW143" s="159"/>
      <c r="VX143" s="159"/>
      <c r="VY143" s="159"/>
      <c r="VZ143" s="159"/>
      <c r="WA143" s="159"/>
      <c r="WB143" s="159"/>
      <c r="WC143" s="159"/>
      <c r="WD143" s="159"/>
      <c r="WE143" s="159"/>
      <c r="WF143" s="159"/>
      <c r="WG143" s="159"/>
      <c r="WH143" s="159"/>
      <c r="WI143" s="159"/>
      <c r="WJ143" s="159"/>
      <c r="WK143" s="159"/>
      <c r="WL143" s="159"/>
      <c r="WM143" s="159"/>
      <c r="WN143" s="159"/>
      <c r="WO143" s="159"/>
      <c r="WP143" s="159"/>
      <c r="WQ143" s="159"/>
      <c r="WR143" s="159"/>
      <c r="WS143" s="159"/>
      <c r="WT143" s="159"/>
      <c r="WU143" s="159"/>
      <c r="WV143" s="159"/>
      <c r="WW143" s="159"/>
      <c r="WX143" s="159"/>
      <c r="WY143" s="159"/>
      <c r="WZ143" s="159"/>
      <c r="XA143" s="159"/>
      <c r="XB143" s="159"/>
      <c r="XC143" s="159"/>
      <c r="XD143" s="159"/>
      <c r="XE143" s="159"/>
      <c r="XF143" s="159"/>
      <c r="XG143" s="159"/>
      <c r="XH143" s="159"/>
      <c r="XI143" s="159"/>
      <c r="XJ143" s="159"/>
      <c r="XK143" s="159"/>
      <c r="XL143" s="159"/>
      <c r="XM143" s="159"/>
      <c r="XN143" s="159"/>
      <c r="XO143" s="159"/>
      <c r="XP143" s="159"/>
      <c r="XQ143" s="159"/>
      <c r="XR143" s="159"/>
      <c r="XS143" s="159"/>
      <c r="XT143" s="159"/>
      <c r="XU143" s="159"/>
      <c r="XV143" s="159"/>
      <c r="XW143" s="159"/>
      <c r="XX143" s="159"/>
      <c r="XY143" s="159"/>
      <c r="XZ143" s="159"/>
      <c r="YA143" s="159"/>
      <c r="YB143" s="159"/>
      <c r="YC143" s="159"/>
      <c r="YD143" s="159"/>
      <c r="YE143" s="159"/>
      <c r="YF143" s="159"/>
      <c r="YG143" s="159"/>
      <c r="YH143" s="159"/>
      <c r="YI143" s="159"/>
      <c r="YJ143" s="159"/>
      <c r="YK143" s="159"/>
      <c r="YL143" s="159"/>
      <c r="YM143" s="159"/>
      <c r="YN143" s="159"/>
      <c r="YO143" s="159"/>
      <c r="YP143" s="159"/>
      <c r="YQ143" s="159"/>
      <c r="YR143" s="159"/>
      <c r="YS143" s="159"/>
      <c r="YT143" s="159"/>
      <c r="YU143" s="159"/>
      <c r="YV143" s="159"/>
      <c r="YW143" s="159"/>
      <c r="YX143" s="159"/>
      <c r="YY143" s="159"/>
      <c r="YZ143" s="159"/>
      <c r="ZA143" s="159"/>
      <c r="ZB143" s="159"/>
      <c r="ZC143" s="159"/>
      <c r="ZD143" s="159"/>
      <c r="ZE143" s="159"/>
      <c r="ZF143" s="159"/>
      <c r="ZG143" s="159"/>
      <c r="ZH143" s="159"/>
      <c r="ZI143" s="159"/>
      <c r="ZJ143" s="159"/>
      <c r="ZK143" s="159"/>
      <c r="ZL143" s="159"/>
      <c r="ZM143" s="159"/>
      <c r="ZN143" s="159"/>
      <c r="ZO143" s="159"/>
      <c r="ZP143" s="159"/>
      <c r="ZQ143" s="159"/>
      <c r="ZR143" s="159"/>
      <c r="ZS143" s="159"/>
      <c r="ZT143" s="159"/>
      <c r="ZU143" s="159"/>
      <c r="ZV143" s="159"/>
      <c r="ZW143" s="159"/>
      <c r="ZX143" s="159"/>
      <c r="ZY143" s="159"/>
      <c r="ZZ143" s="159"/>
      <c r="AAA143" s="159"/>
      <c r="AAB143" s="159"/>
      <c r="AAC143" s="159"/>
      <c r="AAD143" s="159"/>
      <c r="AAE143" s="159"/>
      <c r="AAF143" s="159"/>
      <c r="AAG143" s="159"/>
      <c r="AAH143" s="159"/>
      <c r="AAI143" s="159"/>
      <c r="AAJ143" s="159"/>
      <c r="AAK143" s="159"/>
      <c r="AAL143" s="159"/>
      <c r="AAM143" s="159"/>
      <c r="AAN143" s="159"/>
      <c r="AAO143" s="159"/>
      <c r="AAP143" s="159"/>
      <c r="AAQ143" s="159"/>
      <c r="AAR143" s="159"/>
      <c r="AAS143" s="159"/>
      <c r="AAT143" s="159"/>
      <c r="AAU143" s="159"/>
      <c r="AAV143" s="159"/>
      <c r="AAW143" s="159"/>
      <c r="AAX143" s="159"/>
      <c r="AAY143" s="159"/>
      <c r="AAZ143" s="159"/>
      <c r="ABA143" s="159"/>
      <c r="ABB143" s="159"/>
      <c r="ABC143" s="159"/>
      <c r="ABD143" s="159"/>
      <c r="ABE143" s="159"/>
      <c r="ABF143" s="159"/>
      <c r="ABG143" s="159"/>
      <c r="ABH143" s="159"/>
      <c r="ABI143" s="159"/>
      <c r="ABJ143" s="159"/>
      <c r="ABK143" s="159"/>
      <c r="ABL143" s="159"/>
      <c r="ABM143" s="159"/>
      <c r="ABN143" s="159"/>
      <c r="ABO143" s="159"/>
      <c r="ABP143" s="159"/>
      <c r="ABQ143" s="159"/>
      <c r="ABR143" s="159"/>
      <c r="ABS143" s="159"/>
      <c r="ABT143" s="159"/>
      <c r="ABU143" s="159"/>
      <c r="ABV143" s="159"/>
      <c r="ABW143" s="159"/>
      <c r="ABX143" s="159"/>
      <c r="ABY143" s="159"/>
      <c r="ABZ143" s="159"/>
      <c r="ACA143" s="159"/>
      <c r="ACB143" s="159"/>
      <c r="ACC143" s="159"/>
      <c r="ACD143" s="159"/>
      <c r="ACE143" s="159"/>
      <c r="ACF143" s="159"/>
      <c r="ACG143" s="159"/>
      <c r="ACH143" s="159"/>
      <c r="ACI143" s="159"/>
      <c r="ACJ143" s="159"/>
      <c r="ACK143" s="159"/>
      <c r="ACL143" s="159"/>
      <c r="ACM143" s="159"/>
      <c r="ACN143" s="159"/>
      <c r="ACO143" s="159"/>
      <c r="ACP143" s="159"/>
      <c r="ACQ143" s="159"/>
      <c r="ACR143" s="159"/>
      <c r="ACS143" s="159"/>
      <c r="ACT143" s="159"/>
      <c r="ACU143" s="159"/>
      <c r="ACV143" s="159"/>
      <c r="ACW143" s="159"/>
      <c r="ACX143" s="159"/>
      <c r="ACY143" s="159"/>
      <c r="ACZ143" s="159"/>
      <c r="ADA143" s="159"/>
      <c r="ADB143" s="159"/>
      <c r="ADC143" s="159"/>
      <c r="ADD143" s="159"/>
      <c r="ADE143" s="159"/>
      <c r="ADF143" s="159"/>
      <c r="ADG143" s="159"/>
      <c r="ADH143" s="159"/>
      <c r="ADI143" s="159"/>
      <c r="ADJ143" s="159"/>
      <c r="ADK143" s="159"/>
      <c r="ADL143" s="159"/>
      <c r="ADM143" s="159"/>
      <c r="ADN143" s="159"/>
      <c r="ADO143" s="159"/>
      <c r="ADP143" s="159"/>
      <c r="ADQ143" s="159"/>
      <c r="ADR143" s="159"/>
      <c r="ADS143" s="159"/>
      <c r="ADT143" s="159"/>
      <c r="ADU143" s="159"/>
      <c r="ADV143" s="159"/>
      <c r="ADW143" s="159"/>
      <c r="ADX143" s="159"/>
      <c r="ADY143" s="159"/>
      <c r="ADZ143" s="159"/>
      <c r="AEA143" s="159"/>
      <c r="AEB143" s="159"/>
      <c r="AEC143" s="159"/>
      <c r="AED143" s="159"/>
      <c r="AEE143" s="159"/>
      <c r="AEF143" s="159"/>
      <c r="AEG143" s="159"/>
      <c r="AEH143" s="159"/>
      <c r="AEI143" s="159"/>
      <c r="AEJ143" s="159"/>
      <c r="AEK143" s="159"/>
      <c r="AEL143" s="159"/>
      <c r="AEM143" s="159"/>
      <c r="AEN143" s="159"/>
      <c r="AEO143" s="159"/>
      <c r="AEP143" s="159"/>
      <c r="AEQ143" s="159"/>
      <c r="AER143" s="159"/>
      <c r="AES143" s="159"/>
      <c r="AET143" s="159"/>
      <c r="AEU143" s="159"/>
      <c r="AEV143" s="159"/>
      <c r="AEW143" s="159"/>
      <c r="AEX143" s="159"/>
      <c r="AEY143" s="159"/>
      <c r="AEZ143" s="159"/>
      <c r="AFA143" s="159"/>
      <c r="AFB143" s="159"/>
      <c r="AFC143" s="159"/>
      <c r="AFD143" s="159"/>
      <c r="AFE143" s="159"/>
      <c r="AFF143" s="159"/>
      <c r="AFG143" s="159"/>
      <c r="AFH143" s="159"/>
      <c r="AFI143" s="159"/>
      <c r="AFJ143" s="159"/>
      <c r="AFK143" s="159"/>
      <c r="AFL143" s="159"/>
      <c r="AFM143" s="159"/>
      <c r="AFN143" s="159"/>
      <c r="AFO143" s="159"/>
      <c r="AFP143" s="159"/>
      <c r="AFQ143" s="159"/>
      <c r="AFR143" s="159"/>
      <c r="AFS143" s="159"/>
      <c r="AFT143" s="159"/>
      <c r="AFU143" s="159"/>
      <c r="AFV143" s="159"/>
      <c r="AFW143" s="159"/>
      <c r="AFX143" s="159"/>
      <c r="AFY143" s="159"/>
      <c r="AFZ143" s="159"/>
      <c r="AGA143" s="159"/>
      <c r="AGB143" s="159"/>
      <c r="AGC143" s="159"/>
      <c r="AGD143" s="159"/>
      <c r="AGE143" s="159"/>
      <c r="AGF143" s="159"/>
      <c r="AGG143" s="159"/>
      <c r="AGH143" s="159"/>
      <c r="AGI143" s="159"/>
      <c r="AGJ143" s="159"/>
      <c r="AGK143" s="159"/>
      <c r="AGL143" s="159"/>
      <c r="AGM143" s="159"/>
      <c r="AGN143" s="159"/>
      <c r="AGO143" s="159"/>
      <c r="AGP143" s="159"/>
      <c r="AGQ143" s="159"/>
      <c r="AGR143" s="159"/>
      <c r="AGS143" s="159"/>
      <c r="AGT143" s="159"/>
      <c r="AGU143" s="159"/>
      <c r="AGV143" s="159"/>
      <c r="AGW143" s="159"/>
      <c r="AGX143" s="159"/>
      <c r="AGY143" s="159"/>
      <c r="AGZ143" s="159"/>
      <c r="AHA143" s="159"/>
      <c r="AHB143" s="159"/>
      <c r="AHC143" s="159"/>
      <c r="AHD143" s="159"/>
      <c r="AHE143" s="159"/>
      <c r="AHF143" s="159"/>
      <c r="AHG143" s="159"/>
      <c r="AHH143" s="159"/>
      <c r="AHI143" s="159"/>
      <c r="AHJ143" s="159"/>
      <c r="AHK143" s="159"/>
      <c r="AHL143" s="159"/>
      <c r="AHM143" s="159"/>
      <c r="AHN143" s="159"/>
      <c r="AHO143" s="159"/>
      <c r="AHP143" s="159"/>
      <c r="AHQ143" s="159"/>
      <c r="AHR143" s="159"/>
      <c r="AHS143" s="159"/>
      <c r="AHT143" s="159"/>
      <c r="AHU143" s="159"/>
      <c r="AHV143" s="159"/>
      <c r="AHW143" s="159"/>
      <c r="AHX143" s="159"/>
      <c r="AHY143" s="159"/>
      <c r="AHZ143" s="159"/>
      <c r="AIA143" s="159"/>
      <c r="AIB143" s="159"/>
      <c r="AIC143" s="159"/>
      <c r="AID143" s="159"/>
      <c r="AIE143" s="159"/>
      <c r="AIF143" s="159"/>
      <c r="AIG143" s="159"/>
      <c r="AIH143" s="159"/>
      <c r="AII143" s="159"/>
      <c r="AIJ143" s="159"/>
      <c r="AIK143" s="159"/>
      <c r="AIL143" s="159"/>
      <c r="AIM143" s="159"/>
      <c r="AIN143" s="159"/>
      <c r="AIO143" s="159"/>
      <c r="AIP143" s="159"/>
      <c r="AIQ143" s="159"/>
      <c r="AIR143" s="159"/>
      <c r="AIS143" s="159"/>
      <c r="AIT143" s="159"/>
      <c r="AIU143" s="159"/>
      <c r="AIV143" s="159"/>
      <c r="AIW143" s="159"/>
      <c r="AIX143" s="159"/>
      <c r="AIY143" s="159"/>
      <c r="AIZ143" s="159"/>
      <c r="AJA143" s="159"/>
      <c r="AJB143" s="159"/>
      <c r="AJC143" s="159"/>
      <c r="AJD143" s="159"/>
      <c r="AJE143" s="159"/>
      <c r="AJF143" s="159"/>
      <c r="AJG143" s="159"/>
      <c r="AJH143" s="159"/>
      <c r="AJI143" s="159"/>
      <c r="AJJ143" s="159"/>
      <c r="AJK143" s="159"/>
      <c r="AJL143" s="159"/>
      <c r="AJM143" s="159"/>
      <c r="AJN143" s="159"/>
      <c r="AJO143" s="159"/>
      <c r="AJP143" s="159"/>
      <c r="AJQ143" s="159"/>
      <c r="AJR143" s="159"/>
      <c r="AJS143" s="159"/>
      <c r="AJT143" s="159"/>
      <c r="AJU143" s="159"/>
      <c r="AJV143" s="159"/>
      <c r="AJW143" s="159"/>
      <c r="AJX143" s="159"/>
      <c r="AJY143" s="159"/>
      <c r="AJZ143" s="159"/>
      <c r="AKA143" s="159"/>
      <c r="AKB143" s="159"/>
      <c r="AKC143" s="159"/>
      <c r="AKD143" s="159"/>
      <c r="AKE143" s="159"/>
      <c r="AKF143" s="159"/>
      <c r="AKG143" s="159"/>
      <c r="AKH143" s="159"/>
      <c r="AKI143" s="159"/>
      <c r="AKJ143" s="159"/>
      <c r="AKK143" s="159"/>
      <c r="AKL143" s="159"/>
      <c r="AKM143" s="159"/>
      <c r="AKN143" s="159"/>
      <c r="AKO143" s="159"/>
      <c r="AKP143" s="159"/>
      <c r="AKQ143" s="159"/>
      <c r="AKR143" s="159"/>
      <c r="AKS143" s="159"/>
      <c r="AKT143" s="159"/>
      <c r="AKU143" s="159"/>
      <c r="AKV143" s="159"/>
      <c r="AKW143" s="159"/>
      <c r="AKX143" s="159"/>
      <c r="AKY143" s="159"/>
      <c r="AKZ143" s="159"/>
      <c r="ALA143" s="159"/>
      <c r="ALB143" s="159"/>
      <c r="ALC143" s="159"/>
      <c r="ALD143" s="159"/>
      <c r="ALE143" s="159"/>
      <c r="ALF143" s="159"/>
      <c r="ALG143" s="159"/>
      <c r="ALH143" s="159"/>
      <c r="ALI143" s="159"/>
      <c r="ALJ143" s="159"/>
      <c r="ALK143" s="159"/>
      <c r="ALL143" s="159"/>
      <c r="ALM143" s="159"/>
      <c r="ALN143" s="159"/>
      <c r="ALO143" s="159"/>
      <c r="ALP143" s="159"/>
      <c r="ALQ143" s="159"/>
      <c r="ALR143" s="159"/>
      <c r="ALS143" s="159"/>
      <c r="ALT143" s="159"/>
      <c r="ALU143" s="159"/>
      <c r="ALV143" s="159"/>
      <c r="ALW143" s="159"/>
      <c r="ALX143" s="159"/>
      <c r="ALY143" s="159"/>
      <c r="ALZ143" s="159"/>
      <c r="AMA143" s="159"/>
      <c r="AMB143" s="159"/>
      <c r="AMC143" s="159"/>
      <c r="AMD143" s="159"/>
      <c r="AME143" s="159"/>
      <c r="AMF143" s="159"/>
      <c r="AMG143" s="159"/>
      <c r="AMH143" s="159"/>
      <c r="AMI143" s="159"/>
      <c r="AMJ143" s="159"/>
      <c r="AMK143" s="159"/>
      <c r="AML143" s="159"/>
      <c r="AMM143" s="159"/>
      <c r="AMN143" s="159"/>
      <c r="AMO143" s="159"/>
    </row>
    <row r="144" spans="1:1029" s="161" customFormat="1" ht="26.25" thickTop="1" x14ac:dyDescent="0.25">
      <c r="A144" s="170">
        <v>46223</v>
      </c>
      <c r="B144" s="100" t="s">
        <v>138</v>
      </c>
      <c r="C144" s="100" t="s">
        <v>281</v>
      </c>
      <c r="D144" s="171" t="s">
        <v>21</v>
      </c>
      <c r="E144" s="122" t="str">
        <f>CHOOSE(MATCH(MAX(SUM(L$9:$L143), SUM(P$9:$P143), SUM(T$9:$T143)),CHOOSE({1;2;3}, SUM(L$9:$L143), SUM(P$9:$P143), SUM(T$9:$T143)),0),I144,M144,Q144)</f>
        <v>Nudel mit Käsesoße</v>
      </c>
      <c r="F144" s="123" t="str">
        <f>CHOOSE(MATCH(MAX(SUM(L$9:$L143), SUM(P$9:$P143), SUM(R$9:$T143)),CHOOSE({1;2;3}, SUM(L$9:$L143), SUM(P$9:$P143), SUM(R$9:$T143)),0),J144,N144,R144)</f>
        <v>Champignonschnitzel</v>
      </c>
      <c r="G144" s="123" t="str">
        <f>CHOOSE(MATCH(MAX(SUM(L$9:$L143), SUM(P$9:$P143), SUM(T$9:$T143)),CHOOSE({1;2;3}, SUM(L$9:$L143), SUM(P$9:$P143), SUM(T$9:$T143)),0),K144,O144,S144)</f>
        <v>Reis</v>
      </c>
      <c r="H144" s="143">
        <f t="shared" si="12"/>
        <v>0.5</v>
      </c>
      <c r="I144" s="122" t="s">
        <v>101</v>
      </c>
      <c r="J144" s="123" t="s">
        <v>130</v>
      </c>
      <c r="K144" s="123" t="s">
        <v>21</v>
      </c>
      <c r="L144" s="143">
        <f t="shared" si="13"/>
        <v>0.5</v>
      </c>
      <c r="M144" s="123" t="s">
        <v>22</v>
      </c>
      <c r="N144" s="123" t="s">
        <v>130</v>
      </c>
      <c r="O144" s="123" t="s">
        <v>21</v>
      </c>
      <c r="P144" s="143">
        <f t="shared" si="14"/>
        <v>0.5</v>
      </c>
      <c r="Q144" s="123" t="s">
        <v>22</v>
      </c>
      <c r="R144" s="100" t="s">
        <v>74</v>
      </c>
      <c r="S144" s="100" t="s">
        <v>27</v>
      </c>
      <c r="T144" s="143" t="b">
        <f t="shared" si="15"/>
        <v>0</v>
      </c>
      <c r="U144" s="159"/>
      <c r="V144" s="159"/>
      <c r="W144" s="159"/>
      <c r="X144" s="159"/>
      <c r="Y144" s="159"/>
      <c r="Z144" s="159"/>
      <c r="AA144" s="159"/>
      <c r="AB144" s="159"/>
      <c r="AC144" s="159"/>
      <c r="AD144" s="159"/>
      <c r="AE144" s="159"/>
      <c r="AF144" s="159"/>
      <c r="AG144" s="159"/>
      <c r="AH144" s="159"/>
      <c r="AI144" s="159"/>
      <c r="AJ144" s="159"/>
      <c r="AK144" s="159"/>
      <c r="AL144" s="159"/>
      <c r="AM144" s="159"/>
      <c r="AN144" s="159"/>
      <c r="AO144" s="159"/>
      <c r="AP144" s="159"/>
      <c r="AQ144" s="159"/>
      <c r="AR144" s="159"/>
      <c r="AS144" s="159"/>
      <c r="AT144" s="159"/>
      <c r="AU144" s="159"/>
      <c r="AV144" s="159"/>
      <c r="AW144" s="159"/>
      <c r="AX144" s="159"/>
      <c r="AY144" s="159"/>
      <c r="AZ144" s="159"/>
      <c r="BA144" s="159"/>
      <c r="BB144" s="159"/>
      <c r="BC144" s="159"/>
      <c r="BD144" s="159"/>
      <c r="BE144" s="159"/>
      <c r="BF144" s="159"/>
      <c r="BG144" s="159"/>
      <c r="BH144" s="159"/>
      <c r="BI144" s="159"/>
      <c r="BJ144" s="159"/>
      <c r="BK144" s="159"/>
      <c r="BL144" s="159"/>
      <c r="BM144" s="159"/>
      <c r="BN144" s="159"/>
      <c r="BO144" s="159"/>
      <c r="BP144" s="159"/>
      <c r="BQ144" s="159"/>
      <c r="BR144" s="159"/>
      <c r="BS144" s="159"/>
      <c r="BT144" s="159"/>
      <c r="BU144" s="159"/>
      <c r="BV144" s="159"/>
      <c r="BW144" s="159"/>
      <c r="BX144" s="159"/>
      <c r="BY144" s="159"/>
      <c r="BZ144" s="159"/>
      <c r="CA144" s="159"/>
      <c r="CB144" s="159"/>
      <c r="CC144" s="159"/>
      <c r="CD144" s="159"/>
      <c r="CE144" s="159"/>
      <c r="CF144" s="159"/>
      <c r="CG144" s="159"/>
      <c r="CH144" s="159"/>
      <c r="CI144" s="159"/>
      <c r="CJ144" s="159"/>
      <c r="CK144" s="159"/>
      <c r="CL144" s="159"/>
      <c r="CM144" s="159"/>
      <c r="CN144" s="159"/>
      <c r="CO144" s="159"/>
      <c r="CP144" s="159"/>
      <c r="CQ144" s="159"/>
      <c r="CR144" s="159"/>
      <c r="CS144" s="159"/>
      <c r="CT144" s="159"/>
      <c r="CU144" s="159"/>
      <c r="CV144" s="159"/>
      <c r="CW144" s="159"/>
      <c r="CX144" s="159"/>
      <c r="CY144" s="159"/>
      <c r="CZ144" s="159"/>
      <c r="DA144" s="159"/>
      <c r="DB144" s="159"/>
      <c r="DC144" s="159"/>
      <c r="DD144" s="159"/>
      <c r="DE144" s="159"/>
      <c r="DF144" s="159"/>
      <c r="DG144" s="159"/>
      <c r="DH144" s="159"/>
      <c r="DI144" s="159"/>
      <c r="DJ144" s="159"/>
      <c r="DK144" s="159"/>
      <c r="DL144" s="159"/>
      <c r="DM144" s="159"/>
      <c r="DN144" s="159"/>
      <c r="DO144" s="159"/>
      <c r="DP144" s="159"/>
      <c r="DQ144" s="159"/>
      <c r="DR144" s="159"/>
      <c r="DS144" s="159"/>
      <c r="DT144" s="159"/>
      <c r="DU144" s="159"/>
      <c r="DV144" s="159"/>
      <c r="DW144" s="159"/>
      <c r="DX144" s="159"/>
      <c r="DY144" s="159"/>
      <c r="DZ144" s="159"/>
      <c r="EA144" s="159"/>
      <c r="EB144" s="159"/>
      <c r="EC144" s="159"/>
      <c r="ED144" s="159"/>
      <c r="EE144" s="159"/>
      <c r="EF144" s="159"/>
      <c r="EG144" s="159"/>
      <c r="EH144" s="159"/>
      <c r="EI144" s="159"/>
      <c r="EJ144" s="159"/>
      <c r="EK144" s="159"/>
      <c r="EL144" s="159"/>
      <c r="EM144" s="159"/>
      <c r="EN144" s="159"/>
      <c r="EO144" s="159"/>
      <c r="EP144" s="159"/>
      <c r="EQ144" s="159"/>
      <c r="ER144" s="159"/>
      <c r="ES144" s="159"/>
      <c r="ET144" s="159"/>
      <c r="EU144" s="159"/>
      <c r="EV144" s="159"/>
      <c r="EW144" s="159"/>
      <c r="EX144" s="159"/>
      <c r="EY144" s="159"/>
      <c r="EZ144" s="159"/>
      <c r="FA144" s="159"/>
      <c r="FB144" s="159"/>
      <c r="FC144" s="159"/>
      <c r="FD144" s="159"/>
      <c r="FE144" s="159"/>
      <c r="FF144" s="159"/>
      <c r="FG144" s="159"/>
      <c r="FH144" s="159"/>
      <c r="FI144" s="159"/>
      <c r="FJ144" s="159"/>
      <c r="FK144" s="159"/>
      <c r="FL144" s="159"/>
      <c r="FM144" s="159"/>
      <c r="FN144" s="159"/>
      <c r="FO144" s="159"/>
      <c r="FP144" s="159"/>
      <c r="FQ144" s="159"/>
      <c r="FR144" s="159"/>
      <c r="FS144" s="159"/>
      <c r="FT144" s="159"/>
      <c r="FU144" s="159"/>
      <c r="FV144" s="159"/>
      <c r="FW144" s="159"/>
      <c r="FX144" s="159"/>
      <c r="FY144" s="159"/>
      <c r="FZ144" s="159"/>
      <c r="GA144" s="159"/>
      <c r="GB144" s="159"/>
      <c r="GC144" s="159"/>
      <c r="GD144" s="159"/>
      <c r="GE144" s="159"/>
      <c r="GF144" s="159"/>
      <c r="GG144" s="159"/>
      <c r="GH144" s="159"/>
      <c r="GI144" s="159"/>
      <c r="GJ144" s="159"/>
      <c r="GK144" s="159"/>
      <c r="GL144" s="159"/>
      <c r="GM144" s="159"/>
      <c r="GN144" s="159"/>
      <c r="GO144" s="159"/>
      <c r="GP144" s="159"/>
      <c r="GQ144" s="159"/>
      <c r="GR144" s="159"/>
      <c r="GS144" s="159"/>
      <c r="GT144" s="159"/>
      <c r="GU144" s="159"/>
      <c r="GV144" s="159"/>
      <c r="GW144" s="159"/>
      <c r="GX144" s="159"/>
      <c r="GY144" s="159"/>
      <c r="GZ144" s="159"/>
      <c r="HA144" s="159"/>
      <c r="HB144" s="159"/>
      <c r="HC144" s="159"/>
      <c r="HD144" s="159"/>
      <c r="HE144" s="159"/>
      <c r="HF144" s="159"/>
      <c r="HG144" s="159"/>
      <c r="HH144" s="159"/>
      <c r="HI144" s="159"/>
      <c r="HJ144" s="159"/>
      <c r="HK144" s="159"/>
      <c r="HL144" s="159"/>
      <c r="HM144" s="159"/>
      <c r="HN144" s="159"/>
      <c r="HO144" s="159"/>
      <c r="HP144" s="159"/>
      <c r="HQ144" s="159"/>
      <c r="HR144" s="159"/>
      <c r="HS144" s="159"/>
      <c r="HT144" s="159"/>
      <c r="HU144" s="159"/>
      <c r="HV144" s="159"/>
      <c r="HW144" s="159"/>
      <c r="HX144" s="159"/>
      <c r="HY144" s="159"/>
      <c r="HZ144" s="159"/>
      <c r="IA144" s="159"/>
      <c r="IB144" s="159"/>
      <c r="IC144" s="159"/>
      <c r="ID144" s="159"/>
      <c r="IE144" s="159"/>
      <c r="IF144" s="159"/>
      <c r="IG144" s="159"/>
      <c r="IH144" s="159"/>
      <c r="II144" s="159"/>
      <c r="IJ144" s="159"/>
      <c r="IK144" s="159"/>
      <c r="IL144" s="159"/>
      <c r="IM144" s="159"/>
      <c r="IN144" s="159"/>
      <c r="IO144" s="159"/>
      <c r="IP144" s="159"/>
      <c r="IQ144" s="159"/>
      <c r="IR144" s="159"/>
      <c r="IS144" s="159"/>
      <c r="IT144" s="159"/>
      <c r="IU144" s="159"/>
      <c r="IV144" s="159"/>
      <c r="IW144" s="159"/>
      <c r="IX144" s="159"/>
      <c r="IY144" s="159"/>
      <c r="IZ144" s="159"/>
      <c r="JA144" s="159"/>
      <c r="JB144" s="159"/>
      <c r="JC144" s="159"/>
      <c r="JD144" s="159"/>
      <c r="JE144" s="159"/>
      <c r="JF144" s="159"/>
      <c r="JG144" s="159"/>
      <c r="JH144" s="159"/>
      <c r="JI144" s="159"/>
      <c r="JJ144" s="159"/>
      <c r="JK144" s="159"/>
      <c r="JL144" s="159"/>
      <c r="JM144" s="159"/>
      <c r="JN144" s="159"/>
      <c r="JO144" s="159"/>
      <c r="JP144" s="159"/>
      <c r="JQ144" s="159"/>
      <c r="JR144" s="159"/>
      <c r="JS144" s="159"/>
      <c r="JT144" s="159"/>
      <c r="JU144" s="159"/>
      <c r="JV144" s="159"/>
      <c r="JW144" s="159"/>
      <c r="JX144" s="159"/>
      <c r="JY144" s="159"/>
      <c r="JZ144" s="159"/>
      <c r="KA144" s="159"/>
      <c r="KB144" s="159"/>
      <c r="KC144" s="159"/>
      <c r="KD144" s="159"/>
      <c r="KE144" s="159"/>
      <c r="KF144" s="159"/>
      <c r="KG144" s="159"/>
      <c r="KH144" s="159"/>
      <c r="KI144" s="159"/>
      <c r="KJ144" s="159"/>
      <c r="KK144" s="159"/>
      <c r="KL144" s="159"/>
      <c r="KM144" s="159"/>
      <c r="KN144" s="159"/>
      <c r="KO144" s="159"/>
      <c r="KP144" s="159"/>
      <c r="KQ144" s="159"/>
      <c r="KR144" s="159"/>
      <c r="KS144" s="159"/>
      <c r="KT144" s="159"/>
      <c r="KU144" s="159"/>
      <c r="KV144" s="159"/>
      <c r="KW144" s="159"/>
      <c r="KX144" s="159"/>
      <c r="KY144" s="159"/>
      <c r="KZ144" s="159"/>
      <c r="LA144" s="159"/>
      <c r="LB144" s="159"/>
      <c r="LC144" s="159"/>
      <c r="LD144" s="159"/>
      <c r="LE144" s="159"/>
      <c r="LF144" s="159"/>
      <c r="LG144" s="159"/>
      <c r="LH144" s="159"/>
      <c r="LI144" s="159"/>
      <c r="LJ144" s="159"/>
      <c r="LK144" s="159"/>
      <c r="LL144" s="159"/>
      <c r="LM144" s="159"/>
      <c r="LN144" s="159"/>
      <c r="LO144" s="159"/>
      <c r="LP144" s="159"/>
      <c r="LQ144" s="159"/>
      <c r="LR144" s="159"/>
      <c r="LS144" s="159"/>
      <c r="LT144" s="159"/>
      <c r="LU144" s="159"/>
      <c r="LV144" s="159"/>
      <c r="LW144" s="159"/>
      <c r="LX144" s="159"/>
      <c r="LY144" s="159"/>
      <c r="LZ144" s="159"/>
      <c r="MA144" s="159"/>
      <c r="MB144" s="159"/>
      <c r="MC144" s="159"/>
      <c r="MD144" s="159"/>
      <c r="ME144" s="159"/>
      <c r="MF144" s="159"/>
      <c r="MG144" s="159"/>
      <c r="MH144" s="159"/>
      <c r="MI144" s="159"/>
      <c r="MJ144" s="159"/>
      <c r="MK144" s="159"/>
      <c r="ML144" s="159"/>
      <c r="MM144" s="159"/>
      <c r="MN144" s="159"/>
      <c r="MO144" s="159"/>
      <c r="MP144" s="159"/>
      <c r="MQ144" s="159"/>
      <c r="MR144" s="159"/>
      <c r="MS144" s="159"/>
      <c r="MT144" s="159"/>
      <c r="MU144" s="159"/>
      <c r="MV144" s="159"/>
      <c r="MW144" s="159"/>
      <c r="MX144" s="159"/>
      <c r="MY144" s="159"/>
      <c r="MZ144" s="159"/>
      <c r="NA144" s="159"/>
      <c r="NB144" s="159"/>
      <c r="NC144" s="159"/>
      <c r="ND144" s="159"/>
      <c r="NE144" s="159"/>
      <c r="NF144" s="159"/>
      <c r="NG144" s="159"/>
      <c r="NH144" s="159"/>
      <c r="NI144" s="159"/>
      <c r="NJ144" s="159"/>
      <c r="NK144" s="159"/>
      <c r="NL144" s="159"/>
      <c r="NM144" s="159"/>
      <c r="NN144" s="159"/>
      <c r="NO144" s="159"/>
      <c r="NP144" s="159"/>
      <c r="NQ144" s="159"/>
      <c r="NR144" s="159"/>
      <c r="NS144" s="159"/>
      <c r="NT144" s="159"/>
      <c r="NU144" s="159"/>
      <c r="NV144" s="159"/>
      <c r="NW144" s="159"/>
      <c r="NX144" s="159"/>
      <c r="NY144" s="159"/>
      <c r="NZ144" s="159"/>
      <c r="OA144" s="159"/>
      <c r="OB144" s="159"/>
      <c r="OC144" s="159"/>
      <c r="OD144" s="159"/>
      <c r="OE144" s="159"/>
      <c r="OF144" s="159"/>
      <c r="OG144" s="159"/>
      <c r="OH144" s="159"/>
      <c r="OI144" s="159"/>
      <c r="OJ144" s="159"/>
      <c r="OK144" s="159"/>
      <c r="OL144" s="159"/>
      <c r="OM144" s="159"/>
      <c r="ON144" s="159"/>
      <c r="OO144" s="159"/>
      <c r="OP144" s="159"/>
      <c r="OQ144" s="159"/>
      <c r="OR144" s="159"/>
      <c r="OS144" s="159"/>
      <c r="OT144" s="159"/>
      <c r="OU144" s="159"/>
      <c r="OV144" s="159"/>
      <c r="OW144" s="159"/>
      <c r="OX144" s="159"/>
      <c r="OY144" s="159"/>
      <c r="OZ144" s="159"/>
      <c r="PA144" s="159"/>
      <c r="PB144" s="159"/>
      <c r="PC144" s="159"/>
      <c r="PD144" s="159"/>
      <c r="PE144" s="159"/>
      <c r="PF144" s="159"/>
      <c r="PG144" s="159"/>
      <c r="PH144" s="159"/>
      <c r="PI144" s="159"/>
      <c r="PJ144" s="159"/>
      <c r="PK144" s="159"/>
      <c r="PL144" s="159"/>
      <c r="PM144" s="159"/>
      <c r="PN144" s="159"/>
      <c r="PO144" s="159"/>
      <c r="PP144" s="159"/>
      <c r="PQ144" s="159"/>
      <c r="PR144" s="159"/>
      <c r="PS144" s="159"/>
      <c r="PT144" s="159"/>
      <c r="PU144" s="159"/>
      <c r="PV144" s="159"/>
      <c r="PW144" s="159"/>
      <c r="PX144" s="159"/>
      <c r="PY144" s="159"/>
      <c r="PZ144" s="159"/>
      <c r="QA144" s="159"/>
      <c r="QB144" s="159"/>
      <c r="QC144" s="159"/>
      <c r="QD144" s="159"/>
      <c r="QE144" s="159"/>
      <c r="QF144" s="159"/>
      <c r="QG144" s="159"/>
      <c r="QH144" s="159"/>
      <c r="QI144" s="159"/>
      <c r="QJ144" s="159"/>
      <c r="QK144" s="159"/>
      <c r="QL144" s="159"/>
      <c r="QM144" s="159"/>
      <c r="QN144" s="159"/>
      <c r="QO144" s="159"/>
      <c r="QP144" s="159"/>
      <c r="QQ144" s="159"/>
      <c r="QR144" s="159"/>
      <c r="QS144" s="159"/>
      <c r="QT144" s="159"/>
      <c r="QU144" s="159"/>
      <c r="QV144" s="159"/>
      <c r="QW144" s="159"/>
      <c r="QX144" s="159"/>
      <c r="QY144" s="159"/>
      <c r="QZ144" s="159"/>
      <c r="RA144" s="159"/>
      <c r="RB144" s="159"/>
      <c r="RC144" s="159"/>
      <c r="RD144" s="159"/>
      <c r="RE144" s="159"/>
      <c r="RF144" s="159"/>
      <c r="RG144" s="159"/>
      <c r="RH144" s="159"/>
      <c r="RI144" s="159"/>
      <c r="RJ144" s="159"/>
      <c r="RK144" s="159"/>
      <c r="RL144" s="159"/>
      <c r="RM144" s="159"/>
      <c r="RN144" s="159"/>
      <c r="RO144" s="159"/>
      <c r="RP144" s="159"/>
      <c r="RQ144" s="159"/>
      <c r="RR144" s="159"/>
      <c r="RS144" s="159"/>
      <c r="RT144" s="159"/>
      <c r="RU144" s="159"/>
      <c r="RV144" s="159"/>
      <c r="RW144" s="159"/>
      <c r="RX144" s="159"/>
      <c r="RY144" s="159"/>
      <c r="RZ144" s="159"/>
      <c r="SA144" s="159"/>
      <c r="SB144" s="159"/>
      <c r="SC144" s="159"/>
      <c r="SD144" s="159"/>
      <c r="SE144" s="159"/>
      <c r="SF144" s="159"/>
      <c r="SG144" s="159"/>
      <c r="SH144" s="159"/>
      <c r="SI144" s="159"/>
      <c r="SJ144" s="159"/>
      <c r="SK144" s="159"/>
      <c r="SL144" s="159"/>
      <c r="SM144" s="159"/>
      <c r="SN144" s="159"/>
      <c r="SO144" s="159"/>
      <c r="SP144" s="159"/>
      <c r="SQ144" s="159"/>
      <c r="SR144" s="159"/>
      <c r="SS144" s="159"/>
      <c r="ST144" s="159"/>
      <c r="SU144" s="159"/>
      <c r="SV144" s="159"/>
      <c r="SW144" s="159"/>
      <c r="SX144" s="159"/>
      <c r="SY144" s="159"/>
      <c r="SZ144" s="159"/>
      <c r="TA144" s="159"/>
      <c r="TB144" s="159"/>
      <c r="TC144" s="159"/>
      <c r="TD144" s="159"/>
      <c r="TE144" s="159"/>
      <c r="TF144" s="159"/>
      <c r="TG144" s="159"/>
      <c r="TH144" s="159"/>
      <c r="TI144" s="159"/>
      <c r="TJ144" s="159"/>
      <c r="TK144" s="159"/>
      <c r="TL144" s="159"/>
      <c r="TM144" s="159"/>
      <c r="TN144" s="159"/>
      <c r="TO144" s="159"/>
      <c r="TP144" s="159"/>
      <c r="TQ144" s="159"/>
      <c r="TR144" s="159"/>
      <c r="TS144" s="159"/>
      <c r="TT144" s="159"/>
      <c r="TU144" s="159"/>
      <c r="TV144" s="159"/>
      <c r="TW144" s="159"/>
      <c r="TX144" s="159"/>
      <c r="TY144" s="159"/>
      <c r="TZ144" s="159"/>
      <c r="UA144" s="159"/>
      <c r="UB144" s="159"/>
      <c r="UC144" s="159"/>
      <c r="UD144" s="159"/>
      <c r="UE144" s="159"/>
      <c r="UF144" s="159"/>
      <c r="UG144" s="159"/>
      <c r="UH144" s="159"/>
      <c r="UI144" s="159"/>
      <c r="UJ144" s="159"/>
      <c r="UK144" s="159"/>
      <c r="UL144" s="159"/>
      <c r="UM144" s="159"/>
      <c r="UN144" s="159"/>
      <c r="UO144" s="159"/>
      <c r="UP144" s="159"/>
      <c r="UQ144" s="159"/>
      <c r="UR144" s="159"/>
      <c r="US144" s="159"/>
      <c r="UT144" s="159"/>
      <c r="UU144" s="159"/>
      <c r="UV144" s="159"/>
      <c r="UW144" s="159"/>
      <c r="UX144" s="159"/>
      <c r="UY144" s="159"/>
      <c r="UZ144" s="159"/>
      <c r="VA144" s="159"/>
      <c r="VB144" s="159"/>
      <c r="VC144" s="159"/>
      <c r="VD144" s="159"/>
      <c r="VE144" s="159"/>
      <c r="VF144" s="159"/>
      <c r="VG144" s="159"/>
      <c r="VH144" s="159"/>
      <c r="VI144" s="159"/>
      <c r="VJ144" s="159"/>
      <c r="VK144" s="159"/>
      <c r="VL144" s="159"/>
      <c r="VM144" s="159"/>
      <c r="VN144" s="159"/>
      <c r="VO144" s="159"/>
      <c r="VP144" s="159"/>
      <c r="VQ144" s="159"/>
      <c r="VR144" s="159"/>
      <c r="VS144" s="159"/>
      <c r="VT144" s="159"/>
      <c r="VU144" s="159"/>
      <c r="VV144" s="159"/>
      <c r="VW144" s="159"/>
      <c r="VX144" s="159"/>
      <c r="VY144" s="159"/>
      <c r="VZ144" s="159"/>
      <c r="WA144" s="159"/>
      <c r="WB144" s="159"/>
      <c r="WC144" s="159"/>
      <c r="WD144" s="159"/>
      <c r="WE144" s="159"/>
      <c r="WF144" s="159"/>
      <c r="WG144" s="159"/>
      <c r="WH144" s="159"/>
      <c r="WI144" s="159"/>
      <c r="WJ144" s="159"/>
      <c r="WK144" s="159"/>
      <c r="WL144" s="159"/>
      <c r="WM144" s="159"/>
      <c r="WN144" s="159"/>
      <c r="WO144" s="159"/>
      <c r="WP144" s="159"/>
      <c r="WQ144" s="159"/>
      <c r="WR144" s="159"/>
      <c r="WS144" s="159"/>
      <c r="WT144" s="159"/>
      <c r="WU144" s="159"/>
      <c r="WV144" s="159"/>
      <c r="WW144" s="159"/>
      <c r="WX144" s="159"/>
      <c r="WY144" s="159"/>
      <c r="WZ144" s="159"/>
      <c r="XA144" s="159"/>
      <c r="XB144" s="159"/>
      <c r="XC144" s="159"/>
      <c r="XD144" s="159"/>
      <c r="XE144" s="159"/>
      <c r="XF144" s="159"/>
      <c r="XG144" s="159"/>
      <c r="XH144" s="159"/>
      <c r="XI144" s="159"/>
      <c r="XJ144" s="159"/>
      <c r="XK144" s="159"/>
      <c r="XL144" s="159"/>
      <c r="XM144" s="159"/>
      <c r="XN144" s="159"/>
      <c r="XO144" s="159"/>
      <c r="XP144" s="159"/>
      <c r="XQ144" s="159"/>
      <c r="XR144" s="159"/>
      <c r="XS144" s="159"/>
      <c r="XT144" s="159"/>
      <c r="XU144" s="159"/>
      <c r="XV144" s="159"/>
      <c r="XW144" s="159"/>
      <c r="XX144" s="159"/>
      <c r="XY144" s="159"/>
      <c r="XZ144" s="159"/>
      <c r="YA144" s="159"/>
      <c r="YB144" s="159"/>
      <c r="YC144" s="159"/>
      <c r="YD144" s="159"/>
      <c r="YE144" s="159"/>
      <c r="YF144" s="159"/>
      <c r="YG144" s="159"/>
      <c r="YH144" s="159"/>
      <c r="YI144" s="159"/>
      <c r="YJ144" s="159"/>
      <c r="YK144" s="159"/>
      <c r="YL144" s="159"/>
      <c r="YM144" s="159"/>
      <c r="YN144" s="159"/>
      <c r="YO144" s="159"/>
      <c r="YP144" s="159"/>
      <c r="YQ144" s="159"/>
      <c r="YR144" s="159"/>
      <c r="YS144" s="159"/>
      <c r="YT144" s="159"/>
      <c r="YU144" s="159"/>
      <c r="YV144" s="159"/>
      <c r="YW144" s="159"/>
      <c r="YX144" s="159"/>
      <c r="YY144" s="159"/>
      <c r="YZ144" s="159"/>
      <c r="ZA144" s="159"/>
      <c r="ZB144" s="159"/>
      <c r="ZC144" s="159"/>
      <c r="ZD144" s="159"/>
      <c r="ZE144" s="159"/>
      <c r="ZF144" s="159"/>
      <c r="ZG144" s="159"/>
      <c r="ZH144" s="159"/>
      <c r="ZI144" s="159"/>
      <c r="ZJ144" s="159"/>
      <c r="ZK144" s="159"/>
      <c r="ZL144" s="159"/>
      <c r="ZM144" s="159"/>
      <c r="ZN144" s="159"/>
      <c r="ZO144" s="159"/>
      <c r="ZP144" s="159"/>
      <c r="ZQ144" s="159"/>
      <c r="ZR144" s="159"/>
      <c r="ZS144" s="159"/>
      <c r="ZT144" s="159"/>
      <c r="ZU144" s="159"/>
      <c r="ZV144" s="159"/>
      <c r="ZW144" s="159"/>
      <c r="ZX144" s="159"/>
      <c r="ZY144" s="159"/>
      <c r="ZZ144" s="159"/>
      <c r="AAA144" s="159"/>
      <c r="AAB144" s="159"/>
      <c r="AAC144" s="159"/>
      <c r="AAD144" s="159"/>
      <c r="AAE144" s="159"/>
      <c r="AAF144" s="159"/>
      <c r="AAG144" s="159"/>
      <c r="AAH144" s="159"/>
      <c r="AAI144" s="159"/>
      <c r="AAJ144" s="159"/>
      <c r="AAK144" s="159"/>
      <c r="AAL144" s="159"/>
      <c r="AAM144" s="159"/>
      <c r="AAN144" s="159"/>
      <c r="AAO144" s="159"/>
      <c r="AAP144" s="159"/>
      <c r="AAQ144" s="159"/>
      <c r="AAR144" s="159"/>
      <c r="AAS144" s="159"/>
      <c r="AAT144" s="159"/>
      <c r="AAU144" s="159"/>
      <c r="AAV144" s="159"/>
      <c r="AAW144" s="159"/>
      <c r="AAX144" s="159"/>
      <c r="AAY144" s="159"/>
      <c r="AAZ144" s="159"/>
      <c r="ABA144" s="159"/>
      <c r="ABB144" s="159"/>
      <c r="ABC144" s="159"/>
      <c r="ABD144" s="159"/>
      <c r="ABE144" s="159"/>
      <c r="ABF144" s="159"/>
      <c r="ABG144" s="159"/>
      <c r="ABH144" s="159"/>
      <c r="ABI144" s="159"/>
      <c r="ABJ144" s="159"/>
      <c r="ABK144" s="159"/>
      <c r="ABL144" s="159"/>
      <c r="ABM144" s="159"/>
      <c r="ABN144" s="159"/>
      <c r="ABO144" s="159"/>
      <c r="ABP144" s="159"/>
      <c r="ABQ144" s="159"/>
      <c r="ABR144" s="159"/>
      <c r="ABS144" s="159"/>
      <c r="ABT144" s="159"/>
      <c r="ABU144" s="159"/>
      <c r="ABV144" s="159"/>
      <c r="ABW144" s="159"/>
      <c r="ABX144" s="159"/>
      <c r="ABY144" s="159"/>
      <c r="ABZ144" s="159"/>
      <c r="ACA144" s="159"/>
      <c r="ACB144" s="159"/>
      <c r="ACC144" s="159"/>
      <c r="ACD144" s="159"/>
      <c r="ACE144" s="159"/>
      <c r="ACF144" s="159"/>
      <c r="ACG144" s="159"/>
      <c r="ACH144" s="159"/>
      <c r="ACI144" s="159"/>
      <c r="ACJ144" s="159"/>
      <c r="ACK144" s="159"/>
      <c r="ACL144" s="159"/>
      <c r="ACM144" s="159"/>
      <c r="ACN144" s="159"/>
      <c r="ACO144" s="159"/>
      <c r="ACP144" s="159"/>
      <c r="ACQ144" s="159"/>
      <c r="ACR144" s="159"/>
      <c r="ACS144" s="159"/>
      <c r="ACT144" s="159"/>
      <c r="ACU144" s="159"/>
      <c r="ACV144" s="159"/>
      <c r="ACW144" s="159"/>
      <c r="ACX144" s="159"/>
      <c r="ACY144" s="159"/>
      <c r="ACZ144" s="159"/>
      <c r="ADA144" s="159"/>
      <c r="ADB144" s="159"/>
      <c r="ADC144" s="159"/>
      <c r="ADD144" s="159"/>
      <c r="ADE144" s="159"/>
      <c r="ADF144" s="159"/>
      <c r="ADG144" s="159"/>
      <c r="ADH144" s="159"/>
      <c r="ADI144" s="159"/>
      <c r="ADJ144" s="159"/>
      <c r="ADK144" s="159"/>
      <c r="ADL144" s="159"/>
      <c r="ADM144" s="159"/>
      <c r="ADN144" s="159"/>
      <c r="ADO144" s="159"/>
      <c r="ADP144" s="159"/>
      <c r="ADQ144" s="159"/>
      <c r="ADR144" s="159"/>
      <c r="ADS144" s="159"/>
      <c r="ADT144" s="159"/>
      <c r="ADU144" s="159"/>
      <c r="ADV144" s="159"/>
      <c r="ADW144" s="159"/>
      <c r="ADX144" s="159"/>
      <c r="ADY144" s="159"/>
      <c r="ADZ144" s="159"/>
      <c r="AEA144" s="159"/>
      <c r="AEB144" s="159"/>
      <c r="AEC144" s="159"/>
      <c r="AED144" s="159"/>
      <c r="AEE144" s="159"/>
      <c r="AEF144" s="159"/>
      <c r="AEG144" s="159"/>
      <c r="AEH144" s="159"/>
      <c r="AEI144" s="159"/>
      <c r="AEJ144" s="159"/>
      <c r="AEK144" s="159"/>
      <c r="AEL144" s="159"/>
      <c r="AEM144" s="159"/>
      <c r="AEN144" s="159"/>
      <c r="AEO144" s="159"/>
      <c r="AEP144" s="159"/>
      <c r="AEQ144" s="159"/>
      <c r="AER144" s="159"/>
      <c r="AES144" s="159"/>
      <c r="AET144" s="159"/>
      <c r="AEU144" s="159"/>
      <c r="AEV144" s="159"/>
      <c r="AEW144" s="159"/>
      <c r="AEX144" s="159"/>
      <c r="AEY144" s="159"/>
      <c r="AEZ144" s="159"/>
      <c r="AFA144" s="159"/>
      <c r="AFB144" s="159"/>
      <c r="AFC144" s="159"/>
      <c r="AFD144" s="159"/>
      <c r="AFE144" s="159"/>
      <c r="AFF144" s="159"/>
      <c r="AFG144" s="159"/>
      <c r="AFH144" s="159"/>
      <c r="AFI144" s="159"/>
      <c r="AFJ144" s="159"/>
      <c r="AFK144" s="159"/>
      <c r="AFL144" s="159"/>
      <c r="AFM144" s="159"/>
      <c r="AFN144" s="159"/>
      <c r="AFO144" s="159"/>
      <c r="AFP144" s="159"/>
      <c r="AFQ144" s="159"/>
      <c r="AFR144" s="159"/>
      <c r="AFS144" s="159"/>
      <c r="AFT144" s="159"/>
      <c r="AFU144" s="159"/>
      <c r="AFV144" s="159"/>
      <c r="AFW144" s="159"/>
      <c r="AFX144" s="159"/>
      <c r="AFY144" s="159"/>
      <c r="AFZ144" s="159"/>
      <c r="AGA144" s="159"/>
      <c r="AGB144" s="159"/>
      <c r="AGC144" s="159"/>
      <c r="AGD144" s="159"/>
      <c r="AGE144" s="159"/>
      <c r="AGF144" s="159"/>
      <c r="AGG144" s="159"/>
      <c r="AGH144" s="159"/>
      <c r="AGI144" s="159"/>
      <c r="AGJ144" s="159"/>
      <c r="AGK144" s="159"/>
      <c r="AGL144" s="159"/>
      <c r="AGM144" s="159"/>
      <c r="AGN144" s="159"/>
      <c r="AGO144" s="159"/>
      <c r="AGP144" s="159"/>
      <c r="AGQ144" s="159"/>
      <c r="AGR144" s="159"/>
      <c r="AGS144" s="159"/>
      <c r="AGT144" s="159"/>
      <c r="AGU144" s="159"/>
      <c r="AGV144" s="159"/>
      <c r="AGW144" s="159"/>
      <c r="AGX144" s="159"/>
      <c r="AGY144" s="159"/>
      <c r="AGZ144" s="159"/>
      <c r="AHA144" s="159"/>
      <c r="AHB144" s="159"/>
      <c r="AHC144" s="159"/>
      <c r="AHD144" s="159"/>
      <c r="AHE144" s="159"/>
      <c r="AHF144" s="159"/>
      <c r="AHG144" s="159"/>
      <c r="AHH144" s="159"/>
      <c r="AHI144" s="159"/>
      <c r="AHJ144" s="159"/>
      <c r="AHK144" s="159"/>
      <c r="AHL144" s="159"/>
      <c r="AHM144" s="159"/>
      <c r="AHN144" s="159"/>
      <c r="AHO144" s="159"/>
      <c r="AHP144" s="159"/>
      <c r="AHQ144" s="159"/>
      <c r="AHR144" s="159"/>
      <c r="AHS144" s="159"/>
      <c r="AHT144" s="159"/>
      <c r="AHU144" s="159"/>
      <c r="AHV144" s="159"/>
      <c r="AHW144" s="159"/>
      <c r="AHX144" s="159"/>
      <c r="AHY144" s="159"/>
      <c r="AHZ144" s="159"/>
      <c r="AIA144" s="159"/>
      <c r="AIB144" s="159"/>
      <c r="AIC144" s="159"/>
      <c r="AID144" s="159"/>
      <c r="AIE144" s="159"/>
      <c r="AIF144" s="159"/>
      <c r="AIG144" s="159"/>
      <c r="AIH144" s="159"/>
      <c r="AII144" s="159"/>
      <c r="AIJ144" s="159"/>
      <c r="AIK144" s="159"/>
      <c r="AIL144" s="159"/>
      <c r="AIM144" s="159"/>
      <c r="AIN144" s="159"/>
      <c r="AIO144" s="159"/>
      <c r="AIP144" s="159"/>
      <c r="AIQ144" s="159"/>
      <c r="AIR144" s="159"/>
      <c r="AIS144" s="159"/>
      <c r="AIT144" s="159"/>
      <c r="AIU144" s="159"/>
      <c r="AIV144" s="159"/>
      <c r="AIW144" s="159"/>
      <c r="AIX144" s="159"/>
      <c r="AIY144" s="159"/>
      <c r="AIZ144" s="159"/>
      <c r="AJA144" s="159"/>
      <c r="AJB144" s="159"/>
      <c r="AJC144" s="159"/>
      <c r="AJD144" s="159"/>
      <c r="AJE144" s="159"/>
      <c r="AJF144" s="159"/>
      <c r="AJG144" s="159"/>
      <c r="AJH144" s="159"/>
      <c r="AJI144" s="159"/>
      <c r="AJJ144" s="159"/>
      <c r="AJK144" s="159"/>
      <c r="AJL144" s="159"/>
      <c r="AJM144" s="159"/>
      <c r="AJN144" s="159"/>
      <c r="AJO144" s="159"/>
      <c r="AJP144" s="159"/>
      <c r="AJQ144" s="159"/>
      <c r="AJR144" s="159"/>
      <c r="AJS144" s="159"/>
      <c r="AJT144" s="159"/>
      <c r="AJU144" s="159"/>
      <c r="AJV144" s="159"/>
      <c r="AJW144" s="159"/>
      <c r="AJX144" s="159"/>
      <c r="AJY144" s="159"/>
      <c r="AJZ144" s="159"/>
      <c r="AKA144" s="159"/>
      <c r="AKB144" s="159"/>
      <c r="AKC144" s="159"/>
      <c r="AKD144" s="159"/>
      <c r="AKE144" s="159"/>
      <c r="AKF144" s="159"/>
      <c r="AKG144" s="159"/>
      <c r="AKH144" s="159"/>
      <c r="AKI144" s="159"/>
      <c r="AKJ144" s="159"/>
      <c r="AKK144" s="159"/>
      <c r="AKL144" s="159"/>
      <c r="AKM144" s="159"/>
      <c r="AKN144" s="159"/>
      <c r="AKO144" s="159"/>
      <c r="AKP144" s="159"/>
      <c r="AKQ144" s="159"/>
      <c r="AKR144" s="159"/>
      <c r="AKS144" s="159"/>
      <c r="AKT144" s="159"/>
      <c r="AKU144" s="159"/>
      <c r="AKV144" s="159"/>
      <c r="AKW144" s="159"/>
      <c r="AKX144" s="159"/>
      <c r="AKY144" s="159"/>
      <c r="AKZ144" s="159"/>
      <c r="ALA144" s="159"/>
      <c r="ALB144" s="159"/>
      <c r="ALC144" s="159"/>
      <c r="ALD144" s="159"/>
      <c r="ALE144" s="159"/>
      <c r="ALF144" s="159"/>
      <c r="ALG144" s="159"/>
      <c r="ALH144" s="159"/>
      <c r="ALI144" s="159"/>
      <c r="ALJ144" s="159"/>
      <c r="ALK144" s="159"/>
      <c r="ALL144" s="159"/>
      <c r="ALM144" s="159"/>
      <c r="ALN144" s="159"/>
      <c r="ALO144" s="159"/>
      <c r="ALP144" s="159"/>
      <c r="ALQ144" s="159"/>
      <c r="ALR144" s="159"/>
      <c r="ALS144" s="159"/>
      <c r="ALT144" s="159"/>
      <c r="ALU144" s="159"/>
      <c r="ALV144" s="159"/>
      <c r="ALW144" s="159"/>
      <c r="ALX144" s="159"/>
      <c r="ALY144" s="159"/>
      <c r="ALZ144" s="159"/>
      <c r="AMA144" s="159"/>
      <c r="AMB144" s="159"/>
      <c r="AMC144" s="159"/>
      <c r="AMD144" s="159"/>
      <c r="AME144" s="159"/>
      <c r="AMF144" s="159"/>
      <c r="AMG144" s="159"/>
      <c r="AMH144" s="159"/>
      <c r="AMI144" s="159"/>
      <c r="AMJ144" s="159"/>
      <c r="AMK144" s="159"/>
      <c r="AML144" s="159"/>
      <c r="AMM144" s="159"/>
      <c r="AMN144" s="159"/>
      <c r="AMO144" s="159"/>
    </row>
    <row r="145" spans="1:1029" s="161" customFormat="1" ht="25.5" x14ac:dyDescent="0.25">
      <c r="A145" s="138">
        <v>46224</v>
      </c>
      <c r="B145" s="99" t="s">
        <v>35</v>
      </c>
      <c r="C145" s="99" t="s">
        <v>12</v>
      </c>
      <c r="D145" s="160" t="s">
        <v>60</v>
      </c>
      <c r="E145" s="118" t="str">
        <f>CHOOSE(MATCH(MAX(SUM(L$9:$L144), SUM(P$9:$P144), SUM(T$9:$T144)),CHOOSE({1;2;3}, SUM(L$9:$L144), SUM(P$9:$P144), SUM(T$9:$T144)),0),I145,M145,Q145)</f>
        <v>Pizza</v>
      </c>
      <c r="F145" s="149" t="str">
        <f>CHOOSE(MATCH(MAX(SUM(L$9:$L144), SUM(P$9:$P144), SUM(R$9:$T144)),CHOOSE({1;2;3}, SUM(L$9:$L144), SUM(P$9:$P144), SUM(R$9:$T144)),0),J145,N145,R145)</f>
        <v>Hühnerbrust</v>
      </c>
      <c r="G145" s="149" t="str">
        <f>CHOOSE(MATCH(MAX(SUM(L$9:$L144), SUM(P$9:$P144), SUM(T$9:$T144)),CHOOSE({1;2;3}, SUM(L$9:$L144), SUM(P$9:$P144), SUM(T$9:$T144)),0),K145,O145,S145)</f>
        <v>Kroketten</v>
      </c>
      <c r="H145" s="141" t="b">
        <f t="shared" si="12"/>
        <v>0</v>
      </c>
      <c r="I145" s="120" t="s">
        <v>32</v>
      </c>
      <c r="J145" s="121" t="s">
        <v>77</v>
      </c>
      <c r="K145" s="121" t="s">
        <v>52</v>
      </c>
      <c r="L145" s="141" t="b">
        <f t="shared" si="13"/>
        <v>0</v>
      </c>
      <c r="M145" s="121" t="s">
        <v>101</v>
      </c>
      <c r="N145" s="121" t="s">
        <v>82</v>
      </c>
      <c r="O145" s="121" t="s">
        <v>168</v>
      </c>
      <c r="P145" s="141" t="b">
        <f t="shared" si="14"/>
        <v>0</v>
      </c>
      <c r="Q145" s="149" t="s">
        <v>8</v>
      </c>
      <c r="R145" s="99" t="s">
        <v>57</v>
      </c>
      <c r="S145" s="99" t="s">
        <v>104</v>
      </c>
      <c r="T145" s="141" t="b">
        <f t="shared" si="15"/>
        <v>0</v>
      </c>
      <c r="U145" s="159"/>
      <c r="V145" s="159"/>
      <c r="W145" s="159"/>
      <c r="X145" s="159"/>
      <c r="Y145" s="159"/>
      <c r="Z145" s="159"/>
      <c r="AA145" s="159"/>
      <c r="AB145" s="159"/>
      <c r="AC145" s="159"/>
      <c r="AD145" s="159"/>
      <c r="AE145" s="159"/>
      <c r="AF145" s="159"/>
      <c r="AG145" s="159"/>
      <c r="AH145" s="159"/>
      <c r="AI145" s="159"/>
      <c r="AJ145" s="159"/>
      <c r="AK145" s="159"/>
      <c r="AL145" s="159"/>
      <c r="AM145" s="159"/>
      <c r="AN145" s="159"/>
      <c r="AO145" s="159"/>
      <c r="AP145" s="159"/>
      <c r="AQ145" s="159"/>
      <c r="AR145" s="159"/>
      <c r="AS145" s="159"/>
      <c r="AT145" s="159"/>
      <c r="AU145" s="159"/>
      <c r="AV145" s="159"/>
      <c r="AW145" s="159"/>
      <c r="AX145" s="159"/>
      <c r="AY145" s="159"/>
      <c r="AZ145" s="159"/>
      <c r="BA145" s="159"/>
      <c r="BB145" s="159"/>
      <c r="BC145" s="159"/>
      <c r="BD145" s="159"/>
      <c r="BE145" s="159"/>
      <c r="BF145" s="159"/>
      <c r="BG145" s="159"/>
      <c r="BH145" s="159"/>
      <c r="BI145" s="159"/>
      <c r="BJ145" s="159"/>
      <c r="BK145" s="159"/>
      <c r="BL145" s="159"/>
      <c r="BM145" s="159"/>
      <c r="BN145" s="159"/>
      <c r="BO145" s="159"/>
      <c r="BP145" s="159"/>
      <c r="BQ145" s="159"/>
      <c r="BR145" s="159"/>
      <c r="BS145" s="159"/>
      <c r="BT145" s="159"/>
      <c r="BU145" s="159"/>
      <c r="BV145" s="159"/>
      <c r="BW145" s="159"/>
      <c r="BX145" s="159"/>
      <c r="BY145" s="159"/>
      <c r="BZ145" s="159"/>
      <c r="CA145" s="159"/>
      <c r="CB145" s="159"/>
      <c r="CC145" s="159"/>
      <c r="CD145" s="159"/>
      <c r="CE145" s="159"/>
      <c r="CF145" s="159"/>
      <c r="CG145" s="159"/>
      <c r="CH145" s="159"/>
      <c r="CI145" s="159"/>
      <c r="CJ145" s="159"/>
      <c r="CK145" s="159"/>
      <c r="CL145" s="159"/>
      <c r="CM145" s="159"/>
      <c r="CN145" s="159"/>
      <c r="CO145" s="159"/>
      <c r="CP145" s="159"/>
      <c r="CQ145" s="159"/>
      <c r="CR145" s="159"/>
      <c r="CS145" s="159"/>
      <c r="CT145" s="159"/>
      <c r="CU145" s="159"/>
      <c r="CV145" s="159"/>
      <c r="CW145" s="159"/>
      <c r="CX145" s="159"/>
      <c r="CY145" s="159"/>
      <c r="CZ145" s="159"/>
      <c r="DA145" s="159"/>
      <c r="DB145" s="159"/>
      <c r="DC145" s="159"/>
      <c r="DD145" s="159"/>
      <c r="DE145" s="159"/>
      <c r="DF145" s="159"/>
      <c r="DG145" s="159"/>
      <c r="DH145" s="159"/>
      <c r="DI145" s="159"/>
      <c r="DJ145" s="159"/>
      <c r="DK145" s="159"/>
      <c r="DL145" s="159"/>
      <c r="DM145" s="159"/>
      <c r="DN145" s="159"/>
      <c r="DO145" s="159"/>
      <c r="DP145" s="159"/>
      <c r="DQ145" s="159"/>
      <c r="DR145" s="159"/>
      <c r="DS145" s="159"/>
      <c r="DT145" s="159"/>
      <c r="DU145" s="159"/>
      <c r="DV145" s="159"/>
      <c r="DW145" s="159"/>
      <c r="DX145" s="159"/>
      <c r="DY145" s="159"/>
      <c r="DZ145" s="159"/>
      <c r="EA145" s="159"/>
      <c r="EB145" s="159"/>
      <c r="EC145" s="159"/>
      <c r="ED145" s="159"/>
      <c r="EE145" s="159"/>
      <c r="EF145" s="159"/>
      <c r="EG145" s="159"/>
      <c r="EH145" s="159"/>
      <c r="EI145" s="159"/>
      <c r="EJ145" s="159"/>
      <c r="EK145" s="159"/>
      <c r="EL145" s="159"/>
      <c r="EM145" s="159"/>
      <c r="EN145" s="159"/>
      <c r="EO145" s="159"/>
      <c r="EP145" s="159"/>
      <c r="EQ145" s="159"/>
      <c r="ER145" s="159"/>
      <c r="ES145" s="159"/>
      <c r="ET145" s="159"/>
      <c r="EU145" s="159"/>
      <c r="EV145" s="159"/>
      <c r="EW145" s="159"/>
      <c r="EX145" s="159"/>
      <c r="EY145" s="159"/>
      <c r="EZ145" s="159"/>
      <c r="FA145" s="159"/>
      <c r="FB145" s="159"/>
      <c r="FC145" s="159"/>
      <c r="FD145" s="159"/>
      <c r="FE145" s="159"/>
      <c r="FF145" s="159"/>
      <c r="FG145" s="159"/>
      <c r="FH145" s="159"/>
      <c r="FI145" s="159"/>
      <c r="FJ145" s="159"/>
      <c r="FK145" s="159"/>
      <c r="FL145" s="159"/>
      <c r="FM145" s="159"/>
      <c r="FN145" s="159"/>
      <c r="FO145" s="159"/>
      <c r="FP145" s="159"/>
      <c r="FQ145" s="159"/>
      <c r="FR145" s="159"/>
      <c r="FS145" s="159"/>
      <c r="FT145" s="159"/>
      <c r="FU145" s="159"/>
      <c r="FV145" s="159"/>
      <c r="FW145" s="159"/>
      <c r="FX145" s="159"/>
      <c r="FY145" s="159"/>
      <c r="FZ145" s="159"/>
      <c r="GA145" s="159"/>
      <c r="GB145" s="159"/>
      <c r="GC145" s="159"/>
      <c r="GD145" s="159"/>
      <c r="GE145" s="159"/>
      <c r="GF145" s="159"/>
      <c r="GG145" s="159"/>
      <c r="GH145" s="159"/>
      <c r="GI145" s="159"/>
      <c r="GJ145" s="159"/>
      <c r="GK145" s="159"/>
      <c r="GL145" s="159"/>
      <c r="GM145" s="159"/>
      <c r="GN145" s="159"/>
      <c r="GO145" s="159"/>
      <c r="GP145" s="159"/>
      <c r="GQ145" s="159"/>
      <c r="GR145" s="159"/>
      <c r="GS145" s="159"/>
      <c r="GT145" s="159"/>
      <c r="GU145" s="159"/>
      <c r="GV145" s="159"/>
      <c r="GW145" s="159"/>
      <c r="GX145" s="159"/>
      <c r="GY145" s="159"/>
      <c r="GZ145" s="159"/>
      <c r="HA145" s="159"/>
      <c r="HB145" s="159"/>
      <c r="HC145" s="159"/>
      <c r="HD145" s="159"/>
      <c r="HE145" s="159"/>
      <c r="HF145" s="159"/>
      <c r="HG145" s="159"/>
      <c r="HH145" s="159"/>
      <c r="HI145" s="159"/>
      <c r="HJ145" s="159"/>
      <c r="HK145" s="159"/>
      <c r="HL145" s="159"/>
      <c r="HM145" s="159"/>
      <c r="HN145" s="159"/>
      <c r="HO145" s="159"/>
      <c r="HP145" s="159"/>
      <c r="HQ145" s="159"/>
      <c r="HR145" s="159"/>
      <c r="HS145" s="159"/>
      <c r="HT145" s="159"/>
      <c r="HU145" s="159"/>
      <c r="HV145" s="159"/>
      <c r="HW145" s="159"/>
      <c r="HX145" s="159"/>
      <c r="HY145" s="159"/>
      <c r="HZ145" s="159"/>
      <c r="IA145" s="159"/>
      <c r="IB145" s="159"/>
      <c r="IC145" s="159"/>
      <c r="ID145" s="159"/>
      <c r="IE145" s="159"/>
      <c r="IF145" s="159"/>
      <c r="IG145" s="159"/>
      <c r="IH145" s="159"/>
      <c r="II145" s="159"/>
      <c r="IJ145" s="159"/>
      <c r="IK145" s="159"/>
      <c r="IL145" s="159"/>
      <c r="IM145" s="159"/>
      <c r="IN145" s="159"/>
      <c r="IO145" s="159"/>
      <c r="IP145" s="159"/>
      <c r="IQ145" s="159"/>
      <c r="IR145" s="159"/>
      <c r="IS145" s="159"/>
      <c r="IT145" s="159"/>
      <c r="IU145" s="159"/>
      <c r="IV145" s="159"/>
      <c r="IW145" s="159"/>
      <c r="IX145" s="159"/>
      <c r="IY145" s="159"/>
      <c r="IZ145" s="159"/>
      <c r="JA145" s="159"/>
      <c r="JB145" s="159"/>
      <c r="JC145" s="159"/>
      <c r="JD145" s="159"/>
      <c r="JE145" s="159"/>
      <c r="JF145" s="159"/>
      <c r="JG145" s="159"/>
      <c r="JH145" s="159"/>
      <c r="JI145" s="159"/>
      <c r="JJ145" s="159"/>
      <c r="JK145" s="159"/>
      <c r="JL145" s="159"/>
      <c r="JM145" s="159"/>
      <c r="JN145" s="159"/>
      <c r="JO145" s="159"/>
      <c r="JP145" s="159"/>
      <c r="JQ145" s="159"/>
      <c r="JR145" s="159"/>
      <c r="JS145" s="159"/>
      <c r="JT145" s="159"/>
      <c r="JU145" s="159"/>
      <c r="JV145" s="159"/>
      <c r="JW145" s="159"/>
      <c r="JX145" s="159"/>
      <c r="JY145" s="159"/>
      <c r="JZ145" s="159"/>
      <c r="KA145" s="159"/>
      <c r="KB145" s="159"/>
      <c r="KC145" s="159"/>
      <c r="KD145" s="159"/>
      <c r="KE145" s="159"/>
      <c r="KF145" s="159"/>
      <c r="KG145" s="159"/>
      <c r="KH145" s="159"/>
      <c r="KI145" s="159"/>
      <c r="KJ145" s="159"/>
      <c r="KK145" s="159"/>
      <c r="KL145" s="159"/>
      <c r="KM145" s="159"/>
      <c r="KN145" s="159"/>
      <c r="KO145" s="159"/>
      <c r="KP145" s="159"/>
      <c r="KQ145" s="159"/>
      <c r="KR145" s="159"/>
      <c r="KS145" s="159"/>
      <c r="KT145" s="159"/>
      <c r="KU145" s="159"/>
      <c r="KV145" s="159"/>
      <c r="KW145" s="159"/>
      <c r="KX145" s="159"/>
      <c r="KY145" s="159"/>
      <c r="KZ145" s="159"/>
      <c r="LA145" s="159"/>
      <c r="LB145" s="159"/>
      <c r="LC145" s="159"/>
      <c r="LD145" s="159"/>
      <c r="LE145" s="159"/>
      <c r="LF145" s="159"/>
      <c r="LG145" s="159"/>
      <c r="LH145" s="159"/>
      <c r="LI145" s="159"/>
      <c r="LJ145" s="159"/>
      <c r="LK145" s="159"/>
      <c r="LL145" s="159"/>
      <c r="LM145" s="159"/>
      <c r="LN145" s="159"/>
      <c r="LO145" s="159"/>
      <c r="LP145" s="159"/>
      <c r="LQ145" s="159"/>
      <c r="LR145" s="159"/>
      <c r="LS145" s="159"/>
      <c r="LT145" s="159"/>
      <c r="LU145" s="159"/>
      <c r="LV145" s="159"/>
      <c r="LW145" s="159"/>
      <c r="LX145" s="159"/>
      <c r="LY145" s="159"/>
      <c r="LZ145" s="159"/>
      <c r="MA145" s="159"/>
      <c r="MB145" s="159"/>
      <c r="MC145" s="159"/>
      <c r="MD145" s="159"/>
      <c r="ME145" s="159"/>
      <c r="MF145" s="159"/>
      <c r="MG145" s="159"/>
      <c r="MH145" s="159"/>
      <c r="MI145" s="159"/>
      <c r="MJ145" s="159"/>
      <c r="MK145" s="159"/>
      <c r="ML145" s="159"/>
      <c r="MM145" s="159"/>
      <c r="MN145" s="159"/>
      <c r="MO145" s="159"/>
      <c r="MP145" s="159"/>
      <c r="MQ145" s="159"/>
      <c r="MR145" s="159"/>
      <c r="MS145" s="159"/>
      <c r="MT145" s="159"/>
      <c r="MU145" s="159"/>
      <c r="MV145" s="159"/>
      <c r="MW145" s="159"/>
      <c r="MX145" s="159"/>
      <c r="MY145" s="159"/>
      <c r="MZ145" s="159"/>
      <c r="NA145" s="159"/>
      <c r="NB145" s="159"/>
      <c r="NC145" s="159"/>
      <c r="ND145" s="159"/>
      <c r="NE145" s="159"/>
      <c r="NF145" s="159"/>
      <c r="NG145" s="159"/>
      <c r="NH145" s="159"/>
      <c r="NI145" s="159"/>
      <c r="NJ145" s="159"/>
      <c r="NK145" s="159"/>
      <c r="NL145" s="159"/>
      <c r="NM145" s="159"/>
      <c r="NN145" s="159"/>
      <c r="NO145" s="159"/>
      <c r="NP145" s="159"/>
      <c r="NQ145" s="159"/>
      <c r="NR145" s="159"/>
      <c r="NS145" s="159"/>
      <c r="NT145" s="159"/>
      <c r="NU145" s="159"/>
      <c r="NV145" s="159"/>
      <c r="NW145" s="159"/>
      <c r="NX145" s="159"/>
      <c r="NY145" s="159"/>
      <c r="NZ145" s="159"/>
      <c r="OA145" s="159"/>
      <c r="OB145" s="159"/>
      <c r="OC145" s="159"/>
      <c r="OD145" s="159"/>
      <c r="OE145" s="159"/>
      <c r="OF145" s="159"/>
      <c r="OG145" s="159"/>
      <c r="OH145" s="159"/>
      <c r="OI145" s="159"/>
      <c r="OJ145" s="159"/>
      <c r="OK145" s="159"/>
      <c r="OL145" s="159"/>
      <c r="OM145" s="159"/>
      <c r="ON145" s="159"/>
      <c r="OO145" s="159"/>
      <c r="OP145" s="159"/>
      <c r="OQ145" s="159"/>
      <c r="OR145" s="159"/>
      <c r="OS145" s="159"/>
      <c r="OT145" s="159"/>
      <c r="OU145" s="159"/>
      <c r="OV145" s="159"/>
      <c r="OW145" s="159"/>
      <c r="OX145" s="159"/>
      <c r="OY145" s="159"/>
      <c r="OZ145" s="159"/>
      <c r="PA145" s="159"/>
      <c r="PB145" s="159"/>
      <c r="PC145" s="159"/>
      <c r="PD145" s="159"/>
      <c r="PE145" s="159"/>
      <c r="PF145" s="159"/>
      <c r="PG145" s="159"/>
      <c r="PH145" s="159"/>
      <c r="PI145" s="159"/>
      <c r="PJ145" s="159"/>
      <c r="PK145" s="159"/>
      <c r="PL145" s="159"/>
      <c r="PM145" s="159"/>
      <c r="PN145" s="159"/>
      <c r="PO145" s="159"/>
      <c r="PP145" s="159"/>
      <c r="PQ145" s="159"/>
      <c r="PR145" s="159"/>
      <c r="PS145" s="159"/>
      <c r="PT145" s="159"/>
      <c r="PU145" s="159"/>
      <c r="PV145" s="159"/>
      <c r="PW145" s="159"/>
      <c r="PX145" s="159"/>
      <c r="PY145" s="159"/>
      <c r="PZ145" s="159"/>
      <c r="QA145" s="159"/>
      <c r="QB145" s="159"/>
      <c r="QC145" s="159"/>
      <c r="QD145" s="159"/>
      <c r="QE145" s="159"/>
      <c r="QF145" s="159"/>
      <c r="QG145" s="159"/>
      <c r="QH145" s="159"/>
      <c r="QI145" s="159"/>
      <c r="QJ145" s="159"/>
      <c r="QK145" s="159"/>
      <c r="QL145" s="159"/>
      <c r="QM145" s="159"/>
      <c r="QN145" s="159"/>
      <c r="QO145" s="159"/>
      <c r="QP145" s="159"/>
      <c r="QQ145" s="159"/>
      <c r="QR145" s="159"/>
      <c r="QS145" s="159"/>
      <c r="QT145" s="159"/>
      <c r="QU145" s="159"/>
      <c r="QV145" s="159"/>
      <c r="QW145" s="159"/>
      <c r="QX145" s="159"/>
      <c r="QY145" s="159"/>
      <c r="QZ145" s="159"/>
      <c r="RA145" s="159"/>
      <c r="RB145" s="159"/>
      <c r="RC145" s="159"/>
      <c r="RD145" s="159"/>
      <c r="RE145" s="159"/>
      <c r="RF145" s="159"/>
      <c r="RG145" s="159"/>
      <c r="RH145" s="159"/>
      <c r="RI145" s="159"/>
      <c r="RJ145" s="159"/>
      <c r="RK145" s="159"/>
      <c r="RL145" s="159"/>
      <c r="RM145" s="159"/>
      <c r="RN145" s="159"/>
      <c r="RO145" s="159"/>
      <c r="RP145" s="159"/>
      <c r="RQ145" s="159"/>
      <c r="RR145" s="159"/>
      <c r="RS145" s="159"/>
      <c r="RT145" s="159"/>
      <c r="RU145" s="159"/>
      <c r="RV145" s="159"/>
      <c r="RW145" s="159"/>
      <c r="RX145" s="159"/>
      <c r="RY145" s="159"/>
      <c r="RZ145" s="159"/>
      <c r="SA145" s="159"/>
      <c r="SB145" s="159"/>
      <c r="SC145" s="159"/>
      <c r="SD145" s="159"/>
      <c r="SE145" s="159"/>
      <c r="SF145" s="159"/>
      <c r="SG145" s="159"/>
      <c r="SH145" s="159"/>
      <c r="SI145" s="159"/>
      <c r="SJ145" s="159"/>
      <c r="SK145" s="159"/>
      <c r="SL145" s="159"/>
      <c r="SM145" s="159"/>
      <c r="SN145" s="159"/>
      <c r="SO145" s="159"/>
      <c r="SP145" s="159"/>
      <c r="SQ145" s="159"/>
      <c r="SR145" s="159"/>
      <c r="SS145" s="159"/>
      <c r="ST145" s="159"/>
      <c r="SU145" s="159"/>
      <c r="SV145" s="159"/>
      <c r="SW145" s="159"/>
      <c r="SX145" s="159"/>
      <c r="SY145" s="159"/>
      <c r="SZ145" s="159"/>
      <c r="TA145" s="159"/>
      <c r="TB145" s="159"/>
      <c r="TC145" s="159"/>
      <c r="TD145" s="159"/>
      <c r="TE145" s="159"/>
      <c r="TF145" s="159"/>
      <c r="TG145" s="159"/>
      <c r="TH145" s="159"/>
      <c r="TI145" s="159"/>
      <c r="TJ145" s="159"/>
      <c r="TK145" s="159"/>
      <c r="TL145" s="159"/>
      <c r="TM145" s="159"/>
      <c r="TN145" s="159"/>
      <c r="TO145" s="159"/>
      <c r="TP145" s="159"/>
      <c r="TQ145" s="159"/>
      <c r="TR145" s="159"/>
      <c r="TS145" s="159"/>
      <c r="TT145" s="159"/>
      <c r="TU145" s="159"/>
      <c r="TV145" s="159"/>
      <c r="TW145" s="159"/>
      <c r="TX145" s="159"/>
      <c r="TY145" s="159"/>
      <c r="TZ145" s="159"/>
      <c r="UA145" s="159"/>
      <c r="UB145" s="159"/>
      <c r="UC145" s="159"/>
      <c r="UD145" s="159"/>
      <c r="UE145" s="159"/>
      <c r="UF145" s="159"/>
      <c r="UG145" s="159"/>
      <c r="UH145" s="159"/>
      <c r="UI145" s="159"/>
      <c r="UJ145" s="159"/>
      <c r="UK145" s="159"/>
      <c r="UL145" s="159"/>
      <c r="UM145" s="159"/>
      <c r="UN145" s="159"/>
      <c r="UO145" s="159"/>
      <c r="UP145" s="159"/>
      <c r="UQ145" s="159"/>
      <c r="UR145" s="159"/>
      <c r="US145" s="159"/>
      <c r="UT145" s="159"/>
      <c r="UU145" s="159"/>
      <c r="UV145" s="159"/>
      <c r="UW145" s="159"/>
      <c r="UX145" s="159"/>
      <c r="UY145" s="159"/>
      <c r="UZ145" s="159"/>
      <c r="VA145" s="159"/>
      <c r="VB145" s="159"/>
      <c r="VC145" s="159"/>
      <c r="VD145" s="159"/>
      <c r="VE145" s="159"/>
      <c r="VF145" s="159"/>
      <c r="VG145" s="159"/>
      <c r="VH145" s="159"/>
      <c r="VI145" s="159"/>
      <c r="VJ145" s="159"/>
      <c r="VK145" s="159"/>
      <c r="VL145" s="159"/>
      <c r="VM145" s="159"/>
      <c r="VN145" s="159"/>
      <c r="VO145" s="159"/>
      <c r="VP145" s="159"/>
      <c r="VQ145" s="159"/>
      <c r="VR145" s="159"/>
      <c r="VS145" s="159"/>
      <c r="VT145" s="159"/>
      <c r="VU145" s="159"/>
      <c r="VV145" s="159"/>
      <c r="VW145" s="159"/>
      <c r="VX145" s="159"/>
      <c r="VY145" s="159"/>
      <c r="VZ145" s="159"/>
      <c r="WA145" s="159"/>
      <c r="WB145" s="159"/>
      <c r="WC145" s="159"/>
      <c r="WD145" s="159"/>
      <c r="WE145" s="159"/>
      <c r="WF145" s="159"/>
      <c r="WG145" s="159"/>
      <c r="WH145" s="159"/>
      <c r="WI145" s="159"/>
      <c r="WJ145" s="159"/>
      <c r="WK145" s="159"/>
      <c r="WL145" s="159"/>
      <c r="WM145" s="159"/>
      <c r="WN145" s="159"/>
      <c r="WO145" s="159"/>
      <c r="WP145" s="159"/>
      <c r="WQ145" s="159"/>
      <c r="WR145" s="159"/>
      <c r="WS145" s="159"/>
      <c r="WT145" s="159"/>
      <c r="WU145" s="159"/>
      <c r="WV145" s="159"/>
      <c r="WW145" s="159"/>
      <c r="WX145" s="159"/>
      <c r="WY145" s="159"/>
      <c r="WZ145" s="159"/>
      <c r="XA145" s="159"/>
      <c r="XB145" s="159"/>
      <c r="XC145" s="159"/>
      <c r="XD145" s="159"/>
      <c r="XE145" s="159"/>
      <c r="XF145" s="159"/>
      <c r="XG145" s="159"/>
      <c r="XH145" s="159"/>
      <c r="XI145" s="159"/>
      <c r="XJ145" s="159"/>
      <c r="XK145" s="159"/>
      <c r="XL145" s="159"/>
      <c r="XM145" s="159"/>
      <c r="XN145" s="159"/>
      <c r="XO145" s="159"/>
      <c r="XP145" s="159"/>
      <c r="XQ145" s="159"/>
      <c r="XR145" s="159"/>
      <c r="XS145" s="159"/>
      <c r="XT145" s="159"/>
      <c r="XU145" s="159"/>
      <c r="XV145" s="159"/>
      <c r="XW145" s="159"/>
      <c r="XX145" s="159"/>
      <c r="XY145" s="159"/>
      <c r="XZ145" s="159"/>
      <c r="YA145" s="159"/>
      <c r="YB145" s="159"/>
      <c r="YC145" s="159"/>
      <c r="YD145" s="159"/>
      <c r="YE145" s="159"/>
      <c r="YF145" s="159"/>
      <c r="YG145" s="159"/>
      <c r="YH145" s="159"/>
      <c r="YI145" s="159"/>
      <c r="YJ145" s="159"/>
      <c r="YK145" s="159"/>
      <c r="YL145" s="159"/>
      <c r="YM145" s="159"/>
      <c r="YN145" s="159"/>
      <c r="YO145" s="159"/>
      <c r="YP145" s="159"/>
      <c r="YQ145" s="159"/>
      <c r="YR145" s="159"/>
      <c r="YS145" s="159"/>
      <c r="YT145" s="159"/>
      <c r="YU145" s="159"/>
      <c r="YV145" s="159"/>
      <c r="YW145" s="159"/>
      <c r="YX145" s="159"/>
      <c r="YY145" s="159"/>
      <c r="YZ145" s="159"/>
      <c r="ZA145" s="159"/>
      <c r="ZB145" s="159"/>
      <c r="ZC145" s="159"/>
      <c r="ZD145" s="159"/>
      <c r="ZE145" s="159"/>
      <c r="ZF145" s="159"/>
      <c r="ZG145" s="159"/>
      <c r="ZH145" s="159"/>
      <c r="ZI145" s="159"/>
      <c r="ZJ145" s="159"/>
      <c r="ZK145" s="159"/>
      <c r="ZL145" s="159"/>
      <c r="ZM145" s="159"/>
      <c r="ZN145" s="159"/>
      <c r="ZO145" s="159"/>
      <c r="ZP145" s="159"/>
      <c r="ZQ145" s="159"/>
      <c r="ZR145" s="159"/>
      <c r="ZS145" s="159"/>
      <c r="ZT145" s="159"/>
      <c r="ZU145" s="159"/>
      <c r="ZV145" s="159"/>
      <c r="ZW145" s="159"/>
      <c r="ZX145" s="159"/>
      <c r="ZY145" s="159"/>
      <c r="ZZ145" s="159"/>
      <c r="AAA145" s="159"/>
      <c r="AAB145" s="159"/>
      <c r="AAC145" s="159"/>
      <c r="AAD145" s="159"/>
      <c r="AAE145" s="159"/>
      <c r="AAF145" s="159"/>
      <c r="AAG145" s="159"/>
      <c r="AAH145" s="159"/>
      <c r="AAI145" s="159"/>
      <c r="AAJ145" s="159"/>
      <c r="AAK145" s="159"/>
      <c r="AAL145" s="159"/>
      <c r="AAM145" s="159"/>
      <c r="AAN145" s="159"/>
      <c r="AAO145" s="159"/>
      <c r="AAP145" s="159"/>
      <c r="AAQ145" s="159"/>
      <c r="AAR145" s="159"/>
      <c r="AAS145" s="159"/>
      <c r="AAT145" s="159"/>
      <c r="AAU145" s="159"/>
      <c r="AAV145" s="159"/>
      <c r="AAW145" s="159"/>
      <c r="AAX145" s="159"/>
      <c r="AAY145" s="159"/>
      <c r="AAZ145" s="159"/>
      <c r="ABA145" s="159"/>
      <c r="ABB145" s="159"/>
      <c r="ABC145" s="159"/>
      <c r="ABD145" s="159"/>
      <c r="ABE145" s="159"/>
      <c r="ABF145" s="159"/>
      <c r="ABG145" s="159"/>
      <c r="ABH145" s="159"/>
      <c r="ABI145" s="159"/>
      <c r="ABJ145" s="159"/>
      <c r="ABK145" s="159"/>
      <c r="ABL145" s="159"/>
      <c r="ABM145" s="159"/>
      <c r="ABN145" s="159"/>
      <c r="ABO145" s="159"/>
      <c r="ABP145" s="159"/>
      <c r="ABQ145" s="159"/>
      <c r="ABR145" s="159"/>
      <c r="ABS145" s="159"/>
      <c r="ABT145" s="159"/>
      <c r="ABU145" s="159"/>
      <c r="ABV145" s="159"/>
      <c r="ABW145" s="159"/>
      <c r="ABX145" s="159"/>
      <c r="ABY145" s="159"/>
      <c r="ABZ145" s="159"/>
      <c r="ACA145" s="159"/>
      <c r="ACB145" s="159"/>
      <c r="ACC145" s="159"/>
      <c r="ACD145" s="159"/>
      <c r="ACE145" s="159"/>
      <c r="ACF145" s="159"/>
      <c r="ACG145" s="159"/>
      <c r="ACH145" s="159"/>
      <c r="ACI145" s="159"/>
      <c r="ACJ145" s="159"/>
      <c r="ACK145" s="159"/>
      <c r="ACL145" s="159"/>
      <c r="ACM145" s="159"/>
      <c r="ACN145" s="159"/>
      <c r="ACO145" s="159"/>
      <c r="ACP145" s="159"/>
      <c r="ACQ145" s="159"/>
      <c r="ACR145" s="159"/>
      <c r="ACS145" s="159"/>
      <c r="ACT145" s="159"/>
      <c r="ACU145" s="159"/>
      <c r="ACV145" s="159"/>
      <c r="ACW145" s="159"/>
      <c r="ACX145" s="159"/>
      <c r="ACY145" s="159"/>
      <c r="ACZ145" s="159"/>
      <c r="ADA145" s="159"/>
      <c r="ADB145" s="159"/>
      <c r="ADC145" s="159"/>
      <c r="ADD145" s="159"/>
      <c r="ADE145" s="159"/>
      <c r="ADF145" s="159"/>
      <c r="ADG145" s="159"/>
      <c r="ADH145" s="159"/>
      <c r="ADI145" s="159"/>
      <c r="ADJ145" s="159"/>
      <c r="ADK145" s="159"/>
      <c r="ADL145" s="159"/>
      <c r="ADM145" s="159"/>
      <c r="ADN145" s="159"/>
      <c r="ADO145" s="159"/>
      <c r="ADP145" s="159"/>
      <c r="ADQ145" s="159"/>
      <c r="ADR145" s="159"/>
      <c r="ADS145" s="159"/>
      <c r="ADT145" s="159"/>
      <c r="ADU145" s="159"/>
      <c r="ADV145" s="159"/>
      <c r="ADW145" s="159"/>
      <c r="ADX145" s="159"/>
      <c r="ADY145" s="159"/>
      <c r="ADZ145" s="159"/>
      <c r="AEA145" s="159"/>
      <c r="AEB145" s="159"/>
      <c r="AEC145" s="159"/>
      <c r="AED145" s="159"/>
      <c r="AEE145" s="159"/>
      <c r="AEF145" s="159"/>
      <c r="AEG145" s="159"/>
      <c r="AEH145" s="159"/>
      <c r="AEI145" s="159"/>
      <c r="AEJ145" s="159"/>
      <c r="AEK145" s="159"/>
      <c r="AEL145" s="159"/>
      <c r="AEM145" s="159"/>
      <c r="AEN145" s="159"/>
      <c r="AEO145" s="159"/>
      <c r="AEP145" s="159"/>
      <c r="AEQ145" s="159"/>
      <c r="AER145" s="159"/>
      <c r="AES145" s="159"/>
      <c r="AET145" s="159"/>
      <c r="AEU145" s="159"/>
      <c r="AEV145" s="159"/>
      <c r="AEW145" s="159"/>
      <c r="AEX145" s="159"/>
      <c r="AEY145" s="159"/>
      <c r="AEZ145" s="159"/>
      <c r="AFA145" s="159"/>
      <c r="AFB145" s="159"/>
      <c r="AFC145" s="159"/>
      <c r="AFD145" s="159"/>
      <c r="AFE145" s="159"/>
      <c r="AFF145" s="159"/>
      <c r="AFG145" s="159"/>
      <c r="AFH145" s="159"/>
      <c r="AFI145" s="159"/>
      <c r="AFJ145" s="159"/>
      <c r="AFK145" s="159"/>
      <c r="AFL145" s="159"/>
      <c r="AFM145" s="159"/>
      <c r="AFN145" s="159"/>
      <c r="AFO145" s="159"/>
      <c r="AFP145" s="159"/>
      <c r="AFQ145" s="159"/>
      <c r="AFR145" s="159"/>
      <c r="AFS145" s="159"/>
      <c r="AFT145" s="159"/>
      <c r="AFU145" s="159"/>
      <c r="AFV145" s="159"/>
      <c r="AFW145" s="159"/>
      <c r="AFX145" s="159"/>
      <c r="AFY145" s="159"/>
      <c r="AFZ145" s="159"/>
      <c r="AGA145" s="159"/>
      <c r="AGB145" s="159"/>
      <c r="AGC145" s="159"/>
      <c r="AGD145" s="159"/>
      <c r="AGE145" s="159"/>
      <c r="AGF145" s="159"/>
      <c r="AGG145" s="159"/>
      <c r="AGH145" s="159"/>
      <c r="AGI145" s="159"/>
      <c r="AGJ145" s="159"/>
      <c r="AGK145" s="159"/>
      <c r="AGL145" s="159"/>
      <c r="AGM145" s="159"/>
      <c r="AGN145" s="159"/>
      <c r="AGO145" s="159"/>
      <c r="AGP145" s="159"/>
      <c r="AGQ145" s="159"/>
      <c r="AGR145" s="159"/>
      <c r="AGS145" s="159"/>
      <c r="AGT145" s="159"/>
      <c r="AGU145" s="159"/>
      <c r="AGV145" s="159"/>
      <c r="AGW145" s="159"/>
      <c r="AGX145" s="159"/>
      <c r="AGY145" s="159"/>
      <c r="AGZ145" s="159"/>
      <c r="AHA145" s="159"/>
      <c r="AHB145" s="159"/>
      <c r="AHC145" s="159"/>
      <c r="AHD145" s="159"/>
      <c r="AHE145" s="159"/>
      <c r="AHF145" s="159"/>
      <c r="AHG145" s="159"/>
      <c r="AHH145" s="159"/>
      <c r="AHI145" s="159"/>
      <c r="AHJ145" s="159"/>
      <c r="AHK145" s="159"/>
      <c r="AHL145" s="159"/>
      <c r="AHM145" s="159"/>
      <c r="AHN145" s="159"/>
      <c r="AHO145" s="159"/>
      <c r="AHP145" s="159"/>
      <c r="AHQ145" s="159"/>
      <c r="AHR145" s="159"/>
      <c r="AHS145" s="159"/>
      <c r="AHT145" s="159"/>
      <c r="AHU145" s="159"/>
      <c r="AHV145" s="159"/>
      <c r="AHW145" s="159"/>
      <c r="AHX145" s="159"/>
      <c r="AHY145" s="159"/>
      <c r="AHZ145" s="159"/>
      <c r="AIA145" s="159"/>
      <c r="AIB145" s="159"/>
      <c r="AIC145" s="159"/>
      <c r="AID145" s="159"/>
      <c r="AIE145" s="159"/>
      <c r="AIF145" s="159"/>
      <c r="AIG145" s="159"/>
      <c r="AIH145" s="159"/>
      <c r="AII145" s="159"/>
      <c r="AIJ145" s="159"/>
      <c r="AIK145" s="159"/>
      <c r="AIL145" s="159"/>
      <c r="AIM145" s="159"/>
      <c r="AIN145" s="159"/>
      <c r="AIO145" s="159"/>
      <c r="AIP145" s="159"/>
      <c r="AIQ145" s="159"/>
      <c r="AIR145" s="159"/>
      <c r="AIS145" s="159"/>
      <c r="AIT145" s="159"/>
      <c r="AIU145" s="159"/>
      <c r="AIV145" s="159"/>
      <c r="AIW145" s="159"/>
      <c r="AIX145" s="159"/>
      <c r="AIY145" s="159"/>
      <c r="AIZ145" s="159"/>
      <c r="AJA145" s="159"/>
      <c r="AJB145" s="159"/>
      <c r="AJC145" s="159"/>
      <c r="AJD145" s="159"/>
      <c r="AJE145" s="159"/>
      <c r="AJF145" s="159"/>
      <c r="AJG145" s="159"/>
      <c r="AJH145" s="159"/>
      <c r="AJI145" s="159"/>
      <c r="AJJ145" s="159"/>
      <c r="AJK145" s="159"/>
      <c r="AJL145" s="159"/>
      <c r="AJM145" s="159"/>
      <c r="AJN145" s="159"/>
      <c r="AJO145" s="159"/>
      <c r="AJP145" s="159"/>
      <c r="AJQ145" s="159"/>
      <c r="AJR145" s="159"/>
      <c r="AJS145" s="159"/>
      <c r="AJT145" s="159"/>
      <c r="AJU145" s="159"/>
      <c r="AJV145" s="159"/>
      <c r="AJW145" s="159"/>
      <c r="AJX145" s="159"/>
      <c r="AJY145" s="159"/>
      <c r="AJZ145" s="159"/>
      <c r="AKA145" s="159"/>
      <c r="AKB145" s="159"/>
      <c r="AKC145" s="159"/>
      <c r="AKD145" s="159"/>
      <c r="AKE145" s="159"/>
      <c r="AKF145" s="159"/>
      <c r="AKG145" s="159"/>
      <c r="AKH145" s="159"/>
      <c r="AKI145" s="159"/>
      <c r="AKJ145" s="159"/>
      <c r="AKK145" s="159"/>
      <c r="AKL145" s="159"/>
      <c r="AKM145" s="159"/>
      <c r="AKN145" s="159"/>
      <c r="AKO145" s="159"/>
      <c r="AKP145" s="159"/>
      <c r="AKQ145" s="159"/>
      <c r="AKR145" s="159"/>
      <c r="AKS145" s="159"/>
      <c r="AKT145" s="159"/>
      <c r="AKU145" s="159"/>
      <c r="AKV145" s="159"/>
      <c r="AKW145" s="159"/>
      <c r="AKX145" s="159"/>
      <c r="AKY145" s="159"/>
      <c r="AKZ145" s="159"/>
      <c r="ALA145" s="159"/>
      <c r="ALB145" s="159"/>
      <c r="ALC145" s="159"/>
      <c r="ALD145" s="159"/>
      <c r="ALE145" s="159"/>
      <c r="ALF145" s="159"/>
      <c r="ALG145" s="159"/>
      <c r="ALH145" s="159"/>
      <c r="ALI145" s="159"/>
      <c r="ALJ145" s="159"/>
      <c r="ALK145" s="159"/>
      <c r="ALL145" s="159"/>
      <c r="ALM145" s="159"/>
      <c r="ALN145" s="159"/>
      <c r="ALO145" s="159"/>
      <c r="ALP145" s="159"/>
      <c r="ALQ145" s="159"/>
      <c r="ALR145" s="159"/>
      <c r="ALS145" s="159"/>
      <c r="ALT145" s="159"/>
      <c r="ALU145" s="159"/>
      <c r="ALV145" s="159"/>
      <c r="ALW145" s="159"/>
      <c r="ALX145" s="159"/>
      <c r="ALY145" s="159"/>
      <c r="ALZ145" s="159"/>
      <c r="AMA145" s="159"/>
      <c r="AMB145" s="159"/>
      <c r="AMC145" s="159"/>
      <c r="AMD145" s="159"/>
      <c r="AME145" s="159"/>
      <c r="AMF145" s="159"/>
      <c r="AMG145" s="159"/>
      <c r="AMH145" s="159"/>
      <c r="AMI145" s="159"/>
      <c r="AMJ145" s="159"/>
      <c r="AMK145" s="159"/>
      <c r="AML145" s="159"/>
      <c r="AMM145" s="159"/>
      <c r="AMN145" s="159"/>
      <c r="AMO145" s="159"/>
    </row>
    <row r="146" spans="1:1029" s="161" customFormat="1" ht="32.25" customHeight="1" x14ac:dyDescent="0.25">
      <c r="A146" s="138">
        <v>46225</v>
      </c>
      <c r="B146" s="99" t="s">
        <v>73</v>
      </c>
      <c r="C146" s="99" t="s">
        <v>163</v>
      </c>
      <c r="D146" s="160" t="s">
        <v>13</v>
      </c>
      <c r="E146" s="118" t="str">
        <f>CHOOSE(MATCH(MAX(SUM(L$9:$L145), SUM(P$9:$P145), SUM(T$9:$T145)),CHOOSE({1;2;3}, SUM(L$9:$L145), SUM(P$9:$P145), SUM(T$9:$T145)),0),I146,M146,Q146)</f>
        <v>Nudel mit Käsesoße</v>
      </c>
      <c r="F146" s="149" t="str">
        <f>CHOOSE(MATCH(MAX(SUM(L$9:$L145), SUM(P$9:$P145), SUM(R$9:$T145)),CHOOSE({1;2;3}, SUM(L$9:$L145), SUM(P$9:$P145), SUM(R$9:$T145)),0),J146,N146,R146)</f>
        <v>Currywurst</v>
      </c>
      <c r="G146" s="149" t="str">
        <f>CHOOSE(MATCH(MAX(SUM(L$9:$L145), SUM(P$9:$P145), SUM(T$9:$T145)),CHOOSE({1;2;3}, SUM(L$9:$L145), SUM(P$9:$P145), SUM(T$9:$T145)),0),K146,O146,S146)</f>
        <v>Pommes</v>
      </c>
      <c r="H146" s="141" t="b">
        <f t="shared" si="12"/>
        <v>0</v>
      </c>
      <c r="I146" s="120" t="s">
        <v>101</v>
      </c>
      <c r="J146" s="121" t="s">
        <v>125</v>
      </c>
      <c r="K146" s="121" t="s">
        <v>31</v>
      </c>
      <c r="L146" s="141" t="b">
        <f t="shared" si="13"/>
        <v>0</v>
      </c>
      <c r="M146" s="121" t="s">
        <v>47</v>
      </c>
      <c r="N146" s="121" t="s">
        <v>163</v>
      </c>
      <c r="O146" s="121" t="s">
        <v>16</v>
      </c>
      <c r="P146" s="141">
        <f t="shared" si="14"/>
        <v>0.5</v>
      </c>
      <c r="Q146" s="149" t="str">
        <f>I146</f>
        <v>Nudel mit Käsesoße</v>
      </c>
      <c r="R146" s="99" t="str">
        <f>J146</f>
        <v>Currywurst</v>
      </c>
      <c r="S146" s="99" t="str">
        <f>K146</f>
        <v>Pommes</v>
      </c>
      <c r="T146" s="141" t="b">
        <f t="shared" si="15"/>
        <v>0</v>
      </c>
      <c r="U146" s="159"/>
      <c r="V146" s="159"/>
      <c r="W146" s="159"/>
      <c r="X146" s="159"/>
      <c r="Y146" s="159"/>
      <c r="Z146" s="159"/>
      <c r="AA146" s="159"/>
      <c r="AB146" s="159"/>
      <c r="AC146" s="159"/>
      <c r="AD146" s="159"/>
      <c r="AE146" s="159"/>
      <c r="AF146" s="159"/>
      <c r="AG146" s="159"/>
      <c r="AH146" s="159"/>
      <c r="AI146" s="159"/>
      <c r="AJ146" s="159"/>
      <c r="AK146" s="159"/>
      <c r="AL146" s="159"/>
      <c r="AM146" s="159"/>
      <c r="AN146" s="159"/>
      <c r="AO146" s="159"/>
      <c r="AP146" s="159"/>
      <c r="AQ146" s="159"/>
      <c r="AR146" s="159"/>
      <c r="AS146" s="159"/>
      <c r="AT146" s="159"/>
      <c r="AU146" s="159"/>
      <c r="AV146" s="159"/>
      <c r="AW146" s="159"/>
      <c r="AX146" s="159"/>
      <c r="AY146" s="159"/>
      <c r="AZ146" s="159"/>
      <c r="BA146" s="159"/>
      <c r="BB146" s="159"/>
      <c r="BC146" s="159"/>
      <c r="BD146" s="159"/>
      <c r="BE146" s="159"/>
      <c r="BF146" s="159"/>
      <c r="BG146" s="159"/>
      <c r="BH146" s="159"/>
      <c r="BI146" s="159"/>
      <c r="BJ146" s="159"/>
      <c r="BK146" s="159"/>
      <c r="BL146" s="159"/>
      <c r="BM146" s="159"/>
      <c r="BN146" s="159"/>
      <c r="BO146" s="159"/>
      <c r="BP146" s="159"/>
      <c r="BQ146" s="159"/>
      <c r="BR146" s="159"/>
      <c r="BS146" s="159"/>
      <c r="BT146" s="159"/>
      <c r="BU146" s="159"/>
      <c r="BV146" s="159"/>
      <c r="BW146" s="159"/>
      <c r="BX146" s="159"/>
      <c r="BY146" s="159"/>
      <c r="BZ146" s="159"/>
      <c r="CA146" s="159"/>
      <c r="CB146" s="159"/>
      <c r="CC146" s="159"/>
      <c r="CD146" s="159"/>
      <c r="CE146" s="159"/>
      <c r="CF146" s="159"/>
      <c r="CG146" s="159"/>
      <c r="CH146" s="159"/>
      <c r="CI146" s="159"/>
      <c r="CJ146" s="159"/>
      <c r="CK146" s="159"/>
      <c r="CL146" s="159"/>
      <c r="CM146" s="159"/>
      <c r="CN146" s="159"/>
      <c r="CO146" s="159"/>
      <c r="CP146" s="159"/>
      <c r="CQ146" s="159"/>
      <c r="CR146" s="159"/>
      <c r="CS146" s="159"/>
      <c r="CT146" s="159"/>
      <c r="CU146" s="159"/>
      <c r="CV146" s="159"/>
      <c r="CW146" s="159"/>
      <c r="CX146" s="159"/>
      <c r="CY146" s="159"/>
      <c r="CZ146" s="159"/>
      <c r="DA146" s="159"/>
      <c r="DB146" s="159"/>
      <c r="DC146" s="159"/>
      <c r="DD146" s="159"/>
      <c r="DE146" s="159"/>
      <c r="DF146" s="159"/>
      <c r="DG146" s="159"/>
      <c r="DH146" s="159"/>
      <c r="DI146" s="159"/>
      <c r="DJ146" s="159"/>
      <c r="DK146" s="159"/>
      <c r="DL146" s="159"/>
      <c r="DM146" s="159"/>
      <c r="DN146" s="159"/>
      <c r="DO146" s="159"/>
      <c r="DP146" s="159"/>
      <c r="DQ146" s="159"/>
      <c r="DR146" s="159"/>
      <c r="DS146" s="159"/>
      <c r="DT146" s="159"/>
      <c r="DU146" s="159"/>
      <c r="DV146" s="159"/>
      <c r="DW146" s="159"/>
      <c r="DX146" s="159"/>
      <c r="DY146" s="159"/>
      <c r="DZ146" s="159"/>
      <c r="EA146" s="159"/>
      <c r="EB146" s="159"/>
      <c r="EC146" s="159"/>
      <c r="ED146" s="159"/>
      <c r="EE146" s="159"/>
      <c r="EF146" s="159"/>
      <c r="EG146" s="159"/>
      <c r="EH146" s="159"/>
      <c r="EI146" s="159"/>
      <c r="EJ146" s="159"/>
      <c r="EK146" s="159"/>
      <c r="EL146" s="159"/>
      <c r="EM146" s="159"/>
      <c r="EN146" s="159"/>
      <c r="EO146" s="159"/>
      <c r="EP146" s="159"/>
      <c r="EQ146" s="159"/>
      <c r="ER146" s="159"/>
      <c r="ES146" s="159"/>
      <c r="ET146" s="159"/>
      <c r="EU146" s="159"/>
      <c r="EV146" s="159"/>
      <c r="EW146" s="159"/>
      <c r="EX146" s="159"/>
      <c r="EY146" s="159"/>
      <c r="EZ146" s="159"/>
      <c r="FA146" s="159"/>
      <c r="FB146" s="159"/>
      <c r="FC146" s="159"/>
      <c r="FD146" s="159"/>
      <c r="FE146" s="159"/>
      <c r="FF146" s="159"/>
      <c r="FG146" s="159"/>
      <c r="FH146" s="159"/>
      <c r="FI146" s="159"/>
      <c r="FJ146" s="159"/>
      <c r="FK146" s="159"/>
      <c r="FL146" s="159"/>
      <c r="FM146" s="159"/>
      <c r="FN146" s="159"/>
      <c r="FO146" s="159"/>
      <c r="FP146" s="159"/>
      <c r="FQ146" s="159"/>
      <c r="FR146" s="159"/>
      <c r="FS146" s="159"/>
      <c r="FT146" s="159"/>
      <c r="FU146" s="159"/>
      <c r="FV146" s="159"/>
      <c r="FW146" s="159"/>
      <c r="FX146" s="159"/>
      <c r="FY146" s="159"/>
      <c r="FZ146" s="159"/>
      <c r="GA146" s="159"/>
      <c r="GB146" s="159"/>
      <c r="GC146" s="159"/>
      <c r="GD146" s="159"/>
      <c r="GE146" s="159"/>
      <c r="GF146" s="159"/>
      <c r="GG146" s="159"/>
      <c r="GH146" s="159"/>
      <c r="GI146" s="159"/>
      <c r="GJ146" s="159"/>
      <c r="GK146" s="159"/>
      <c r="GL146" s="159"/>
      <c r="GM146" s="159"/>
      <c r="GN146" s="159"/>
      <c r="GO146" s="159"/>
      <c r="GP146" s="159"/>
      <c r="GQ146" s="159"/>
      <c r="GR146" s="159"/>
      <c r="GS146" s="159"/>
      <c r="GT146" s="159"/>
      <c r="GU146" s="159"/>
      <c r="GV146" s="159"/>
      <c r="GW146" s="159"/>
      <c r="GX146" s="159"/>
      <c r="GY146" s="159"/>
      <c r="GZ146" s="159"/>
      <c r="HA146" s="159"/>
      <c r="HB146" s="159"/>
      <c r="HC146" s="159"/>
      <c r="HD146" s="159"/>
      <c r="HE146" s="159"/>
      <c r="HF146" s="159"/>
      <c r="HG146" s="159"/>
      <c r="HH146" s="159"/>
      <c r="HI146" s="159"/>
      <c r="HJ146" s="159"/>
      <c r="HK146" s="159"/>
      <c r="HL146" s="159"/>
      <c r="HM146" s="159"/>
      <c r="HN146" s="159"/>
      <c r="HO146" s="159"/>
      <c r="HP146" s="159"/>
      <c r="HQ146" s="159"/>
      <c r="HR146" s="159"/>
      <c r="HS146" s="159"/>
      <c r="HT146" s="159"/>
      <c r="HU146" s="159"/>
      <c r="HV146" s="159"/>
      <c r="HW146" s="159"/>
      <c r="HX146" s="159"/>
      <c r="HY146" s="159"/>
      <c r="HZ146" s="159"/>
      <c r="IA146" s="159"/>
      <c r="IB146" s="159"/>
      <c r="IC146" s="159"/>
      <c r="ID146" s="159"/>
      <c r="IE146" s="159"/>
      <c r="IF146" s="159"/>
      <c r="IG146" s="159"/>
      <c r="IH146" s="159"/>
      <c r="II146" s="159"/>
      <c r="IJ146" s="159"/>
      <c r="IK146" s="159"/>
      <c r="IL146" s="159"/>
      <c r="IM146" s="159"/>
      <c r="IN146" s="159"/>
      <c r="IO146" s="159"/>
      <c r="IP146" s="159"/>
      <c r="IQ146" s="159"/>
      <c r="IR146" s="159"/>
      <c r="IS146" s="159"/>
      <c r="IT146" s="159"/>
      <c r="IU146" s="159"/>
      <c r="IV146" s="159"/>
      <c r="IW146" s="159"/>
      <c r="IX146" s="159"/>
      <c r="IY146" s="159"/>
      <c r="IZ146" s="159"/>
      <c r="JA146" s="159"/>
      <c r="JB146" s="159"/>
      <c r="JC146" s="159"/>
      <c r="JD146" s="159"/>
      <c r="JE146" s="159"/>
      <c r="JF146" s="159"/>
      <c r="JG146" s="159"/>
      <c r="JH146" s="159"/>
      <c r="JI146" s="159"/>
      <c r="JJ146" s="159"/>
      <c r="JK146" s="159"/>
      <c r="JL146" s="159"/>
      <c r="JM146" s="159"/>
      <c r="JN146" s="159"/>
      <c r="JO146" s="159"/>
      <c r="JP146" s="159"/>
      <c r="JQ146" s="159"/>
      <c r="JR146" s="159"/>
      <c r="JS146" s="159"/>
      <c r="JT146" s="159"/>
      <c r="JU146" s="159"/>
      <c r="JV146" s="159"/>
      <c r="JW146" s="159"/>
      <c r="JX146" s="159"/>
      <c r="JY146" s="159"/>
      <c r="JZ146" s="159"/>
      <c r="KA146" s="159"/>
      <c r="KB146" s="159"/>
      <c r="KC146" s="159"/>
      <c r="KD146" s="159"/>
      <c r="KE146" s="159"/>
      <c r="KF146" s="159"/>
      <c r="KG146" s="159"/>
      <c r="KH146" s="159"/>
      <c r="KI146" s="159"/>
      <c r="KJ146" s="159"/>
      <c r="KK146" s="159"/>
      <c r="KL146" s="159"/>
      <c r="KM146" s="159"/>
      <c r="KN146" s="159"/>
      <c r="KO146" s="159"/>
      <c r="KP146" s="159"/>
      <c r="KQ146" s="159"/>
      <c r="KR146" s="159"/>
      <c r="KS146" s="159"/>
      <c r="KT146" s="159"/>
      <c r="KU146" s="159"/>
      <c r="KV146" s="159"/>
      <c r="KW146" s="159"/>
      <c r="KX146" s="159"/>
      <c r="KY146" s="159"/>
      <c r="KZ146" s="159"/>
      <c r="LA146" s="159"/>
      <c r="LB146" s="159"/>
      <c r="LC146" s="159"/>
      <c r="LD146" s="159"/>
      <c r="LE146" s="159"/>
      <c r="LF146" s="159"/>
      <c r="LG146" s="159"/>
      <c r="LH146" s="159"/>
      <c r="LI146" s="159"/>
      <c r="LJ146" s="159"/>
      <c r="LK146" s="159"/>
      <c r="LL146" s="159"/>
      <c r="LM146" s="159"/>
      <c r="LN146" s="159"/>
      <c r="LO146" s="159"/>
      <c r="LP146" s="159"/>
      <c r="LQ146" s="159"/>
      <c r="LR146" s="159"/>
      <c r="LS146" s="159"/>
      <c r="LT146" s="159"/>
      <c r="LU146" s="159"/>
      <c r="LV146" s="159"/>
      <c r="LW146" s="159"/>
      <c r="LX146" s="159"/>
      <c r="LY146" s="159"/>
      <c r="LZ146" s="159"/>
      <c r="MA146" s="159"/>
      <c r="MB146" s="159"/>
      <c r="MC146" s="159"/>
      <c r="MD146" s="159"/>
      <c r="ME146" s="159"/>
      <c r="MF146" s="159"/>
      <c r="MG146" s="159"/>
      <c r="MH146" s="159"/>
      <c r="MI146" s="159"/>
      <c r="MJ146" s="159"/>
      <c r="MK146" s="159"/>
      <c r="ML146" s="159"/>
      <c r="MM146" s="159"/>
      <c r="MN146" s="159"/>
      <c r="MO146" s="159"/>
      <c r="MP146" s="159"/>
      <c r="MQ146" s="159"/>
      <c r="MR146" s="159"/>
      <c r="MS146" s="159"/>
      <c r="MT146" s="159"/>
      <c r="MU146" s="159"/>
      <c r="MV146" s="159"/>
      <c r="MW146" s="159"/>
      <c r="MX146" s="159"/>
      <c r="MY146" s="159"/>
      <c r="MZ146" s="159"/>
      <c r="NA146" s="159"/>
      <c r="NB146" s="159"/>
      <c r="NC146" s="159"/>
      <c r="ND146" s="159"/>
      <c r="NE146" s="159"/>
      <c r="NF146" s="159"/>
      <c r="NG146" s="159"/>
      <c r="NH146" s="159"/>
      <c r="NI146" s="159"/>
      <c r="NJ146" s="159"/>
      <c r="NK146" s="159"/>
      <c r="NL146" s="159"/>
      <c r="NM146" s="159"/>
      <c r="NN146" s="159"/>
      <c r="NO146" s="159"/>
      <c r="NP146" s="159"/>
      <c r="NQ146" s="159"/>
      <c r="NR146" s="159"/>
      <c r="NS146" s="159"/>
      <c r="NT146" s="159"/>
      <c r="NU146" s="159"/>
      <c r="NV146" s="159"/>
      <c r="NW146" s="159"/>
      <c r="NX146" s="159"/>
      <c r="NY146" s="159"/>
      <c r="NZ146" s="159"/>
      <c r="OA146" s="159"/>
      <c r="OB146" s="159"/>
      <c r="OC146" s="159"/>
      <c r="OD146" s="159"/>
      <c r="OE146" s="159"/>
      <c r="OF146" s="159"/>
      <c r="OG146" s="159"/>
      <c r="OH146" s="159"/>
      <c r="OI146" s="159"/>
      <c r="OJ146" s="159"/>
      <c r="OK146" s="159"/>
      <c r="OL146" s="159"/>
      <c r="OM146" s="159"/>
      <c r="ON146" s="159"/>
      <c r="OO146" s="159"/>
      <c r="OP146" s="159"/>
      <c r="OQ146" s="159"/>
      <c r="OR146" s="159"/>
      <c r="OS146" s="159"/>
      <c r="OT146" s="159"/>
      <c r="OU146" s="159"/>
      <c r="OV146" s="159"/>
      <c r="OW146" s="159"/>
      <c r="OX146" s="159"/>
      <c r="OY146" s="159"/>
      <c r="OZ146" s="159"/>
      <c r="PA146" s="159"/>
      <c r="PB146" s="159"/>
      <c r="PC146" s="159"/>
      <c r="PD146" s="159"/>
      <c r="PE146" s="159"/>
      <c r="PF146" s="159"/>
      <c r="PG146" s="159"/>
      <c r="PH146" s="159"/>
      <c r="PI146" s="159"/>
      <c r="PJ146" s="159"/>
      <c r="PK146" s="159"/>
      <c r="PL146" s="159"/>
      <c r="PM146" s="159"/>
      <c r="PN146" s="159"/>
      <c r="PO146" s="159"/>
      <c r="PP146" s="159"/>
      <c r="PQ146" s="159"/>
      <c r="PR146" s="159"/>
      <c r="PS146" s="159"/>
      <c r="PT146" s="159"/>
      <c r="PU146" s="159"/>
      <c r="PV146" s="159"/>
      <c r="PW146" s="159"/>
      <c r="PX146" s="159"/>
      <c r="PY146" s="159"/>
      <c r="PZ146" s="159"/>
      <c r="QA146" s="159"/>
      <c r="QB146" s="159"/>
      <c r="QC146" s="159"/>
      <c r="QD146" s="159"/>
      <c r="QE146" s="159"/>
      <c r="QF146" s="159"/>
      <c r="QG146" s="159"/>
      <c r="QH146" s="159"/>
      <c r="QI146" s="159"/>
      <c r="QJ146" s="159"/>
      <c r="QK146" s="159"/>
      <c r="QL146" s="159"/>
      <c r="QM146" s="159"/>
      <c r="QN146" s="159"/>
      <c r="QO146" s="159"/>
      <c r="QP146" s="159"/>
      <c r="QQ146" s="159"/>
      <c r="QR146" s="159"/>
      <c r="QS146" s="159"/>
      <c r="QT146" s="159"/>
      <c r="QU146" s="159"/>
      <c r="QV146" s="159"/>
      <c r="QW146" s="159"/>
      <c r="QX146" s="159"/>
      <c r="QY146" s="159"/>
      <c r="QZ146" s="159"/>
      <c r="RA146" s="159"/>
      <c r="RB146" s="159"/>
      <c r="RC146" s="159"/>
      <c r="RD146" s="159"/>
      <c r="RE146" s="159"/>
      <c r="RF146" s="159"/>
      <c r="RG146" s="159"/>
      <c r="RH146" s="159"/>
      <c r="RI146" s="159"/>
      <c r="RJ146" s="159"/>
      <c r="RK146" s="159"/>
      <c r="RL146" s="159"/>
      <c r="RM146" s="159"/>
      <c r="RN146" s="159"/>
      <c r="RO146" s="159"/>
      <c r="RP146" s="159"/>
      <c r="RQ146" s="159"/>
      <c r="RR146" s="159"/>
      <c r="RS146" s="159"/>
      <c r="RT146" s="159"/>
      <c r="RU146" s="159"/>
      <c r="RV146" s="159"/>
      <c r="RW146" s="159"/>
      <c r="RX146" s="159"/>
      <c r="RY146" s="159"/>
      <c r="RZ146" s="159"/>
      <c r="SA146" s="159"/>
      <c r="SB146" s="159"/>
      <c r="SC146" s="159"/>
      <c r="SD146" s="159"/>
      <c r="SE146" s="159"/>
      <c r="SF146" s="159"/>
      <c r="SG146" s="159"/>
      <c r="SH146" s="159"/>
      <c r="SI146" s="159"/>
      <c r="SJ146" s="159"/>
      <c r="SK146" s="159"/>
      <c r="SL146" s="159"/>
      <c r="SM146" s="159"/>
      <c r="SN146" s="159"/>
      <c r="SO146" s="159"/>
      <c r="SP146" s="159"/>
      <c r="SQ146" s="159"/>
      <c r="SR146" s="159"/>
      <c r="SS146" s="159"/>
      <c r="ST146" s="159"/>
      <c r="SU146" s="159"/>
      <c r="SV146" s="159"/>
      <c r="SW146" s="159"/>
      <c r="SX146" s="159"/>
      <c r="SY146" s="159"/>
      <c r="SZ146" s="159"/>
      <c r="TA146" s="159"/>
      <c r="TB146" s="159"/>
      <c r="TC146" s="159"/>
      <c r="TD146" s="159"/>
      <c r="TE146" s="159"/>
      <c r="TF146" s="159"/>
      <c r="TG146" s="159"/>
      <c r="TH146" s="159"/>
      <c r="TI146" s="159"/>
      <c r="TJ146" s="159"/>
      <c r="TK146" s="159"/>
      <c r="TL146" s="159"/>
      <c r="TM146" s="159"/>
      <c r="TN146" s="159"/>
      <c r="TO146" s="159"/>
      <c r="TP146" s="159"/>
      <c r="TQ146" s="159"/>
      <c r="TR146" s="159"/>
      <c r="TS146" s="159"/>
      <c r="TT146" s="159"/>
      <c r="TU146" s="159"/>
      <c r="TV146" s="159"/>
      <c r="TW146" s="159"/>
      <c r="TX146" s="159"/>
      <c r="TY146" s="159"/>
      <c r="TZ146" s="159"/>
      <c r="UA146" s="159"/>
      <c r="UB146" s="159"/>
      <c r="UC146" s="159"/>
      <c r="UD146" s="159"/>
      <c r="UE146" s="159"/>
      <c r="UF146" s="159"/>
      <c r="UG146" s="159"/>
      <c r="UH146" s="159"/>
      <c r="UI146" s="159"/>
      <c r="UJ146" s="159"/>
      <c r="UK146" s="159"/>
      <c r="UL146" s="159"/>
      <c r="UM146" s="159"/>
      <c r="UN146" s="159"/>
      <c r="UO146" s="159"/>
      <c r="UP146" s="159"/>
      <c r="UQ146" s="159"/>
      <c r="UR146" s="159"/>
      <c r="US146" s="159"/>
      <c r="UT146" s="159"/>
      <c r="UU146" s="159"/>
      <c r="UV146" s="159"/>
      <c r="UW146" s="159"/>
      <c r="UX146" s="159"/>
      <c r="UY146" s="159"/>
      <c r="UZ146" s="159"/>
      <c r="VA146" s="159"/>
      <c r="VB146" s="159"/>
      <c r="VC146" s="159"/>
      <c r="VD146" s="159"/>
      <c r="VE146" s="159"/>
      <c r="VF146" s="159"/>
      <c r="VG146" s="159"/>
      <c r="VH146" s="159"/>
      <c r="VI146" s="159"/>
      <c r="VJ146" s="159"/>
      <c r="VK146" s="159"/>
      <c r="VL146" s="159"/>
      <c r="VM146" s="159"/>
      <c r="VN146" s="159"/>
      <c r="VO146" s="159"/>
      <c r="VP146" s="159"/>
      <c r="VQ146" s="159"/>
      <c r="VR146" s="159"/>
      <c r="VS146" s="159"/>
      <c r="VT146" s="159"/>
      <c r="VU146" s="159"/>
      <c r="VV146" s="159"/>
      <c r="VW146" s="159"/>
      <c r="VX146" s="159"/>
      <c r="VY146" s="159"/>
      <c r="VZ146" s="159"/>
      <c r="WA146" s="159"/>
      <c r="WB146" s="159"/>
      <c r="WC146" s="159"/>
      <c r="WD146" s="159"/>
      <c r="WE146" s="159"/>
      <c r="WF146" s="159"/>
      <c r="WG146" s="159"/>
      <c r="WH146" s="159"/>
      <c r="WI146" s="159"/>
      <c r="WJ146" s="159"/>
      <c r="WK146" s="159"/>
      <c r="WL146" s="159"/>
      <c r="WM146" s="159"/>
      <c r="WN146" s="159"/>
      <c r="WO146" s="159"/>
      <c r="WP146" s="159"/>
      <c r="WQ146" s="159"/>
      <c r="WR146" s="159"/>
      <c r="WS146" s="159"/>
      <c r="WT146" s="159"/>
      <c r="WU146" s="159"/>
      <c r="WV146" s="159"/>
      <c r="WW146" s="159"/>
      <c r="WX146" s="159"/>
      <c r="WY146" s="159"/>
      <c r="WZ146" s="159"/>
      <c r="XA146" s="159"/>
      <c r="XB146" s="159"/>
      <c r="XC146" s="159"/>
      <c r="XD146" s="159"/>
      <c r="XE146" s="159"/>
      <c r="XF146" s="159"/>
      <c r="XG146" s="159"/>
      <c r="XH146" s="159"/>
      <c r="XI146" s="159"/>
      <c r="XJ146" s="159"/>
      <c r="XK146" s="159"/>
      <c r="XL146" s="159"/>
      <c r="XM146" s="159"/>
      <c r="XN146" s="159"/>
      <c r="XO146" s="159"/>
      <c r="XP146" s="159"/>
      <c r="XQ146" s="159"/>
      <c r="XR146" s="159"/>
      <c r="XS146" s="159"/>
      <c r="XT146" s="159"/>
      <c r="XU146" s="159"/>
      <c r="XV146" s="159"/>
      <c r="XW146" s="159"/>
      <c r="XX146" s="159"/>
      <c r="XY146" s="159"/>
      <c r="XZ146" s="159"/>
      <c r="YA146" s="159"/>
      <c r="YB146" s="159"/>
      <c r="YC146" s="159"/>
      <c r="YD146" s="159"/>
      <c r="YE146" s="159"/>
      <c r="YF146" s="159"/>
      <c r="YG146" s="159"/>
      <c r="YH146" s="159"/>
      <c r="YI146" s="159"/>
      <c r="YJ146" s="159"/>
      <c r="YK146" s="159"/>
      <c r="YL146" s="159"/>
      <c r="YM146" s="159"/>
      <c r="YN146" s="159"/>
      <c r="YO146" s="159"/>
      <c r="YP146" s="159"/>
      <c r="YQ146" s="159"/>
      <c r="YR146" s="159"/>
      <c r="YS146" s="159"/>
      <c r="YT146" s="159"/>
      <c r="YU146" s="159"/>
      <c r="YV146" s="159"/>
      <c r="YW146" s="159"/>
      <c r="YX146" s="159"/>
      <c r="YY146" s="159"/>
      <c r="YZ146" s="159"/>
      <c r="ZA146" s="159"/>
      <c r="ZB146" s="159"/>
      <c r="ZC146" s="159"/>
      <c r="ZD146" s="159"/>
      <c r="ZE146" s="159"/>
      <c r="ZF146" s="159"/>
      <c r="ZG146" s="159"/>
      <c r="ZH146" s="159"/>
      <c r="ZI146" s="159"/>
      <c r="ZJ146" s="159"/>
      <c r="ZK146" s="159"/>
      <c r="ZL146" s="159"/>
      <c r="ZM146" s="159"/>
      <c r="ZN146" s="159"/>
      <c r="ZO146" s="159"/>
      <c r="ZP146" s="159"/>
      <c r="ZQ146" s="159"/>
      <c r="ZR146" s="159"/>
      <c r="ZS146" s="159"/>
      <c r="ZT146" s="159"/>
      <c r="ZU146" s="159"/>
      <c r="ZV146" s="159"/>
      <c r="ZW146" s="159"/>
      <c r="ZX146" s="159"/>
      <c r="ZY146" s="159"/>
      <c r="ZZ146" s="159"/>
      <c r="AAA146" s="159"/>
      <c r="AAB146" s="159"/>
      <c r="AAC146" s="159"/>
      <c r="AAD146" s="159"/>
      <c r="AAE146" s="159"/>
      <c r="AAF146" s="159"/>
      <c r="AAG146" s="159"/>
      <c r="AAH146" s="159"/>
      <c r="AAI146" s="159"/>
      <c r="AAJ146" s="159"/>
      <c r="AAK146" s="159"/>
      <c r="AAL146" s="159"/>
      <c r="AAM146" s="159"/>
      <c r="AAN146" s="159"/>
      <c r="AAO146" s="159"/>
      <c r="AAP146" s="159"/>
      <c r="AAQ146" s="159"/>
      <c r="AAR146" s="159"/>
      <c r="AAS146" s="159"/>
      <c r="AAT146" s="159"/>
      <c r="AAU146" s="159"/>
      <c r="AAV146" s="159"/>
      <c r="AAW146" s="159"/>
      <c r="AAX146" s="159"/>
      <c r="AAY146" s="159"/>
      <c r="AAZ146" s="159"/>
      <c r="ABA146" s="159"/>
      <c r="ABB146" s="159"/>
      <c r="ABC146" s="159"/>
      <c r="ABD146" s="159"/>
      <c r="ABE146" s="159"/>
      <c r="ABF146" s="159"/>
      <c r="ABG146" s="159"/>
      <c r="ABH146" s="159"/>
      <c r="ABI146" s="159"/>
      <c r="ABJ146" s="159"/>
      <c r="ABK146" s="159"/>
      <c r="ABL146" s="159"/>
      <c r="ABM146" s="159"/>
      <c r="ABN146" s="159"/>
      <c r="ABO146" s="159"/>
      <c r="ABP146" s="159"/>
      <c r="ABQ146" s="159"/>
      <c r="ABR146" s="159"/>
      <c r="ABS146" s="159"/>
      <c r="ABT146" s="159"/>
      <c r="ABU146" s="159"/>
      <c r="ABV146" s="159"/>
      <c r="ABW146" s="159"/>
      <c r="ABX146" s="159"/>
      <c r="ABY146" s="159"/>
      <c r="ABZ146" s="159"/>
      <c r="ACA146" s="159"/>
      <c r="ACB146" s="159"/>
      <c r="ACC146" s="159"/>
      <c r="ACD146" s="159"/>
      <c r="ACE146" s="159"/>
      <c r="ACF146" s="159"/>
      <c r="ACG146" s="159"/>
      <c r="ACH146" s="159"/>
      <c r="ACI146" s="159"/>
      <c r="ACJ146" s="159"/>
      <c r="ACK146" s="159"/>
      <c r="ACL146" s="159"/>
      <c r="ACM146" s="159"/>
      <c r="ACN146" s="159"/>
      <c r="ACO146" s="159"/>
      <c r="ACP146" s="159"/>
      <c r="ACQ146" s="159"/>
      <c r="ACR146" s="159"/>
      <c r="ACS146" s="159"/>
      <c r="ACT146" s="159"/>
      <c r="ACU146" s="159"/>
      <c r="ACV146" s="159"/>
      <c r="ACW146" s="159"/>
      <c r="ACX146" s="159"/>
      <c r="ACY146" s="159"/>
      <c r="ACZ146" s="159"/>
      <c r="ADA146" s="159"/>
      <c r="ADB146" s="159"/>
      <c r="ADC146" s="159"/>
      <c r="ADD146" s="159"/>
      <c r="ADE146" s="159"/>
      <c r="ADF146" s="159"/>
      <c r="ADG146" s="159"/>
      <c r="ADH146" s="159"/>
      <c r="ADI146" s="159"/>
      <c r="ADJ146" s="159"/>
      <c r="ADK146" s="159"/>
      <c r="ADL146" s="159"/>
      <c r="ADM146" s="159"/>
      <c r="ADN146" s="159"/>
      <c r="ADO146" s="159"/>
      <c r="ADP146" s="159"/>
      <c r="ADQ146" s="159"/>
      <c r="ADR146" s="159"/>
      <c r="ADS146" s="159"/>
      <c r="ADT146" s="159"/>
      <c r="ADU146" s="159"/>
      <c r="ADV146" s="159"/>
      <c r="ADW146" s="159"/>
      <c r="ADX146" s="159"/>
      <c r="ADY146" s="159"/>
      <c r="ADZ146" s="159"/>
      <c r="AEA146" s="159"/>
      <c r="AEB146" s="159"/>
      <c r="AEC146" s="159"/>
      <c r="AED146" s="159"/>
      <c r="AEE146" s="159"/>
      <c r="AEF146" s="159"/>
      <c r="AEG146" s="159"/>
      <c r="AEH146" s="159"/>
      <c r="AEI146" s="159"/>
      <c r="AEJ146" s="159"/>
      <c r="AEK146" s="159"/>
      <c r="AEL146" s="159"/>
      <c r="AEM146" s="159"/>
      <c r="AEN146" s="159"/>
      <c r="AEO146" s="159"/>
      <c r="AEP146" s="159"/>
      <c r="AEQ146" s="159"/>
      <c r="AER146" s="159"/>
      <c r="AES146" s="159"/>
      <c r="AET146" s="159"/>
      <c r="AEU146" s="159"/>
      <c r="AEV146" s="159"/>
      <c r="AEW146" s="159"/>
      <c r="AEX146" s="159"/>
      <c r="AEY146" s="159"/>
      <c r="AEZ146" s="159"/>
      <c r="AFA146" s="159"/>
      <c r="AFB146" s="159"/>
      <c r="AFC146" s="159"/>
      <c r="AFD146" s="159"/>
      <c r="AFE146" s="159"/>
      <c r="AFF146" s="159"/>
      <c r="AFG146" s="159"/>
      <c r="AFH146" s="159"/>
      <c r="AFI146" s="159"/>
      <c r="AFJ146" s="159"/>
      <c r="AFK146" s="159"/>
      <c r="AFL146" s="159"/>
      <c r="AFM146" s="159"/>
      <c r="AFN146" s="159"/>
      <c r="AFO146" s="159"/>
      <c r="AFP146" s="159"/>
      <c r="AFQ146" s="159"/>
      <c r="AFR146" s="159"/>
      <c r="AFS146" s="159"/>
      <c r="AFT146" s="159"/>
      <c r="AFU146" s="159"/>
      <c r="AFV146" s="159"/>
      <c r="AFW146" s="159"/>
      <c r="AFX146" s="159"/>
      <c r="AFY146" s="159"/>
      <c r="AFZ146" s="159"/>
      <c r="AGA146" s="159"/>
      <c r="AGB146" s="159"/>
      <c r="AGC146" s="159"/>
      <c r="AGD146" s="159"/>
      <c r="AGE146" s="159"/>
      <c r="AGF146" s="159"/>
      <c r="AGG146" s="159"/>
      <c r="AGH146" s="159"/>
      <c r="AGI146" s="159"/>
      <c r="AGJ146" s="159"/>
      <c r="AGK146" s="159"/>
      <c r="AGL146" s="159"/>
      <c r="AGM146" s="159"/>
      <c r="AGN146" s="159"/>
      <c r="AGO146" s="159"/>
      <c r="AGP146" s="159"/>
      <c r="AGQ146" s="159"/>
      <c r="AGR146" s="159"/>
      <c r="AGS146" s="159"/>
      <c r="AGT146" s="159"/>
      <c r="AGU146" s="159"/>
      <c r="AGV146" s="159"/>
      <c r="AGW146" s="159"/>
      <c r="AGX146" s="159"/>
      <c r="AGY146" s="159"/>
      <c r="AGZ146" s="159"/>
      <c r="AHA146" s="159"/>
      <c r="AHB146" s="159"/>
      <c r="AHC146" s="159"/>
      <c r="AHD146" s="159"/>
      <c r="AHE146" s="159"/>
      <c r="AHF146" s="159"/>
      <c r="AHG146" s="159"/>
      <c r="AHH146" s="159"/>
      <c r="AHI146" s="159"/>
      <c r="AHJ146" s="159"/>
      <c r="AHK146" s="159"/>
      <c r="AHL146" s="159"/>
      <c r="AHM146" s="159"/>
      <c r="AHN146" s="159"/>
      <c r="AHO146" s="159"/>
      <c r="AHP146" s="159"/>
      <c r="AHQ146" s="159"/>
      <c r="AHR146" s="159"/>
      <c r="AHS146" s="159"/>
      <c r="AHT146" s="159"/>
      <c r="AHU146" s="159"/>
      <c r="AHV146" s="159"/>
      <c r="AHW146" s="159"/>
      <c r="AHX146" s="159"/>
      <c r="AHY146" s="159"/>
      <c r="AHZ146" s="159"/>
      <c r="AIA146" s="159"/>
      <c r="AIB146" s="159"/>
      <c r="AIC146" s="159"/>
      <c r="AID146" s="159"/>
      <c r="AIE146" s="159"/>
      <c r="AIF146" s="159"/>
      <c r="AIG146" s="159"/>
      <c r="AIH146" s="159"/>
      <c r="AII146" s="159"/>
      <c r="AIJ146" s="159"/>
      <c r="AIK146" s="159"/>
      <c r="AIL146" s="159"/>
      <c r="AIM146" s="159"/>
      <c r="AIN146" s="159"/>
      <c r="AIO146" s="159"/>
      <c r="AIP146" s="159"/>
      <c r="AIQ146" s="159"/>
      <c r="AIR146" s="159"/>
      <c r="AIS146" s="159"/>
      <c r="AIT146" s="159"/>
      <c r="AIU146" s="159"/>
      <c r="AIV146" s="159"/>
      <c r="AIW146" s="159"/>
      <c r="AIX146" s="159"/>
      <c r="AIY146" s="159"/>
      <c r="AIZ146" s="159"/>
      <c r="AJA146" s="159"/>
      <c r="AJB146" s="159"/>
      <c r="AJC146" s="159"/>
      <c r="AJD146" s="159"/>
      <c r="AJE146" s="159"/>
      <c r="AJF146" s="159"/>
      <c r="AJG146" s="159"/>
      <c r="AJH146" s="159"/>
      <c r="AJI146" s="159"/>
      <c r="AJJ146" s="159"/>
      <c r="AJK146" s="159"/>
      <c r="AJL146" s="159"/>
      <c r="AJM146" s="159"/>
      <c r="AJN146" s="159"/>
      <c r="AJO146" s="159"/>
      <c r="AJP146" s="159"/>
      <c r="AJQ146" s="159"/>
      <c r="AJR146" s="159"/>
      <c r="AJS146" s="159"/>
      <c r="AJT146" s="159"/>
      <c r="AJU146" s="159"/>
      <c r="AJV146" s="159"/>
      <c r="AJW146" s="159"/>
      <c r="AJX146" s="159"/>
      <c r="AJY146" s="159"/>
      <c r="AJZ146" s="159"/>
      <c r="AKA146" s="159"/>
      <c r="AKB146" s="159"/>
      <c r="AKC146" s="159"/>
      <c r="AKD146" s="159"/>
      <c r="AKE146" s="159"/>
      <c r="AKF146" s="159"/>
      <c r="AKG146" s="159"/>
      <c r="AKH146" s="159"/>
      <c r="AKI146" s="159"/>
      <c r="AKJ146" s="159"/>
      <c r="AKK146" s="159"/>
      <c r="AKL146" s="159"/>
      <c r="AKM146" s="159"/>
      <c r="AKN146" s="159"/>
      <c r="AKO146" s="159"/>
      <c r="AKP146" s="159"/>
      <c r="AKQ146" s="159"/>
      <c r="AKR146" s="159"/>
      <c r="AKS146" s="159"/>
      <c r="AKT146" s="159"/>
      <c r="AKU146" s="159"/>
      <c r="AKV146" s="159"/>
      <c r="AKW146" s="159"/>
      <c r="AKX146" s="159"/>
      <c r="AKY146" s="159"/>
      <c r="AKZ146" s="159"/>
      <c r="ALA146" s="159"/>
      <c r="ALB146" s="159"/>
      <c r="ALC146" s="159"/>
      <c r="ALD146" s="159"/>
      <c r="ALE146" s="159"/>
      <c r="ALF146" s="159"/>
      <c r="ALG146" s="159"/>
      <c r="ALH146" s="159"/>
      <c r="ALI146" s="159"/>
      <c r="ALJ146" s="159"/>
      <c r="ALK146" s="159"/>
      <c r="ALL146" s="159"/>
      <c r="ALM146" s="159"/>
      <c r="ALN146" s="159"/>
      <c r="ALO146" s="159"/>
      <c r="ALP146" s="159"/>
      <c r="ALQ146" s="159"/>
      <c r="ALR146" s="159"/>
      <c r="ALS146" s="159"/>
      <c r="ALT146" s="159"/>
      <c r="ALU146" s="159"/>
      <c r="ALV146" s="159"/>
      <c r="ALW146" s="159"/>
      <c r="ALX146" s="159"/>
      <c r="ALY146" s="159"/>
      <c r="ALZ146" s="159"/>
      <c r="AMA146" s="159"/>
      <c r="AMB146" s="159"/>
      <c r="AMC146" s="159"/>
      <c r="AMD146" s="159"/>
      <c r="AME146" s="159"/>
      <c r="AMF146" s="159"/>
      <c r="AMG146" s="159"/>
      <c r="AMH146" s="159"/>
      <c r="AMI146" s="159"/>
      <c r="AMJ146" s="159"/>
      <c r="AMK146" s="159"/>
      <c r="AML146" s="159"/>
      <c r="AMM146" s="159"/>
      <c r="AMN146" s="159"/>
      <c r="AMO146" s="159"/>
    </row>
    <row r="147" spans="1:1029" s="161" customFormat="1" x14ac:dyDescent="0.25">
      <c r="A147" s="138">
        <v>46226</v>
      </c>
      <c r="B147" s="99" t="s">
        <v>87</v>
      </c>
      <c r="C147" s="99" t="s">
        <v>77</v>
      </c>
      <c r="D147" s="160" t="s">
        <v>52</v>
      </c>
      <c r="E147" s="118" t="str">
        <f>CHOOSE(MATCH(MAX(SUM(L$9:$L146), SUM(P$9:$P146), SUM(T$9:$T146)),CHOOSE({1;2;3}, SUM(L$9:$L146), SUM(P$9:$P146), SUM(T$9:$T146)),0),I147,M147,Q147)</f>
        <v>Pizza</v>
      </c>
      <c r="F147" s="149" t="str">
        <f>CHOOSE(MATCH(MAX(SUM(L$9:$L146), SUM(P$9:$P146), SUM(R$9:$T146)),CHOOSE({1;2;3}, SUM(L$9:$L146), SUM(P$9:$P146), SUM(R$9:$T146)),0),J147,N147,R147)</f>
        <v>Hühnerbrust</v>
      </c>
      <c r="G147" s="149" t="str">
        <f>CHOOSE(MATCH(MAX(SUM(L$9:$L146), SUM(P$9:$P146), SUM(T$9:$T146)),CHOOSE({1;2;3}, SUM(L$9:$L146), SUM(P$9:$P146), SUM(T$9:$T146)),0),K147,O147,S147)</f>
        <v>Kroketten</v>
      </c>
      <c r="H147" s="141">
        <f t="shared" si="12"/>
        <v>1</v>
      </c>
      <c r="I147" s="120" t="s">
        <v>32</v>
      </c>
      <c r="J147" s="121" t="s">
        <v>77</v>
      </c>
      <c r="K147" s="121" t="s">
        <v>52</v>
      </c>
      <c r="L147" s="141">
        <f t="shared" si="13"/>
        <v>1</v>
      </c>
      <c r="M147" s="121" t="s">
        <v>14</v>
      </c>
      <c r="N147" s="121" t="s">
        <v>38</v>
      </c>
      <c r="O147" s="121" t="s">
        <v>52</v>
      </c>
      <c r="P147" s="141">
        <f t="shared" si="14"/>
        <v>0.5</v>
      </c>
      <c r="Q147" s="149" t="s">
        <v>42</v>
      </c>
      <c r="R147" s="99" t="s">
        <v>10</v>
      </c>
      <c r="S147" s="99" t="s">
        <v>11</v>
      </c>
      <c r="T147" s="141" t="b">
        <f t="shared" si="15"/>
        <v>0</v>
      </c>
      <c r="U147" s="159"/>
      <c r="V147" s="159"/>
      <c r="W147" s="159"/>
      <c r="X147" s="159"/>
      <c r="Y147" s="159"/>
      <c r="Z147" s="159"/>
      <c r="AA147" s="159"/>
      <c r="AB147" s="159"/>
      <c r="AC147" s="159"/>
      <c r="AD147" s="159"/>
      <c r="AE147" s="159"/>
      <c r="AF147" s="159"/>
      <c r="AG147" s="159"/>
      <c r="AH147" s="159"/>
      <c r="AI147" s="159"/>
      <c r="AJ147" s="159"/>
      <c r="AK147" s="159"/>
      <c r="AL147" s="159"/>
      <c r="AM147" s="159"/>
      <c r="AN147" s="159"/>
      <c r="AO147" s="159"/>
      <c r="AP147" s="159"/>
      <c r="AQ147" s="159"/>
      <c r="AR147" s="159"/>
      <c r="AS147" s="159"/>
      <c r="AT147" s="159"/>
      <c r="AU147" s="159"/>
      <c r="AV147" s="159"/>
      <c r="AW147" s="159"/>
      <c r="AX147" s="159"/>
      <c r="AY147" s="159"/>
      <c r="AZ147" s="159"/>
      <c r="BA147" s="159"/>
      <c r="BB147" s="159"/>
      <c r="BC147" s="159"/>
      <c r="BD147" s="159"/>
      <c r="BE147" s="159"/>
      <c r="BF147" s="159"/>
      <c r="BG147" s="159"/>
      <c r="BH147" s="159"/>
      <c r="BI147" s="159"/>
      <c r="BJ147" s="159"/>
      <c r="BK147" s="159"/>
      <c r="BL147" s="159"/>
      <c r="BM147" s="159"/>
      <c r="BN147" s="159"/>
      <c r="BO147" s="159"/>
      <c r="BP147" s="159"/>
      <c r="BQ147" s="159"/>
      <c r="BR147" s="159"/>
      <c r="BS147" s="159"/>
      <c r="BT147" s="159"/>
      <c r="BU147" s="159"/>
      <c r="BV147" s="159"/>
      <c r="BW147" s="159"/>
      <c r="BX147" s="159"/>
      <c r="BY147" s="159"/>
      <c r="BZ147" s="159"/>
      <c r="CA147" s="159"/>
      <c r="CB147" s="159"/>
      <c r="CC147" s="159"/>
      <c r="CD147" s="159"/>
      <c r="CE147" s="159"/>
      <c r="CF147" s="159"/>
      <c r="CG147" s="159"/>
      <c r="CH147" s="159"/>
      <c r="CI147" s="159"/>
      <c r="CJ147" s="159"/>
      <c r="CK147" s="159"/>
      <c r="CL147" s="159"/>
      <c r="CM147" s="159"/>
      <c r="CN147" s="159"/>
      <c r="CO147" s="159"/>
      <c r="CP147" s="159"/>
      <c r="CQ147" s="159"/>
      <c r="CR147" s="159"/>
      <c r="CS147" s="159"/>
      <c r="CT147" s="159"/>
      <c r="CU147" s="159"/>
      <c r="CV147" s="159"/>
      <c r="CW147" s="159"/>
      <c r="CX147" s="159"/>
      <c r="CY147" s="159"/>
      <c r="CZ147" s="159"/>
      <c r="DA147" s="159"/>
      <c r="DB147" s="159"/>
      <c r="DC147" s="159"/>
      <c r="DD147" s="159"/>
      <c r="DE147" s="159"/>
      <c r="DF147" s="159"/>
      <c r="DG147" s="159"/>
      <c r="DH147" s="159"/>
      <c r="DI147" s="159"/>
      <c r="DJ147" s="159"/>
      <c r="DK147" s="159"/>
      <c r="DL147" s="159"/>
      <c r="DM147" s="159"/>
      <c r="DN147" s="159"/>
      <c r="DO147" s="159"/>
      <c r="DP147" s="159"/>
      <c r="DQ147" s="159"/>
      <c r="DR147" s="159"/>
      <c r="DS147" s="159"/>
      <c r="DT147" s="159"/>
      <c r="DU147" s="159"/>
      <c r="DV147" s="159"/>
      <c r="DW147" s="159"/>
      <c r="DX147" s="159"/>
      <c r="DY147" s="159"/>
      <c r="DZ147" s="159"/>
      <c r="EA147" s="159"/>
      <c r="EB147" s="159"/>
      <c r="EC147" s="159"/>
      <c r="ED147" s="159"/>
      <c r="EE147" s="159"/>
      <c r="EF147" s="159"/>
      <c r="EG147" s="159"/>
      <c r="EH147" s="159"/>
      <c r="EI147" s="159"/>
      <c r="EJ147" s="159"/>
      <c r="EK147" s="159"/>
      <c r="EL147" s="159"/>
      <c r="EM147" s="159"/>
      <c r="EN147" s="159"/>
      <c r="EO147" s="159"/>
      <c r="EP147" s="159"/>
      <c r="EQ147" s="159"/>
      <c r="ER147" s="159"/>
      <c r="ES147" s="159"/>
      <c r="ET147" s="159"/>
      <c r="EU147" s="159"/>
      <c r="EV147" s="159"/>
      <c r="EW147" s="159"/>
      <c r="EX147" s="159"/>
      <c r="EY147" s="159"/>
      <c r="EZ147" s="159"/>
      <c r="FA147" s="159"/>
      <c r="FB147" s="159"/>
      <c r="FC147" s="159"/>
      <c r="FD147" s="159"/>
      <c r="FE147" s="159"/>
      <c r="FF147" s="159"/>
      <c r="FG147" s="159"/>
      <c r="FH147" s="159"/>
      <c r="FI147" s="159"/>
      <c r="FJ147" s="159"/>
      <c r="FK147" s="159"/>
      <c r="FL147" s="159"/>
      <c r="FM147" s="159"/>
      <c r="FN147" s="159"/>
      <c r="FO147" s="159"/>
      <c r="FP147" s="159"/>
      <c r="FQ147" s="159"/>
      <c r="FR147" s="159"/>
      <c r="FS147" s="159"/>
      <c r="FT147" s="159"/>
      <c r="FU147" s="159"/>
      <c r="FV147" s="159"/>
      <c r="FW147" s="159"/>
      <c r="FX147" s="159"/>
      <c r="FY147" s="159"/>
      <c r="FZ147" s="159"/>
      <c r="GA147" s="159"/>
      <c r="GB147" s="159"/>
      <c r="GC147" s="159"/>
      <c r="GD147" s="159"/>
      <c r="GE147" s="159"/>
      <c r="GF147" s="159"/>
      <c r="GG147" s="159"/>
      <c r="GH147" s="159"/>
      <c r="GI147" s="159"/>
      <c r="GJ147" s="159"/>
      <c r="GK147" s="159"/>
      <c r="GL147" s="159"/>
      <c r="GM147" s="159"/>
      <c r="GN147" s="159"/>
      <c r="GO147" s="159"/>
      <c r="GP147" s="159"/>
      <c r="GQ147" s="159"/>
      <c r="GR147" s="159"/>
      <c r="GS147" s="159"/>
      <c r="GT147" s="159"/>
      <c r="GU147" s="159"/>
      <c r="GV147" s="159"/>
      <c r="GW147" s="159"/>
      <c r="GX147" s="159"/>
      <c r="GY147" s="159"/>
      <c r="GZ147" s="159"/>
      <c r="HA147" s="159"/>
      <c r="HB147" s="159"/>
      <c r="HC147" s="159"/>
      <c r="HD147" s="159"/>
      <c r="HE147" s="159"/>
      <c r="HF147" s="159"/>
      <c r="HG147" s="159"/>
      <c r="HH147" s="159"/>
      <c r="HI147" s="159"/>
      <c r="HJ147" s="159"/>
      <c r="HK147" s="159"/>
      <c r="HL147" s="159"/>
      <c r="HM147" s="159"/>
      <c r="HN147" s="159"/>
      <c r="HO147" s="159"/>
      <c r="HP147" s="159"/>
      <c r="HQ147" s="159"/>
      <c r="HR147" s="159"/>
      <c r="HS147" s="159"/>
      <c r="HT147" s="159"/>
      <c r="HU147" s="159"/>
      <c r="HV147" s="159"/>
      <c r="HW147" s="159"/>
      <c r="HX147" s="159"/>
      <c r="HY147" s="159"/>
      <c r="HZ147" s="159"/>
      <c r="IA147" s="159"/>
      <c r="IB147" s="159"/>
      <c r="IC147" s="159"/>
      <c r="ID147" s="159"/>
      <c r="IE147" s="159"/>
      <c r="IF147" s="159"/>
      <c r="IG147" s="159"/>
      <c r="IH147" s="159"/>
      <c r="II147" s="159"/>
      <c r="IJ147" s="159"/>
      <c r="IK147" s="159"/>
      <c r="IL147" s="159"/>
      <c r="IM147" s="159"/>
      <c r="IN147" s="159"/>
      <c r="IO147" s="159"/>
      <c r="IP147" s="159"/>
      <c r="IQ147" s="159"/>
      <c r="IR147" s="159"/>
      <c r="IS147" s="159"/>
      <c r="IT147" s="159"/>
      <c r="IU147" s="159"/>
      <c r="IV147" s="159"/>
      <c r="IW147" s="159"/>
      <c r="IX147" s="159"/>
      <c r="IY147" s="159"/>
      <c r="IZ147" s="159"/>
      <c r="JA147" s="159"/>
      <c r="JB147" s="159"/>
      <c r="JC147" s="159"/>
      <c r="JD147" s="159"/>
      <c r="JE147" s="159"/>
      <c r="JF147" s="159"/>
      <c r="JG147" s="159"/>
      <c r="JH147" s="159"/>
      <c r="JI147" s="159"/>
      <c r="JJ147" s="159"/>
      <c r="JK147" s="159"/>
      <c r="JL147" s="159"/>
      <c r="JM147" s="159"/>
      <c r="JN147" s="159"/>
      <c r="JO147" s="159"/>
      <c r="JP147" s="159"/>
      <c r="JQ147" s="159"/>
      <c r="JR147" s="159"/>
      <c r="JS147" s="159"/>
      <c r="JT147" s="159"/>
      <c r="JU147" s="159"/>
      <c r="JV147" s="159"/>
      <c r="JW147" s="159"/>
      <c r="JX147" s="159"/>
      <c r="JY147" s="159"/>
      <c r="JZ147" s="159"/>
      <c r="KA147" s="159"/>
      <c r="KB147" s="159"/>
      <c r="KC147" s="159"/>
      <c r="KD147" s="159"/>
      <c r="KE147" s="159"/>
      <c r="KF147" s="159"/>
      <c r="KG147" s="159"/>
      <c r="KH147" s="159"/>
      <c r="KI147" s="159"/>
      <c r="KJ147" s="159"/>
      <c r="KK147" s="159"/>
      <c r="KL147" s="159"/>
      <c r="KM147" s="159"/>
      <c r="KN147" s="159"/>
      <c r="KO147" s="159"/>
      <c r="KP147" s="159"/>
      <c r="KQ147" s="159"/>
      <c r="KR147" s="159"/>
      <c r="KS147" s="159"/>
      <c r="KT147" s="159"/>
      <c r="KU147" s="159"/>
      <c r="KV147" s="159"/>
      <c r="KW147" s="159"/>
      <c r="KX147" s="159"/>
      <c r="KY147" s="159"/>
      <c r="KZ147" s="159"/>
      <c r="LA147" s="159"/>
      <c r="LB147" s="159"/>
      <c r="LC147" s="159"/>
      <c r="LD147" s="159"/>
      <c r="LE147" s="159"/>
      <c r="LF147" s="159"/>
      <c r="LG147" s="159"/>
      <c r="LH147" s="159"/>
      <c r="LI147" s="159"/>
      <c r="LJ147" s="159"/>
      <c r="LK147" s="159"/>
      <c r="LL147" s="159"/>
      <c r="LM147" s="159"/>
      <c r="LN147" s="159"/>
      <c r="LO147" s="159"/>
      <c r="LP147" s="159"/>
      <c r="LQ147" s="159"/>
      <c r="LR147" s="159"/>
      <c r="LS147" s="159"/>
      <c r="LT147" s="159"/>
      <c r="LU147" s="159"/>
      <c r="LV147" s="159"/>
      <c r="LW147" s="159"/>
      <c r="LX147" s="159"/>
      <c r="LY147" s="159"/>
      <c r="LZ147" s="159"/>
      <c r="MA147" s="159"/>
      <c r="MB147" s="159"/>
      <c r="MC147" s="159"/>
      <c r="MD147" s="159"/>
      <c r="ME147" s="159"/>
      <c r="MF147" s="159"/>
      <c r="MG147" s="159"/>
      <c r="MH147" s="159"/>
      <c r="MI147" s="159"/>
      <c r="MJ147" s="159"/>
      <c r="MK147" s="159"/>
      <c r="ML147" s="159"/>
      <c r="MM147" s="159"/>
      <c r="MN147" s="159"/>
      <c r="MO147" s="159"/>
      <c r="MP147" s="159"/>
      <c r="MQ147" s="159"/>
      <c r="MR147" s="159"/>
      <c r="MS147" s="159"/>
      <c r="MT147" s="159"/>
      <c r="MU147" s="159"/>
      <c r="MV147" s="159"/>
      <c r="MW147" s="159"/>
      <c r="MX147" s="159"/>
      <c r="MY147" s="159"/>
      <c r="MZ147" s="159"/>
      <c r="NA147" s="159"/>
      <c r="NB147" s="159"/>
      <c r="NC147" s="159"/>
      <c r="ND147" s="159"/>
      <c r="NE147" s="159"/>
      <c r="NF147" s="159"/>
      <c r="NG147" s="159"/>
      <c r="NH147" s="159"/>
      <c r="NI147" s="159"/>
      <c r="NJ147" s="159"/>
      <c r="NK147" s="159"/>
      <c r="NL147" s="159"/>
      <c r="NM147" s="159"/>
      <c r="NN147" s="159"/>
      <c r="NO147" s="159"/>
      <c r="NP147" s="159"/>
      <c r="NQ147" s="159"/>
      <c r="NR147" s="159"/>
      <c r="NS147" s="159"/>
      <c r="NT147" s="159"/>
      <c r="NU147" s="159"/>
      <c r="NV147" s="159"/>
      <c r="NW147" s="159"/>
      <c r="NX147" s="159"/>
      <c r="NY147" s="159"/>
      <c r="NZ147" s="159"/>
      <c r="OA147" s="159"/>
      <c r="OB147" s="159"/>
      <c r="OC147" s="159"/>
      <c r="OD147" s="159"/>
      <c r="OE147" s="159"/>
      <c r="OF147" s="159"/>
      <c r="OG147" s="159"/>
      <c r="OH147" s="159"/>
      <c r="OI147" s="159"/>
      <c r="OJ147" s="159"/>
      <c r="OK147" s="159"/>
      <c r="OL147" s="159"/>
      <c r="OM147" s="159"/>
      <c r="ON147" s="159"/>
      <c r="OO147" s="159"/>
      <c r="OP147" s="159"/>
      <c r="OQ147" s="159"/>
      <c r="OR147" s="159"/>
      <c r="OS147" s="159"/>
      <c r="OT147" s="159"/>
      <c r="OU147" s="159"/>
      <c r="OV147" s="159"/>
      <c r="OW147" s="159"/>
      <c r="OX147" s="159"/>
      <c r="OY147" s="159"/>
      <c r="OZ147" s="159"/>
      <c r="PA147" s="159"/>
      <c r="PB147" s="159"/>
      <c r="PC147" s="159"/>
      <c r="PD147" s="159"/>
      <c r="PE147" s="159"/>
      <c r="PF147" s="159"/>
      <c r="PG147" s="159"/>
      <c r="PH147" s="159"/>
      <c r="PI147" s="159"/>
      <c r="PJ147" s="159"/>
      <c r="PK147" s="159"/>
      <c r="PL147" s="159"/>
      <c r="PM147" s="159"/>
      <c r="PN147" s="159"/>
      <c r="PO147" s="159"/>
      <c r="PP147" s="159"/>
      <c r="PQ147" s="159"/>
      <c r="PR147" s="159"/>
      <c r="PS147" s="159"/>
      <c r="PT147" s="159"/>
      <c r="PU147" s="159"/>
      <c r="PV147" s="159"/>
      <c r="PW147" s="159"/>
      <c r="PX147" s="159"/>
      <c r="PY147" s="159"/>
      <c r="PZ147" s="159"/>
      <c r="QA147" s="159"/>
      <c r="QB147" s="159"/>
      <c r="QC147" s="159"/>
      <c r="QD147" s="159"/>
      <c r="QE147" s="159"/>
      <c r="QF147" s="159"/>
      <c r="QG147" s="159"/>
      <c r="QH147" s="159"/>
      <c r="QI147" s="159"/>
      <c r="QJ147" s="159"/>
      <c r="QK147" s="159"/>
      <c r="QL147" s="159"/>
      <c r="QM147" s="159"/>
      <c r="QN147" s="159"/>
      <c r="QO147" s="159"/>
      <c r="QP147" s="159"/>
      <c r="QQ147" s="159"/>
      <c r="QR147" s="159"/>
      <c r="QS147" s="159"/>
      <c r="QT147" s="159"/>
      <c r="QU147" s="159"/>
      <c r="QV147" s="159"/>
      <c r="QW147" s="159"/>
      <c r="QX147" s="159"/>
      <c r="QY147" s="159"/>
      <c r="QZ147" s="159"/>
      <c r="RA147" s="159"/>
      <c r="RB147" s="159"/>
      <c r="RC147" s="159"/>
      <c r="RD147" s="159"/>
      <c r="RE147" s="159"/>
      <c r="RF147" s="159"/>
      <c r="RG147" s="159"/>
      <c r="RH147" s="159"/>
      <c r="RI147" s="159"/>
      <c r="RJ147" s="159"/>
      <c r="RK147" s="159"/>
      <c r="RL147" s="159"/>
      <c r="RM147" s="159"/>
      <c r="RN147" s="159"/>
      <c r="RO147" s="159"/>
      <c r="RP147" s="159"/>
      <c r="RQ147" s="159"/>
      <c r="RR147" s="159"/>
      <c r="RS147" s="159"/>
      <c r="RT147" s="159"/>
      <c r="RU147" s="159"/>
      <c r="RV147" s="159"/>
      <c r="RW147" s="159"/>
      <c r="RX147" s="159"/>
      <c r="RY147" s="159"/>
      <c r="RZ147" s="159"/>
      <c r="SA147" s="159"/>
      <c r="SB147" s="159"/>
      <c r="SC147" s="159"/>
      <c r="SD147" s="159"/>
      <c r="SE147" s="159"/>
      <c r="SF147" s="159"/>
      <c r="SG147" s="159"/>
      <c r="SH147" s="159"/>
      <c r="SI147" s="159"/>
      <c r="SJ147" s="159"/>
      <c r="SK147" s="159"/>
      <c r="SL147" s="159"/>
      <c r="SM147" s="159"/>
      <c r="SN147" s="159"/>
      <c r="SO147" s="159"/>
      <c r="SP147" s="159"/>
      <c r="SQ147" s="159"/>
      <c r="SR147" s="159"/>
      <c r="SS147" s="159"/>
      <c r="ST147" s="159"/>
      <c r="SU147" s="159"/>
      <c r="SV147" s="159"/>
      <c r="SW147" s="159"/>
      <c r="SX147" s="159"/>
      <c r="SY147" s="159"/>
      <c r="SZ147" s="159"/>
      <c r="TA147" s="159"/>
      <c r="TB147" s="159"/>
      <c r="TC147" s="159"/>
      <c r="TD147" s="159"/>
      <c r="TE147" s="159"/>
      <c r="TF147" s="159"/>
      <c r="TG147" s="159"/>
      <c r="TH147" s="159"/>
      <c r="TI147" s="159"/>
      <c r="TJ147" s="159"/>
      <c r="TK147" s="159"/>
      <c r="TL147" s="159"/>
      <c r="TM147" s="159"/>
      <c r="TN147" s="159"/>
      <c r="TO147" s="159"/>
      <c r="TP147" s="159"/>
      <c r="TQ147" s="159"/>
      <c r="TR147" s="159"/>
      <c r="TS147" s="159"/>
      <c r="TT147" s="159"/>
      <c r="TU147" s="159"/>
      <c r="TV147" s="159"/>
      <c r="TW147" s="159"/>
      <c r="TX147" s="159"/>
      <c r="TY147" s="159"/>
      <c r="TZ147" s="159"/>
      <c r="UA147" s="159"/>
      <c r="UB147" s="159"/>
      <c r="UC147" s="159"/>
      <c r="UD147" s="159"/>
      <c r="UE147" s="159"/>
      <c r="UF147" s="159"/>
      <c r="UG147" s="159"/>
      <c r="UH147" s="159"/>
      <c r="UI147" s="159"/>
      <c r="UJ147" s="159"/>
      <c r="UK147" s="159"/>
      <c r="UL147" s="159"/>
      <c r="UM147" s="159"/>
      <c r="UN147" s="159"/>
      <c r="UO147" s="159"/>
      <c r="UP147" s="159"/>
      <c r="UQ147" s="159"/>
      <c r="UR147" s="159"/>
      <c r="US147" s="159"/>
      <c r="UT147" s="159"/>
      <c r="UU147" s="159"/>
      <c r="UV147" s="159"/>
      <c r="UW147" s="159"/>
      <c r="UX147" s="159"/>
      <c r="UY147" s="159"/>
      <c r="UZ147" s="159"/>
      <c r="VA147" s="159"/>
      <c r="VB147" s="159"/>
      <c r="VC147" s="159"/>
      <c r="VD147" s="159"/>
      <c r="VE147" s="159"/>
      <c r="VF147" s="159"/>
      <c r="VG147" s="159"/>
      <c r="VH147" s="159"/>
      <c r="VI147" s="159"/>
      <c r="VJ147" s="159"/>
      <c r="VK147" s="159"/>
      <c r="VL147" s="159"/>
      <c r="VM147" s="159"/>
      <c r="VN147" s="159"/>
      <c r="VO147" s="159"/>
      <c r="VP147" s="159"/>
      <c r="VQ147" s="159"/>
      <c r="VR147" s="159"/>
      <c r="VS147" s="159"/>
      <c r="VT147" s="159"/>
      <c r="VU147" s="159"/>
      <c r="VV147" s="159"/>
      <c r="VW147" s="159"/>
      <c r="VX147" s="159"/>
      <c r="VY147" s="159"/>
      <c r="VZ147" s="159"/>
      <c r="WA147" s="159"/>
      <c r="WB147" s="159"/>
      <c r="WC147" s="159"/>
      <c r="WD147" s="159"/>
      <c r="WE147" s="159"/>
      <c r="WF147" s="159"/>
      <c r="WG147" s="159"/>
      <c r="WH147" s="159"/>
      <c r="WI147" s="159"/>
      <c r="WJ147" s="159"/>
      <c r="WK147" s="159"/>
      <c r="WL147" s="159"/>
      <c r="WM147" s="159"/>
      <c r="WN147" s="159"/>
      <c r="WO147" s="159"/>
      <c r="WP147" s="159"/>
      <c r="WQ147" s="159"/>
      <c r="WR147" s="159"/>
      <c r="WS147" s="159"/>
      <c r="WT147" s="159"/>
      <c r="WU147" s="159"/>
      <c r="WV147" s="159"/>
      <c r="WW147" s="159"/>
      <c r="WX147" s="159"/>
      <c r="WY147" s="159"/>
      <c r="WZ147" s="159"/>
      <c r="XA147" s="159"/>
      <c r="XB147" s="159"/>
      <c r="XC147" s="159"/>
      <c r="XD147" s="159"/>
      <c r="XE147" s="159"/>
      <c r="XF147" s="159"/>
      <c r="XG147" s="159"/>
      <c r="XH147" s="159"/>
      <c r="XI147" s="159"/>
      <c r="XJ147" s="159"/>
      <c r="XK147" s="159"/>
      <c r="XL147" s="159"/>
      <c r="XM147" s="159"/>
      <c r="XN147" s="159"/>
      <c r="XO147" s="159"/>
      <c r="XP147" s="159"/>
      <c r="XQ147" s="159"/>
      <c r="XR147" s="159"/>
      <c r="XS147" s="159"/>
      <c r="XT147" s="159"/>
      <c r="XU147" s="159"/>
      <c r="XV147" s="159"/>
      <c r="XW147" s="159"/>
      <c r="XX147" s="159"/>
      <c r="XY147" s="159"/>
      <c r="XZ147" s="159"/>
      <c r="YA147" s="159"/>
      <c r="YB147" s="159"/>
      <c r="YC147" s="159"/>
      <c r="YD147" s="159"/>
      <c r="YE147" s="159"/>
      <c r="YF147" s="159"/>
      <c r="YG147" s="159"/>
      <c r="YH147" s="159"/>
      <c r="YI147" s="159"/>
      <c r="YJ147" s="159"/>
      <c r="YK147" s="159"/>
      <c r="YL147" s="159"/>
      <c r="YM147" s="159"/>
      <c r="YN147" s="159"/>
      <c r="YO147" s="159"/>
      <c r="YP147" s="159"/>
      <c r="YQ147" s="159"/>
      <c r="YR147" s="159"/>
      <c r="YS147" s="159"/>
      <c r="YT147" s="159"/>
      <c r="YU147" s="159"/>
      <c r="YV147" s="159"/>
      <c r="YW147" s="159"/>
      <c r="YX147" s="159"/>
      <c r="YY147" s="159"/>
      <c r="YZ147" s="159"/>
      <c r="ZA147" s="159"/>
      <c r="ZB147" s="159"/>
      <c r="ZC147" s="159"/>
      <c r="ZD147" s="159"/>
      <c r="ZE147" s="159"/>
      <c r="ZF147" s="159"/>
      <c r="ZG147" s="159"/>
      <c r="ZH147" s="159"/>
      <c r="ZI147" s="159"/>
      <c r="ZJ147" s="159"/>
      <c r="ZK147" s="159"/>
      <c r="ZL147" s="159"/>
      <c r="ZM147" s="159"/>
      <c r="ZN147" s="159"/>
      <c r="ZO147" s="159"/>
      <c r="ZP147" s="159"/>
      <c r="ZQ147" s="159"/>
      <c r="ZR147" s="159"/>
      <c r="ZS147" s="159"/>
      <c r="ZT147" s="159"/>
      <c r="ZU147" s="159"/>
      <c r="ZV147" s="159"/>
      <c r="ZW147" s="159"/>
      <c r="ZX147" s="159"/>
      <c r="ZY147" s="159"/>
      <c r="ZZ147" s="159"/>
      <c r="AAA147" s="159"/>
      <c r="AAB147" s="159"/>
      <c r="AAC147" s="159"/>
      <c r="AAD147" s="159"/>
      <c r="AAE147" s="159"/>
      <c r="AAF147" s="159"/>
      <c r="AAG147" s="159"/>
      <c r="AAH147" s="159"/>
      <c r="AAI147" s="159"/>
      <c r="AAJ147" s="159"/>
      <c r="AAK147" s="159"/>
      <c r="AAL147" s="159"/>
      <c r="AAM147" s="159"/>
      <c r="AAN147" s="159"/>
      <c r="AAO147" s="159"/>
      <c r="AAP147" s="159"/>
      <c r="AAQ147" s="159"/>
      <c r="AAR147" s="159"/>
      <c r="AAS147" s="159"/>
      <c r="AAT147" s="159"/>
      <c r="AAU147" s="159"/>
      <c r="AAV147" s="159"/>
      <c r="AAW147" s="159"/>
      <c r="AAX147" s="159"/>
      <c r="AAY147" s="159"/>
      <c r="AAZ147" s="159"/>
      <c r="ABA147" s="159"/>
      <c r="ABB147" s="159"/>
      <c r="ABC147" s="159"/>
      <c r="ABD147" s="159"/>
      <c r="ABE147" s="159"/>
      <c r="ABF147" s="159"/>
      <c r="ABG147" s="159"/>
      <c r="ABH147" s="159"/>
      <c r="ABI147" s="159"/>
      <c r="ABJ147" s="159"/>
      <c r="ABK147" s="159"/>
      <c r="ABL147" s="159"/>
      <c r="ABM147" s="159"/>
      <c r="ABN147" s="159"/>
      <c r="ABO147" s="159"/>
      <c r="ABP147" s="159"/>
      <c r="ABQ147" s="159"/>
      <c r="ABR147" s="159"/>
      <c r="ABS147" s="159"/>
      <c r="ABT147" s="159"/>
      <c r="ABU147" s="159"/>
      <c r="ABV147" s="159"/>
      <c r="ABW147" s="159"/>
      <c r="ABX147" s="159"/>
      <c r="ABY147" s="159"/>
      <c r="ABZ147" s="159"/>
      <c r="ACA147" s="159"/>
      <c r="ACB147" s="159"/>
      <c r="ACC147" s="159"/>
      <c r="ACD147" s="159"/>
      <c r="ACE147" s="159"/>
      <c r="ACF147" s="159"/>
      <c r="ACG147" s="159"/>
      <c r="ACH147" s="159"/>
      <c r="ACI147" s="159"/>
      <c r="ACJ147" s="159"/>
      <c r="ACK147" s="159"/>
      <c r="ACL147" s="159"/>
      <c r="ACM147" s="159"/>
      <c r="ACN147" s="159"/>
      <c r="ACO147" s="159"/>
      <c r="ACP147" s="159"/>
      <c r="ACQ147" s="159"/>
      <c r="ACR147" s="159"/>
      <c r="ACS147" s="159"/>
      <c r="ACT147" s="159"/>
      <c r="ACU147" s="159"/>
      <c r="ACV147" s="159"/>
      <c r="ACW147" s="159"/>
      <c r="ACX147" s="159"/>
      <c r="ACY147" s="159"/>
      <c r="ACZ147" s="159"/>
      <c r="ADA147" s="159"/>
      <c r="ADB147" s="159"/>
      <c r="ADC147" s="159"/>
      <c r="ADD147" s="159"/>
      <c r="ADE147" s="159"/>
      <c r="ADF147" s="159"/>
      <c r="ADG147" s="159"/>
      <c r="ADH147" s="159"/>
      <c r="ADI147" s="159"/>
      <c r="ADJ147" s="159"/>
      <c r="ADK147" s="159"/>
      <c r="ADL147" s="159"/>
      <c r="ADM147" s="159"/>
      <c r="ADN147" s="159"/>
      <c r="ADO147" s="159"/>
      <c r="ADP147" s="159"/>
      <c r="ADQ147" s="159"/>
      <c r="ADR147" s="159"/>
      <c r="ADS147" s="159"/>
      <c r="ADT147" s="159"/>
      <c r="ADU147" s="159"/>
      <c r="ADV147" s="159"/>
      <c r="ADW147" s="159"/>
      <c r="ADX147" s="159"/>
      <c r="ADY147" s="159"/>
      <c r="ADZ147" s="159"/>
      <c r="AEA147" s="159"/>
      <c r="AEB147" s="159"/>
      <c r="AEC147" s="159"/>
      <c r="AED147" s="159"/>
      <c r="AEE147" s="159"/>
      <c r="AEF147" s="159"/>
      <c r="AEG147" s="159"/>
      <c r="AEH147" s="159"/>
      <c r="AEI147" s="159"/>
      <c r="AEJ147" s="159"/>
      <c r="AEK147" s="159"/>
      <c r="AEL147" s="159"/>
      <c r="AEM147" s="159"/>
      <c r="AEN147" s="159"/>
      <c r="AEO147" s="159"/>
      <c r="AEP147" s="159"/>
      <c r="AEQ147" s="159"/>
      <c r="AER147" s="159"/>
      <c r="AES147" s="159"/>
      <c r="AET147" s="159"/>
      <c r="AEU147" s="159"/>
      <c r="AEV147" s="159"/>
      <c r="AEW147" s="159"/>
      <c r="AEX147" s="159"/>
      <c r="AEY147" s="159"/>
      <c r="AEZ147" s="159"/>
      <c r="AFA147" s="159"/>
      <c r="AFB147" s="159"/>
      <c r="AFC147" s="159"/>
      <c r="AFD147" s="159"/>
      <c r="AFE147" s="159"/>
      <c r="AFF147" s="159"/>
      <c r="AFG147" s="159"/>
      <c r="AFH147" s="159"/>
      <c r="AFI147" s="159"/>
      <c r="AFJ147" s="159"/>
      <c r="AFK147" s="159"/>
      <c r="AFL147" s="159"/>
      <c r="AFM147" s="159"/>
      <c r="AFN147" s="159"/>
      <c r="AFO147" s="159"/>
      <c r="AFP147" s="159"/>
      <c r="AFQ147" s="159"/>
      <c r="AFR147" s="159"/>
      <c r="AFS147" s="159"/>
      <c r="AFT147" s="159"/>
      <c r="AFU147" s="159"/>
      <c r="AFV147" s="159"/>
      <c r="AFW147" s="159"/>
      <c r="AFX147" s="159"/>
      <c r="AFY147" s="159"/>
      <c r="AFZ147" s="159"/>
      <c r="AGA147" s="159"/>
      <c r="AGB147" s="159"/>
      <c r="AGC147" s="159"/>
      <c r="AGD147" s="159"/>
      <c r="AGE147" s="159"/>
      <c r="AGF147" s="159"/>
      <c r="AGG147" s="159"/>
      <c r="AGH147" s="159"/>
      <c r="AGI147" s="159"/>
      <c r="AGJ147" s="159"/>
      <c r="AGK147" s="159"/>
      <c r="AGL147" s="159"/>
      <c r="AGM147" s="159"/>
      <c r="AGN147" s="159"/>
      <c r="AGO147" s="159"/>
      <c r="AGP147" s="159"/>
      <c r="AGQ147" s="159"/>
      <c r="AGR147" s="159"/>
      <c r="AGS147" s="159"/>
      <c r="AGT147" s="159"/>
      <c r="AGU147" s="159"/>
      <c r="AGV147" s="159"/>
      <c r="AGW147" s="159"/>
      <c r="AGX147" s="159"/>
      <c r="AGY147" s="159"/>
      <c r="AGZ147" s="159"/>
      <c r="AHA147" s="159"/>
      <c r="AHB147" s="159"/>
      <c r="AHC147" s="159"/>
      <c r="AHD147" s="159"/>
      <c r="AHE147" s="159"/>
      <c r="AHF147" s="159"/>
      <c r="AHG147" s="159"/>
      <c r="AHH147" s="159"/>
      <c r="AHI147" s="159"/>
      <c r="AHJ147" s="159"/>
      <c r="AHK147" s="159"/>
      <c r="AHL147" s="159"/>
      <c r="AHM147" s="159"/>
      <c r="AHN147" s="159"/>
      <c r="AHO147" s="159"/>
      <c r="AHP147" s="159"/>
      <c r="AHQ147" s="159"/>
      <c r="AHR147" s="159"/>
      <c r="AHS147" s="159"/>
      <c r="AHT147" s="159"/>
      <c r="AHU147" s="159"/>
      <c r="AHV147" s="159"/>
      <c r="AHW147" s="159"/>
      <c r="AHX147" s="159"/>
      <c r="AHY147" s="159"/>
      <c r="AHZ147" s="159"/>
      <c r="AIA147" s="159"/>
      <c r="AIB147" s="159"/>
      <c r="AIC147" s="159"/>
      <c r="AID147" s="159"/>
      <c r="AIE147" s="159"/>
      <c r="AIF147" s="159"/>
      <c r="AIG147" s="159"/>
      <c r="AIH147" s="159"/>
      <c r="AII147" s="159"/>
      <c r="AIJ147" s="159"/>
      <c r="AIK147" s="159"/>
      <c r="AIL147" s="159"/>
      <c r="AIM147" s="159"/>
      <c r="AIN147" s="159"/>
      <c r="AIO147" s="159"/>
      <c r="AIP147" s="159"/>
      <c r="AIQ147" s="159"/>
      <c r="AIR147" s="159"/>
      <c r="AIS147" s="159"/>
      <c r="AIT147" s="159"/>
      <c r="AIU147" s="159"/>
      <c r="AIV147" s="159"/>
      <c r="AIW147" s="159"/>
      <c r="AIX147" s="159"/>
      <c r="AIY147" s="159"/>
      <c r="AIZ147" s="159"/>
      <c r="AJA147" s="159"/>
      <c r="AJB147" s="159"/>
      <c r="AJC147" s="159"/>
      <c r="AJD147" s="159"/>
      <c r="AJE147" s="159"/>
      <c r="AJF147" s="159"/>
      <c r="AJG147" s="159"/>
      <c r="AJH147" s="159"/>
      <c r="AJI147" s="159"/>
      <c r="AJJ147" s="159"/>
      <c r="AJK147" s="159"/>
      <c r="AJL147" s="159"/>
      <c r="AJM147" s="159"/>
      <c r="AJN147" s="159"/>
      <c r="AJO147" s="159"/>
      <c r="AJP147" s="159"/>
      <c r="AJQ147" s="159"/>
      <c r="AJR147" s="159"/>
      <c r="AJS147" s="159"/>
      <c r="AJT147" s="159"/>
      <c r="AJU147" s="159"/>
      <c r="AJV147" s="159"/>
      <c r="AJW147" s="159"/>
      <c r="AJX147" s="159"/>
      <c r="AJY147" s="159"/>
      <c r="AJZ147" s="159"/>
      <c r="AKA147" s="159"/>
      <c r="AKB147" s="159"/>
      <c r="AKC147" s="159"/>
      <c r="AKD147" s="159"/>
      <c r="AKE147" s="159"/>
      <c r="AKF147" s="159"/>
      <c r="AKG147" s="159"/>
      <c r="AKH147" s="159"/>
      <c r="AKI147" s="159"/>
      <c r="AKJ147" s="159"/>
      <c r="AKK147" s="159"/>
      <c r="AKL147" s="159"/>
      <c r="AKM147" s="159"/>
      <c r="AKN147" s="159"/>
      <c r="AKO147" s="159"/>
      <c r="AKP147" s="159"/>
      <c r="AKQ147" s="159"/>
      <c r="AKR147" s="159"/>
      <c r="AKS147" s="159"/>
      <c r="AKT147" s="159"/>
      <c r="AKU147" s="159"/>
      <c r="AKV147" s="159"/>
      <c r="AKW147" s="159"/>
      <c r="AKX147" s="159"/>
      <c r="AKY147" s="159"/>
      <c r="AKZ147" s="159"/>
      <c r="ALA147" s="159"/>
      <c r="ALB147" s="159"/>
      <c r="ALC147" s="159"/>
      <c r="ALD147" s="159"/>
      <c r="ALE147" s="159"/>
      <c r="ALF147" s="159"/>
      <c r="ALG147" s="159"/>
      <c r="ALH147" s="159"/>
      <c r="ALI147" s="159"/>
      <c r="ALJ147" s="159"/>
      <c r="ALK147" s="159"/>
      <c r="ALL147" s="159"/>
      <c r="ALM147" s="159"/>
      <c r="ALN147" s="159"/>
      <c r="ALO147" s="159"/>
      <c r="ALP147" s="159"/>
      <c r="ALQ147" s="159"/>
      <c r="ALR147" s="159"/>
      <c r="ALS147" s="159"/>
      <c r="ALT147" s="159"/>
      <c r="ALU147" s="159"/>
      <c r="ALV147" s="159"/>
      <c r="ALW147" s="159"/>
      <c r="ALX147" s="159"/>
      <c r="ALY147" s="159"/>
      <c r="ALZ147" s="159"/>
      <c r="AMA147" s="159"/>
      <c r="AMB147" s="159"/>
      <c r="AMC147" s="159"/>
      <c r="AMD147" s="159"/>
      <c r="AME147" s="159"/>
      <c r="AMF147" s="159"/>
      <c r="AMG147" s="159"/>
      <c r="AMH147" s="159"/>
      <c r="AMI147" s="159"/>
      <c r="AMJ147" s="159"/>
      <c r="AMK147" s="159"/>
      <c r="AML147" s="159"/>
      <c r="AMM147" s="159"/>
      <c r="AMN147" s="159"/>
      <c r="AMO147" s="159"/>
    </row>
    <row r="148" spans="1:1029" s="161" customFormat="1" ht="30.75" customHeight="1" thickBot="1" x14ac:dyDescent="0.3">
      <c r="A148" s="127">
        <v>46227</v>
      </c>
      <c r="B148" s="151" t="s">
        <v>282</v>
      </c>
      <c r="C148" s="151" t="s">
        <v>96</v>
      </c>
      <c r="D148" s="162" t="s">
        <v>27</v>
      </c>
      <c r="E148" s="150" t="s">
        <v>101</v>
      </c>
      <c r="F148" s="152" t="s">
        <v>125</v>
      </c>
      <c r="G148" s="152" t="s">
        <v>31</v>
      </c>
      <c r="H148" s="145" t="b">
        <f t="shared" si="12"/>
        <v>0</v>
      </c>
      <c r="I148" s="130" t="s">
        <v>101</v>
      </c>
      <c r="J148" s="131" t="s">
        <v>125</v>
      </c>
      <c r="K148" s="131" t="s">
        <v>31</v>
      </c>
      <c r="L148" s="145" t="b">
        <f t="shared" si="13"/>
        <v>0</v>
      </c>
      <c r="M148" s="131" t="s">
        <v>105</v>
      </c>
      <c r="N148" s="131" t="s">
        <v>10</v>
      </c>
      <c r="O148" s="131" t="s">
        <v>16</v>
      </c>
      <c r="P148" s="145" t="b">
        <f t="shared" si="14"/>
        <v>0</v>
      </c>
      <c r="Q148" s="152" t="s">
        <v>19</v>
      </c>
      <c r="R148" s="151" t="s">
        <v>151</v>
      </c>
      <c r="S148" s="151" t="s">
        <v>31</v>
      </c>
      <c r="T148" s="145" t="b">
        <f t="shared" si="15"/>
        <v>0</v>
      </c>
      <c r="U148" s="159"/>
      <c r="V148" s="159"/>
      <c r="W148" s="159"/>
      <c r="X148" s="159"/>
      <c r="Y148" s="159"/>
      <c r="Z148" s="159"/>
      <c r="AA148" s="159"/>
      <c r="AB148" s="159"/>
      <c r="AC148" s="159"/>
      <c r="AD148" s="159"/>
      <c r="AE148" s="159"/>
      <c r="AF148" s="159"/>
      <c r="AG148" s="159"/>
      <c r="AH148" s="159"/>
      <c r="AI148" s="159"/>
      <c r="AJ148" s="159"/>
      <c r="AK148" s="159"/>
      <c r="AL148" s="159"/>
      <c r="AM148" s="159"/>
      <c r="AN148" s="159"/>
      <c r="AO148" s="159"/>
      <c r="AP148" s="159"/>
      <c r="AQ148" s="159"/>
      <c r="AR148" s="159"/>
      <c r="AS148" s="159"/>
      <c r="AT148" s="159"/>
      <c r="AU148" s="159"/>
      <c r="AV148" s="159"/>
      <c r="AW148" s="159"/>
      <c r="AX148" s="159"/>
      <c r="AY148" s="159"/>
      <c r="AZ148" s="159"/>
      <c r="BA148" s="159"/>
      <c r="BB148" s="159"/>
      <c r="BC148" s="159"/>
      <c r="BD148" s="159"/>
      <c r="BE148" s="159"/>
      <c r="BF148" s="159"/>
      <c r="BG148" s="159"/>
      <c r="BH148" s="159"/>
      <c r="BI148" s="159"/>
      <c r="BJ148" s="159"/>
      <c r="BK148" s="159"/>
      <c r="BL148" s="159"/>
      <c r="BM148" s="159"/>
      <c r="BN148" s="159"/>
      <c r="BO148" s="159"/>
      <c r="BP148" s="159"/>
      <c r="BQ148" s="159"/>
      <c r="BR148" s="159"/>
      <c r="BS148" s="159"/>
      <c r="BT148" s="159"/>
      <c r="BU148" s="159"/>
      <c r="BV148" s="159"/>
      <c r="BW148" s="159"/>
      <c r="BX148" s="159"/>
      <c r="BY148" s="159"/>
      <c r="BZ148" s="159"/>
      <c r="CA148" s="159"/>
      <c r="CB148" s="159"/>
      <c r="CC148" s="159"/>
      <c r="CD148" s="159"/>
      <c r="CE148" s="159"/>
      <c r="CF148" s="159"/>
      <c r="CG148" s="159"/>
      <c r="CH148" s="159"/>
      <c r="CI148" s="159"/>
      <c r="CJ148" s="159"/>
      <c r="CK148" s="159"/>
      <c r="CL148" s="159"/>
      <c r="CM148" s="159"/>
      <c r="CN148" s="159"/>
      <c r="CO148" s="159"/>
      <c r="CP148" s="159"/>
      <c r="CQ148" s="159"/>
      <c r="CR148" s="159"/>
      <c r="CS148" s="159"/>
      <c r="CT148" s="159"/>
      <c r="CU148" s="159"/>
      <c r="CV148" s="159"/>
      <c r="CW148" s="159"/>
      <c r="CX148" s="159"/>
      <c r="CY148" s="159"/>
      <c r="CZ148" s="159"/>
      <c r="DA148" s="159"/>
      <c r="DB148" s="159"/>
      <c r="DC148" s="159"/>
      <c r="DD148" s="159"/>
      <c r="DE148" s="159"/>
      <c r="DF148" s="159"/>
      <c r="DG148" s="159"/>
      <c r="DH148" s="159"/>
      <c r="DI148" s="159"/>
      <c r="DJ148" s="159"/>
      <c r="DK148" s="159"/>
      <c r="DL148" s="159"/>
      <c r="DM148" s="159"/>
      <c r="DN148" s="159"/>
      <c r="DO148" s="159"/>
      <c r="DP148" s="159"/>
      <c r="DQ148" s="159"/>
      <c r="DR148" s="159"/>
      <c r="DS148" s="159"/>
      <c r="DT148" s="159"/>
      <c r="DU148" s="159"/>
      <c r="DV148" s="159"/>
      <c r="DW148" s="159"/>
      <c r="DX148" s="159"/>
      <c r="DY148" s="159"/>
      <c r="DZ148" s="159"/>
      <c r="EA148" s="159"/>
      <c r="EB148" s="159"/>
      <c r="EC148" s="159"/>
      <c r="ED148" s="159"/>
      <c r="EE148" s="159"/>
      <c r="EF148" s="159"/>
      <c r="EG148" s="159"/>
      <c r="EH148" s="159"/>
      <c r="EI148" s="159"/>
      <c r="EJ148" s="159"/>
      <c r="EK148" s="159"/>
      <c r="EL148" s="159"/>
      <c r="EM148" s="159"/>
      <c r="EN148" s="159"/>
      <c r="EO148" s="159"/>
      <c r="EP148" s="159"/>
      <c r="EQ148" s="159"/>
      <c r="ER148" s="159"/>
      <c r="ES148" s="159"/>
      <c r="ET148" s="159"/>
      <c r="EU148" s="159"/>
      <c r="EV148" s="159"/>
      <c r="EW148" s="159"/>
      <c r="EX148" s="159"/>
      <c r="EY148" s="159"/>
      <c r="EZ148" s="159"/>
      <c r="FA148" s="159"/>
      <c r="FB148" s="159"/>
      <c r="FC148" s="159"/>
      <c r="FD148" s="159"/>
      <c r="FE148" s="159"/>
      <c r="FF148" s="159"/>
      <c r="FG148" s="159"/>
      <c r="FH148" s="159"/>
      <c r="FI148" s="159"/>
      <c r="FJ148" s="159"/>
      <c r="FK148" s="159"/>
      <c r="FL148" s="159"/>
      <c r="FM148" s="159"/>
      <c r="FN148" s="159"/>
      <c r="FO148" s="159"/>
      <c r="FP148" s="159"/>
      <c r="FQ148" s="159"/>
      <c r="FR148" s="159"/>
      <c r="FS148" s="159"/>
      <c r="FT148" s="159"/>
      <c r="FU148" s="159"/>
      <c r="FV148" s="159"/>
      <c r="FW148" s="159"/>
      <c r="FX148" s="159"/>
      <c r="FY148" s="159"/>
      <c r="FZ148" s="159"/>
      <c r="GA148" s="159"/>
      <c r="GB148" s="159"/>
      <c r="GC148" s="159"/>
      <c r="GD148" s="159"/>
      <c r="GE148" s="159"/>
      <c r="GF148" s="159"/>
      <c r="GG148" s="159"/>
      <c r="GH148" s="159"/>
      <c r="GI148" s="159"/>
      <c r="GJ148" s="159"/>
      <c r="GK148" s="159"/>
      <c r="GL148" s="159"/>
      <c r="GM148" s="159"/>
      <c r="GN148" s="159"/>
      <c r="GO148" s="159"/>
      <c r="GP148" s="159"/>
      <c r="GQ148" s="159"/>
      <c r="GR148" s="159"/>
      <c r="GS148" s="159"/>
      <c r="GT148" s="159"/>
      <c r="GU148" s="159"/>
      <c r="GV148" s="159"/>
      <c r="GW148" s="159"/>
      <c r="GX148" s="159"/>
      <c r="GY148" s="159"/>
      <c r="GZ148" s="159"/>
      <c r="HA148" s="159"/>
      <c r="HB148" s="159"/>
      <c r="HC148" s="159"/>
      <c r="HD148" s="159"/>
      <c r="HE148" s="159"/>
      <c r="HF148" s="159"/>
      <c r="HG148" s="159"/>
      <c r="HH148" s="159"/>
      <c r="HI148" s="159"/>
      <c r="HJ148" s="159"/>
      <c r="HK148" s="159"/>
      <c r="HL148" s="159"/>
      <c r="HM148" s="159"/>
      <c r="HN148" s="159"/>
      <c r="HO148" s="159"/>
      <c r="HP148" s="159"/>
      <c r="HQ148" s="159"/>
      <c r="HR148" s="159"/>
      <c r="HS148" s="159"/>
      <c r="HT148" s="159"/>
      <c r="HU148" s="159"/>
      <c r="HV148" s="159"/>
      <c r="HW148" s="159"/>
      <c r="HX148" s="159"/>
      <c r="HY148" s="159"/>
      <c r="HZ148" s="159"/>
      <c r="IA148" s="159"/>
      <c r="IB148" s="159"/>
      <c r="IC148" s="159"/>
      <c r="ID148" s="159"/>
      <c r="IE148" s="159"/>
      <c r="IF148" s="159"/>
      <c r="IG148" s="159"/>
      <c r="IH148" s="159"/>
      <c r="II148" s="159"/>
      <c r="IJ148" s="159"/>
      <c r="IK148" s="159"/>
      <c r="IL148" s="159"/>
      <c r="IM148" s="159"/>
      <c r="IN148" s="159"/>
      <c r="IO148" s="159"/>
      <c r="IP148" s="159"/>
      <c r="IQ148" s="159"/>
      <c r="IR148" s="159"/>
      <c r="IS148" s="159"/>
      <c r="IT148" s="159"/>
      <c r="IU148" s="159"/>
      <c r="IV148" s="159"/>
      <c r="IW148" s="159"/>
      <c r="IX148" s="159"/>
      <c r="IY148" s="159"/>
      <c r="IZ148" s="159"/>
      <c r="JA148" s="159"/>
      <c r="JB148" s="159"/>
      <c r="JC148" s="159"/>
      <c r="JD148" s="159"/>
      <c r="JE148" s="159"/>
      <c r="JF148" s="159"/>
      <c r="JG148" s="159"/>
      <c r="JH148" s="159"/>
      <c r="JI148" s="159"/>
      <c r="JJ148" s="159"/>
      <c r="JK148" s="159"/>
      <c r="JL148" s="159"/>
      <c r="JM148" s="159"/>
      <c r="JN148" s="159"/>
      <c r="JO148" s="159"/>
      <c r="JP148" s="159"/>
      <c r="JQ148" s="159"/>
      <c r="JR148" s="159"/>
      <c r="JS148" s="159"/>
      <c r="JT148" s="159"/>
      <c r="JU148" s="159"/>
      <c r="JV148" s="159"/>
      <c r="JW148" s="159"/>
      <c r="JX148" s="159"/>
      <c r="JY148" s="159"/>
      <c r="JZ148" s="159"/>
      <c r="KA148" s="159"/>
      <c r="KB148" s="159"/>
      <c r="KC148" s="159"/>
      <c r="KD148" s="159"/>
      <c r="KE148" s="159"/>
      <c r="KF148" s="159"/>
      <c r="KG148" s="159"/>
      <c r="KH148" s="159"/>
      <c r="KI148" s="159"/>
      <c r="KJ148" s="159"/>
      <c r="KK148" s="159"/>
      <c r="KL148" s="159"/>
      <c r="KM148" s="159"/>
      <c r="KN148" s="159"/>
      <c r="KO148" s="159"/>
      <c r="KP148" s="159"/>
      <c r="KQ148" s="159"/>
      <c r="KR148" s="159"/>
      <c r="KS148" s="159"/>
      <c r="KT148" s="159"/>
      <c r="KU148" s="159"/>
      <c r="KV148" s="159"/>
      <c r="KW148" s="159"/>
      <c r="KX148" s="159"/>
      <c r="KY148" s="159"/>
      <c r="KZ148" s="159"/>
      <c r="LA148" s="159"/>
      <c r="LB148" s="159"/>
      <c r="LC148" s="159"/>
      <c r="LD148" s="159"/>
      <c r="LE148" s="159"/>
      <c r="LF148" s="159"/>
      <c r="LG148" s="159"/>
      <c r="LH148" s="159"/>
      <c r="LI148" s="159"/>
      <c r="LJ148" s="159"/>
      <c r="LK148" s="159"/>
      <c r="LL148" s="159"/>
      <c r="LM148" s="159"/>
      <c r="LN148" s="159"/>
      <c r="LO148" s="159"/>
      <c r="LP148" s="159"/>
      <c r="LQ148" s="159"/>
      <c r="LR148" s="159"/>
      <c r="LS148" s="159"/>
      <c r="LT148" s="159"/>
      <c r="LU148" s="159"/>
      <c r="LV148" s="159"/>
      <c r="LW148" s="159"/>
      <c r="LX148" s="159"/>
      <c r="LY148" s="159"/>
      <c r="LZ148" s="159"/>
      <c r="MA148" s="159"/>
      <c r="MB148" s="159"/>
      <c r="MC148" s="159"/>
      <c r="MD148" s="159"/>
      <c r="ME148" s="159"/>
      <c r="MF148" s="159"/>
      <c r="MG148" s="159"/>
      <c r="MH148" s="159"/>
      <c r="MI148" s="159"/>
      <c r="MJ148" s="159"/>
      <c r="MK148" s="159"/>
      <c r="ML148" s="159"/>
      <c r="MM148" s="159"/>
      <c r="MN148" s="159"/>
      <c r="MO148" s="159"/>
      <c r="MP148" s="159"/>
      <c r="MQ148" s="159"/>
      <c r="MR148" s="159"/>
      <c r="MS148" s="159"/>
      <c r="MT148" s="159"/>
      <c r="MU148" s="159"/>
      <c r="MV148" s="159"/>
      <c r="MW148" s="159"/>
      <c r="MX148" s="159"/>
      <c r="MY148" s="159"/>
      <c r="MZ148" s="159"/>
      <c r="NA148" s="159"/>
      <c r="NB148" s="159"/>
      <c r="NC148" s="159"/>
      <c r="ND148" s="159"/>
      <c r="NE148" s="159"/>
      <c r="NF148" s="159"/>
      <c r="NG148" s="159"/>
      <c r="NH148" s="159"/>
      <c r="NI148" s="159"/>
      <c r="NJ148" s="159"/>
      <c r="NK148" s="159"/>
      <c r="NL148" s="159"/>
      <c r="NM148" s="159"/>
      <c r="NN148" s="159"/>
      <c r="NO148" s="159"/>
      <c r="NP148" s="159"/>
      <c r="NQ148" s="159"/>
      <c r="NR148" s="159"/>
      <c r="NS148" s="159"/>
      <c r="NT148" s="159"/>
      <c r="NU148" s="159"/>
      <c r="NV148" s="159"/>
      <c r="NW148" s="159"/>
      <c r="NX148" s="159"/>
      <c r="NY148" s="159"/>
      <c r="NZ148" s="159"/>
      <c r="OA148" s="159"/>
      <c r="OB148" s="159"/>
      <c r="OC148" s="159"/>
      <c r="OD148" s="159"/>
      <c r="OE148" s="159"/>
      <c r="OF148" s="159"/>
      <c r="OG148" s="159"/>
      <c r="OH148" s="159"/>
      <c r="OI148" s="159"/>
      <c r="OJ148" s="159"/>
      <c r="OK148" s="159"/>
      <c r="OL148" s="159"/>
      <c r="OM148" s="159"/>
      <c r="ON148" s="159"/>
      <c r="OO148" s="159"/>
      <c r="OP148" s="159"/>
      <c r="OQ148" s="159"/>
      <c r="OR148" s="159"/>
      <c r="OS148" s="159"/>
      <c r="OT148" s="159"/>
      <c r="OU148" s="159"/>
      <c r="OV148" s="159"/>
      <c r="OW148" s="159"/>
      <c r="OX148" s="159"/>
      <c r="OY148" s="159"/>
      <c r="OZ148" s="159"/>
      <c r="PA148" s="159"/>
      <c r="PB148" s="159"/>
      <c r="PC148" s="159"/>
      <c r="PD148" s="159"/>
      <c r="PE148" s="159"/>
      <c r="PF148" s="159"/>
      <c r="PG148" s="159"/>
      <c r="PH148" s="159"/>
      <c r="PI148" s="159"/>
      <c r="PJ148" s="159"/>
      <c r="PK148" s="159"/>
      <c r="PL148" s="159"/>
      <c r="PM148" s="159"/>
      <c r="PN148" s="159"/>
      <c r="PO148" s="159"/>
      <c r="PP148" s="159"/>
      <c r="PQ148" s="159"/>
      <c r="PR148" s="159"/>
      <c r="PS148" s="159"/>
      <c r="PT148" s="159"/>
      <c r="PU148" s="159"/>
      <c r="PV148" s="159"/>
      <c r="PW148" s="159"/>
      <c r="PX148" s="159"/>
      <c r="PY148" s="159"/>
      <c r="PZ148" s="159"/>
      <c r="QA148" s="159"/>
      <c r="QB148" s="159"/>
      <c r="QC148" s="159"/>
      <c r="QD148" s="159"/>
      <c r="QE148" s="159"/>
      <c r="QF148" s="159"/>
      <c r="QG148" s="159"/>
      <c r="QH148" s="159"/>
      <c r="QI148" s="159"/>
      <c r="QJ148" s="159"/>
      <c r="QK148" s="159"/>
      <c r="QL148" s="159"/>
      <c r="QM148" s="159"/>
      <c r="QN148" s="159"/>
      <c r="QO148" s="159"/>
      <c r="QP148" s="159"/>
      <c r="QQ148" s="159"/>
      <c r="QR148" s="159"/>
      <c r="QS148" s="159"/>
      <c r="QT148" s="159"/>
      <c r="QU148" s="159"/>
      <c r="QV148" s="159"/>
      <c r="QW148" s="159"/>
      <c r="QX148" s="159"/>
      <c r="QY148" s="159"/>
      <c r="QZ148" s="159"/>
      <c r="RA148" s="159"/>
      <c r="RB148" s="159"/>
      <c r="RC148" s="159"/>
      <c r="RD148" s="159"/>
      <c r="RE148" s="159"/>
      <c r="RF148" s="159"/>
      <c r="RG148" s="159"/>
      <c r="RH148" s="159"/>
      <c r="RI148" s="159"/>
      <c r="RJ148" s="159"/>
      <c r="RK148" s="159"/>
      <c r="RL148" s="159"/>
      <c r="RM148" s="159"/>
      <c r="RN148" s="159"/>
      <c r="RO148" s="159"/>
      <c r="RP148" s="159"/>
      <c r="RQ148" s="159"/>
      <c r="RR148" s="159"/>
      <c r="RS148" s="159"/>
      <c r="RT148" s="159"/>
      <c r="RU148" s="159"/>
      <c r="RV148" s="159"/>
      <c r="RW148" s="159"/>
      <c r="RX148" s="159"/>
      <c r="RY148" s="159"/>
      <c r="RZ148" s="159"/>
      <c r="SA148" s="159"/>
      <c r="SB148" s="159"/>
      <c r="SC148" s="159"/>
      <c r="SD148" s="159"/>
      <c r="SE148" s="159"/>
      <c r="SF148" s="159"/>
      <c r="SG148" s="159"/>
      <c r="SH148" s="159"/>
      <c r="SI148" s="159"/>
      <c r="SJ148" s="159"/>
      <c r="SK148" s="159"/>
      <c r="SL148" s="159"/>
      <c r="SM148" s="159"/>
      <c r="SN148" s="159"/>
      <c r="SO148" s="159"/>
      <c r="SP148" s="159"/>
      <c r="SQ148" s="159"/>
      <c r="SR148" s="159"/>
      <c r="SS148" s="159"/>
      <c r="ST148" s="159"/>
      <c r="SU148" s="159"/>
      <c r="SV148" s="159"/>
      <c r="SW148" s="159"/>
      <c r="SX148" s="159"/>
      <c r="SY148" s="159"/>
      <c r="SZ148" s="159"/>
      <c r="TA148" s="159"/>
      <c r="TB148" s="159"/>
      <c r="TC148" s="159"/>
      <c r="TD148" s="159"/>
      <c r="TE148" s="159"/>
      <c r="TF148" s="159"/>
      <c r="TG148" s="159"/>
      <c r="TH148" s="159"/>
      <c r="TI148" s="159"/>
      <c r="TJ148" s="159"/>
      <c r="TK148" s="159"/>
      <c r="TL148" s="159"/>
      <c r="TM148" s="159"/>
      <c r="TN148" s="159"/>
      <c r="TO148" s="159"/>
      <c r="TP148" s="159"/>
      <c r="TQ148" s="159"/>
      <c r="TR148" s="159"/>
      <c r="TS148" s="159"/>
      <c r="TT148" s="159"/>
      <c r="TU148" s="159"/>
      <c r="TV148" s="159"/>
      <c r="TW148" s="159"/>
      <c r="TX148" s="159"/>
      <c r="TY148" s="159"/>
      <c r="TZ148" s="159"/>
      <c r="UA148" s="159"/>
      <c r="UB148" s="159"/>
      <c r="UC148" s="159"/>
      <c r="UD148" s="159"/>
      <c r="UE148" s="159"/>
      <c r="UF148" s="159"/>
      <c r="UG148" s="159"/>
      <c r="UH148" s="159"/>
      <c r="UI148" s="159"/>
      <c r="UJ148" s="159"/>
      <c r="UK148" s="159"/>
      <c r="UL148" s="159"/>
      <c r="UM148" s="159"/>
      <c r="UN148" s="159"/>
      <c r="UO148" s="159"/>
      <c r="UP148" s="159"/>
      <c r="UQ148" s="159"/>
      <c r="UR148" s="159"/>
      <c r="US148" s="159"/>
      <c r="UT148" s="159"/>
      <c r="UU148" s="159"/>
      <c r="UV148" s="159"/>
      <c r="UW148" s="159"/>
      <c r="UX148" s="159"/>
      <c r="UY148" s="159"/>
      <c r="UZ148" s="159"/>
      <c r="VA148" s="159"/>
      <c r="VB148" s="159"/>
      <c r="VC148" s="159"/>
      <c r="VD148" s="159"/>
      <c r="VE148" s="159"/>
      <c r="VF148" s="159"/>
      <c r="VG148" s="159"/>
      <c r="VH148" s="159"/>
      <c r="VI148" s="159"/>
      <c r="VJ148" s="159"/>
      <c r="VK148" s="159"/>
      <c r="VL148" s="159"/>
      <c r="VM148" s="159"/>
      <c r="VN148" s="159"/>
      <c r="VO148" s="159"/>
      <c r="VP148" s="159"/>
      <c r="VQ148" s="159"/>
      <c r="VR148" s="159"/>
      <c r="VS148" s="159"/>
      <c r="VT148" s="159"/>
      <c r="VU148" s="159"/>
      <c r="VV148" s="159"/>
      <c r="VW148" s="159"/>
      <c r="VX148" s="159"/>
      <c r="VY148" s="159"/>
      <c r="VZ148" s="159"/>
      <c r="WA148" s="159"/>
      <c r="WB148" s="159"/>
      <c r="WC148" s="159"/>
      <c r="WD148" s="159"/>
      <c r="WE148" s="159"/>
      <c r="WF148" s="159"/>
      <c r="WG148" s="159"/>
      <c r="WH148" s="159"/>
      <c r="WI148" s="159"/>
      <c r="WJ148" s="159"/>
      <c r="WK148" s="159"/>
      <c r="WL148" s="159"/>
      <c r="WM148" s="159"/>
      <c r="WN148" s="159"/>
      <c r="WO148" s="159"/>
      <c r="WP148" s="159"/>
      <c r="WQ148" s="159"/>
      <c r="WR148" s="159"/>
      <c r="WS148" s="159"/>
      <c r="WT148" s="159"/>
      <c r="WU148" s="159"/>
      <c r="WV148" s="159"/>
      <c r="WW148" s="159"/>
      <c r="WX148" s="159"/>
      <c r="WY148" s="159"/>
      <c r="WZ148" s="159"/>
      <c r="XA148" s="159"/>
      <c r="XB148" s="159"/>
      <c r="XC148" s="159"/>
      <c r="XD148" s="159"/>
      <c r="XE148" s="159"/>
      <c r="XF148" s="159"/>
      <c r="XG148" s="159"/>
      <c r="XH148" s="159"/>
      <c r="XI148" s="159"/>
      <c r="XJ148" s="159"/>
      <c r="XK148" s="159"/>
      <c r="XL148" s="159"/>
      <c r="XM148" s="159"/>
      <c r="XN148" s="159"/>
      <c r="XO148" s="159"/>
      <c r="XP148" s="159"/>
      <c r="XQ148" s="159"/>
      <c r="XR148" s="159"/>
      <c r="XS148" s="159"/>
      <c r="XT148" s="159"/>
      <c r="XU148" s="159"/>
      <c r="XV148" s="159"/>
      <c r="XW148" s="159"/>
      <c r="XX148" s="159"/>
      <c r="XY148" s="159"/>
      <c r="XZ148" s="159"/>
      <c r="YA148" s="159"/>
      <c r="YB148" s="159"/>
      <c r="YC148" s="159"/>
      <c r="YD148" s="159"/>
      <c r="YE148" s="159"/>
      <c r="YF148" s="159"/>
      <c r="YG148" s="159"/>
      <c r="YH148" s="159"/>
      <c r="YI148" s="159"/>
      <c r="YJ148" s="159"/>
      <c r="YK148" s="159"/>
      <c r="YL148" s="159"/>
      <c r="YM148" s="159"/>
      <c r="YN148" s="159"/>
      <c r="YO148" s="159"/>
      <c r="YP148" s="159"/>
      <c r="YQ148" s="159"/>
      <c r="YR148" s="159"/>
      <c r="YS148" s="159"/>
      <c r="YT148" s="159"/>
      <c r="YU148" s="159"/>
      <c r="YV148" s="159"/>
      <c r="YW148" s="159"/>
      <c r="YX148" s="159"/>
      <c r="YY148" s="159"/>
      <c r="YZ148" s="159"/>
      <c r="ZA148" s="159"/>
      <c r="ZB148" s="159"/>
      <c r="ZC148" s="159"/>
      <c r="ZD148" s="159"/>
      <c r="ZE148" s="159"/>
      <c r="ZF148" s="159"/>
      <c r="ZG148" s="159"/>
      <c r="ZH148" s="159"/>
      <c r="ZI148" s="159"/>
      <c r="ZJ148" s="159"/>
      <c r="ZK148" s="159"/>
      <c r="ZL148" s="159"/>
      <c r="ZM148" s="159"/>
      <c r="ZN148" s="159"/>
      <c r="ZO148" s="159"/>
      <c r="ZP148" s="159"/>
      <c r="ZQ148" s="159"/>
      <c r="ZR148" s="159"/>
      <c r="ZS148" s="159"/>
      <c r="ZT148" s="159"/>
      <c r="ZU148" s="159"/>
      <c r="ZV148" s="159"/>
      <c r="ZW148" s="159"/>
      <c r="ZX148" s="159"/>
      <c r="ZY148" s="159"/>
      <c r="ZZ148" s="159"/>
      <c r="AAA148" s="159"/>
      <c r="AAB148" s="159"/>
      <c r="AAC148" s="159"/>
      <c r="AAD148" s="159"/>
      <c r="AAE148" s="159"/>
      <c r="AAF148" s="159"/>
      <c r="AAG148" s="159"/>
      <c r="AAH148" s="159"/>
      <c r="AAI148" s="159"/>
      <c r="AAJ148" s="159"/>
      <c r="AAK148" s="159"/>
      <c r="AAL148" s="159"/>
      <c r="AAM148" s="159"/>
      <c r="AAN148" s="159"/>
      <c r="AAO148" s="159"/>
      <c r="AAP148" s="159"/>
      <c r="AAQ148" s="159"/>
      <c r="AAR148" s="159"/>
      <c r="AAS148" s="159"/>
      <c r="AAT148" s="159"/>
      <c r="AAU148" s="159"/>
      <c r="AAV148" s="159"/>
      <c r="AAW148" s="159"/>
      <c r="AAX148" s="159"/>
      <c r="AAY148" s="159"/>
      <c r="AAZ148" s="159"/>
      <c r="ABA148" s="159"/>
      <c r="ABB148" s="159"/>
      <c r="ABC148" s="159"/>
      <c r="ABD148" s="159"/>
      <c r="ABE148" s="159"/>
      <c r="ABF148" s="159"/>
      <c r="ABG148" s="159"/>
      <c r="ABH148" s="159"/>
      <c r="ABI148" s="159"/>
      <c r="ABJ148" s="159"/>
      <c r="ABK148" s="159"/>
      <c r="ABL148" s="159"/>
      <c r="ABM148" s="159"/>
      <c r="ABN148" s="159"/>
      <c r="ABO148" s="159"/>
      <c r="ABP148" s="159"/>
      <c r="ABQ148" s="159"/>
      <c r="ABR148" s="159"/>
      <c r="ABS148" s="159"/>
      <c r="ABT148" s="159"/>
      <c r="ABU148" s="159"/>
      <c r="ABV148" s="159"/>
      <c r="ABW148" s="159"/>
      <c r="ABX148" s="159"/>
      <c r="ABY148" s="159"/>
      <c r="ABZ148" s="159"/>
      <c r="ACA148" s="159"/>
      <c r="ACB148" s="159"/>
      <c r="ACC148" s="159"/>
      <c r="ACD148" s="159"/>
      <c r="ACE148" s="159"/>
      <c r="ACF148" s="159"/>
      <c r="ACG148" s="159"/>
      <c r="ACH148" s="159"/>
      <c r="ACI148" s="159"/>
      <c r="ACJ148" s="159"/>
      <c r="ACK148" s="159"/>
      <c r="ACL148" s="159"/>
      <c r="ACM148" s="159"/>
      <c r="ACN148" s="159"/>
      <c r="ACO148" s="159"/>
      <c r="ACP148" s="159"/>
      <c r="ACQ148" s="159"/>
      <c r="ACR148" s="159"/>
      <c r="ACS148" s="159"/>
      <c r="ACT148" s="159"/>
      <c r="ACU148" s="159"/>
      <c r="ACV148" s="159"/>
      <c r="ACW148" s="159"/>
      <c r="ACX148" s="159"/>
      <c r="ACY148" s="159"/>
      <c r="ACZ148" s="159"/>
      <c r="ADA148" s="159"/>
      <c r="ADB148" s="159"/>
      <c r="ADC148" s="159"/>
      <c r="ADD148" s="159"/>
      <c r="ADE148" s="159"/>
      <c r="ADF148" s="159"/>
      <c r="ADG148" s="159"/>
      <c r="ADH148" s="159"/>
      <c r="ADI148" s="159"/>
      <c r="ADJ148" s="159"/>
      <c r="ADK148" s="159"/>
      <c r="ADL148" s="159"/>
      <c r="ADM148" s="159"/>
      <c r="ADN148" s="159"/>
      <c r="ADO148" s="159"/>
      <c r="ADP148" s="159"/>
      <c r="ADQ148" s="159"/>
      <c r="ADR148" s="159"/>
      <c r="ADS148" s="159"/>
      <c r="ADT148" s="159"/>
      <c r="ADU148" s="159"/>
      <c r="ADV148" s="159"/>
      <c r="ADW148" s="159"/>
      <c r="ADX148" s="159"/>
      <c r="ADY148" s="159"/>
      <c r="ADZ148" s="159"/>
      <c r="AEA148" s="159"/>
      <c r="AEB148" s="159"/>
      <c r="AEC148" s="159"/>
      <c r="AED148" s="159"/>
      <c r="AEE148" s="159"/>
      <c r="AEF148" s="159"/>
      <c r="AEG148" s="159"/>
      <c r="AEH148" s="159"/>
      <c r="AEI148" s="159"/>
      <c r="AEJ148" s="159"/>
      <c r="AEK148" s="159"/>
      <c r="AEL148" s="159"/>
      <c r="AEM148" s="159"/>
      <c r="AEN148" s="159"/>
      <c r="AEO148" s="159"/>
      <c r="AEP148" s="159"/>
      <c r="AEQ148" s="159"/>
      <c r="AER148" s="159"/>
      <c r="AES148" s="159"/>
      <c r="AET148" s="159"/>
      <c r="AEU148" s="159"/>
      <c r="AEV148" s="159"/>
      <c r="AEW148" s="159"/>
      <c r="AEX148" s="159"/>
      <c r="AEY148" s="159"/>
      <c r="AEZ148" s="159"/>
      <c r="AFA148" s="159"/>
      <c r="AFB148" s="159"/>
      <c r="AFC148" s="159"/>
      <c r="AFD148" s="159"/>
      <c r="AFE148" s="159"/>
      <c r="AFF148" s="159"/>
      <c r="AFG148" s="159"/>
      <c r="AFH148" s="159"/>
      <c r="AFI148" s="159"/>
      <c r="AFJ148" s="159"/>
      <c r="AFK148" s="159"/>
      <c r="AFL148" s="159"/>
      <c r="AFM148" s="159"/>
      <c r="AFN148" s="159"/>
      <c r="AFO148" s="159"/>
      <c r="AFP148" s="159"/>
      <c r="AFQ148" s="159"/>
      <c r="AFR148" s="159"/>
      <c r="AFS148" s="159"/>
      <c r="AFT148" s="159"/>
      <c r="AFU148" s="159"/>
      <c r="AFV148" s="159"/>
      <c r="AFW148" s="159"/>
      <c r="AFX148" s="159"/>
      <c r="AFY148" s="159"/>
      <c r="AFZ148" s="159"/>
      <c r="AGA148" s="159"/>
      <c r="AGB148" s="159"/>
      <c r="AGC148" s="159"/>
      <c r="AGD148" s="159"/>
      <c r="AGE148" s="159"/>
      <c r="AGF148" s="159"/>
      <c r="AGG148" s="159"/>
      <c r="AGH148" s="159"/>
      <c r="AGI148" s="159"/>
      <c r="AGJ148" s="159"/>
      <c r="AGK148" s="159"/>
      <c r="AGL148" s="159"/>
      <c r="AGM148" s="159"/>
      <c r="AGN148" s="159"/>
      <c r="AGO148" s="159"/>
      <c r="AGP148" s="159"/>
      <c r="AGQ148" s="159"/>
      <c r="AGR148" s="159"/>
      <c r="AGS148" s="159"/>
      <c r="AGT148" s="159"/>
      <c r="AGU148" s="159"/>
      <c r="AGV148" s="159"/>
      <c r="AGW148" s="159"/>
      <c r="AGX148" s="159"/>
      <c r="AGY148" s="159"/>
      <c r="AGZ148" s="159"/>
      <c r="AHA148" s="159"/>
      <c r="AHB148" s="159"/>
      <c r="AHC148" s="159"/>
      <c r="AHD148" s="159"/>
      <c r="AHE148" s="159"/>
      <c r="AHF148" s="159"/>
      <c r="AHG148" s="159"/>
      <c r="AHH148" s="159"/>
      <c r="AHI148" s="159"/>
      <c r="AHJ148" s="159"/>
      <c r="AHK148" s="159"/>
      <c r="AHL148" s="159"/>
      <c r="AHM148" s="159"/>
      <c r="AHN148" s="159"/>
      <c r="AHO148" s="159"/>
      <c r="AHP148" s="159"/>
      <c r="AHQ148" s="159"/>
      <c r="AHR148" s="159"/>
      <c r="AHS148" s="159"/>
      <c r="AHT148" s="159"/>
      <c r="AHU148" s="159"/>
      <c r="AHV148" s="159"/>
      <c r="AHW148" s="159"/>
      <c r="AHX148" s="159"/>
      <c r="AHY148" s="159"/>
      <c r="AHZ148" s="159"/>
      <c r="AIA148" s="159"/>
      <c r="AIB148" s="159"/>
      <c r="AIC148" s="159"/>
      <c r="AID148" s="159"/>
      <c r="AIE148" s="159"/>
      <c r="AIF148" s="159"/>
      <c r="AIG148" s="159"/>
      <c r="AIH148" s="159"/>
      <c r="AII148" s="159"/>
      <c r="AIJ148" s="159"/>
      <c r="AIK148" s="159"/>
      <c r="AIL148" s="159"/>
      <c r="AIM148" s="159"/>
      <c r="AIN148" s="159"/>
      <c r="AIO148" s="159"/>
      <c r="AIP148" s="159"/>
      <c r="AIQ148" s="159"/>
      <c r="AIR148" s="159"/>
      <c r="AIS148" s="159"/>
      <c r="AIT148" s="159"/>
      <c r="AIU148" s="159"/>
      <c r="AIV148" s="159"/>
      <c r="AIW148" s="159"/>
      <c r="AIX148" s="159"/>
      <c r="AIY148" s="159"/>
      <c r="AIZ148" s="159"/>
      <c r="AJA148" s="159"/>
      <c r="AJB148" s="159"/>
      <c r="AJC148" s="159"/>
      <c r="AJD148" s="159"/>
      <c r="AJE148" s="159"/>
      <c r="AJF148" s="159"/>
      <c r="AJG148" s="159"/>
      <c r="AJH148" s="159"/>
      <c r="AJI148" s="159"/>
      <c r="AJJ148" s="159"/>
      <c r="AJK148" s="159"/>
      <c r="AJL148" s="159"/>
      <c r="AJM148" s="159"/>
      <c r="AJN148" s="159"/>
      <c r="AJO148" s="159"/>
      <c r="AJP148" s="159"/>
      <c r="AJQ148" s="159"/>
      <c r="AJR148" s="159"/>
      <c r="AJS148" s="159"/>
      <c r="AJT148" s="159"/>
      <c r="AJU148" s="159"/>
      <c r="AJV148" s="159"/>
      <c r="AJW148" s="159"/>
      <c r="AJX148" s="159"/>
      <c r="AJY148" s="159"/>
      <c r="AJZ148" s="159"/>
      <c r="AKA148" s="159"/>
      <c r="AKB148" s="159"/>
      <c r="AKC148" s="159"/>
      <c r="AKD148" s="159"/>
      <c r="AKE148" s="159"/>
      <c r="AKF148" s="159"/>
      <c r="AKG148" s="159"/>
      <c r="AKH148" s="159"/>
      <c r="AKI148" s="159"/>
      <c r="AKJ148" s="159"/>
      <c r="AKK148" s="159"/>
      <c r="AKL148" s="159"/>
      <c r="AKM148" s="159"/>
      <c r="AKN148" s="159"/>
      <c r="AKO148" s="159"/>
      <c r="AKP148" s="159"/>
      <c r="AKQ148" s="159"/>
      <c r="AKR148" s="159"/>
      <c r="AKS148" s="159"/>
      <c r="AKT148" s="159"/>
      <c r="AKU148" s="159"/>
      <c r="AKV148" s="159"/>
      <c r="AKW148" s="159"/>
      <c r="AKX148" s="159"/>
      <c r="AKY148" s="159"/>
      <c r="AKZ148" s="159"/>
      <c r="ALA148" s="159"/>
      <c r="ALB148" s="159"/>
      <c r="ALC148" s="159"/>
      <c r="ALD148" s="159"/>
      <c r="ALE148" s="159"/>
      <c r="ALF148" s="159"/>
      <c r="ALG148" s="159"/>
      <c r="ALH148" s="159"/>
      <c r="ALI148" s="159"/>
      <c r="ALJ148" s="159"/>
      <c r="ALK148" s="159"/>
      <c r="ALL148" s="159"/>
      <c r="ALM148" s="159"/>
      <c r="ALN148" s="159"/>
      <c r="ALO148" s="159"/>
      <c r="ALP148" s="159"/>
      <c r="ALQ148" s="159"/>
      <c r="ALR148" s="159"/>
      <c r="ALS148" s="159"/>
      <c r="ALT148" s="159"/>
      <c r="ALU148" s="159"/>
      <c r="ALV148" s="159"/>
      <c r="ALW148" s="159"/>
      <c r="ALX148" s="159"/>
      <c r="ALY148" s="159"/>
      <c r="ALZ148" s="159"/>
      <c r="AMA148" s="159"/>
      <c r="AMB148" s="159"/>
      <c r="AMC148" s="159"/>
      <c r="AMD148" s="159"/>
      <c r="AME148" s="159"/>
      <c r="AMF148" s="159"/>
      <c r="AMG148" s="159"/>
      <c r="AMH148" s="159"/>
      <c r="AMI148" s="159"/>
      <c r="AMJ148" s="159"/>
      <c r="AMK148" s="159"/>
      <c r="AML148" s="159"/>
      <c r="AMM148" s="159"/>
      <c r="AMN148" s="159"/>
      <c r="AMO148" s="159"/>
    </row>
    <row r="149" spans="1:1029" ht="15.75" thickTop="1" x14ac:dyDescent="0.25">
      <c r="A149" s="8">
        <v>46230</v>
      </c>
      <c r="B149" s="9" t="s">
        <v>47</v>
      </c>
      <c r="C149" s="9" t="s">
        <v>38</v>
      </c>
      <c r="D149" s="101" t="s">
        <v>16</v>
      </c>
      <c r="E149" s="35" t="s">
        <v>28</v>
      </c>
      <c r="F149" s="37" t="s">
        <v>28</v>
      </c>
      <c r="G149" s="37" t="s">
        <v>28</v>
      </c>
      <c r="H149" s="10" t="b">
        <f t="shared" si="12"/>
        <v>0</v>
      </c>
      <c r="I149" s="13" t="s">
        <v>28</v>
      </c>
      <c r="J149" s="13" t="s">
        <v>28</v>
      </c>
      <c r="K149" s="13" t="s">
        <v>28</v>
      </c>
      <c r="L149" s="10" t="b">
        <f t="shared" si="13"/>
        <v>0</v>
      </c>
      <c r="M149" s="13" t="s">
        <v>28</v>
      </c>
      <c r="N149" s="13" t="s">
        <v>28</v>
      </c>
      <c r="O149" s="13" t="s">
        <v>28</v>
      </c>
      <c r="P149" s="10" t="b">
        <f t="shared" si="14"/>
        <v>0</v>
      </c>
      <c r="Q149" s="121" t="s">
        <v>22</v>
      </c>
      <c r="R149" s="119" t="s">
        <v>74</v>
      </c>
      <c r="S149" s="119" t="s">
        <v>21</v>
      </c>
      <c r="T149" s="10" t="b">
        <f t="shared" si="15"/>
        <v>0</v>
      </c>
    </row>
    <row r="150" spans="1:1029" ht="25.5" x14ac:dyDescent="0.25">
      <c r="A150" s="8">
        <v>46231</v>
      </c>
      <c r="B150" s="16" t="s">
        <v>64</v>
      </c>
      <c r="C150" s="16" t="s">
        <v>267</v>
      </c>
      <c r="D150" s="105" t="s">
        <v>21</v>
      </c>
      <c r="E150" s="18" t="s">
        <v>28</v>
      </c>
      <c r="F150" s="19" t="s">
        <v>28</v>
      </c>
      <c r="G150" s="19" t="s">
        <v>28</v>
      </c>
      <c r="H150" s="17" t="b">
        <f t="shared" si="12"/>
        <v>0</v>
      </c>
      <c r="I150" s="13" t="s">
        <v>28</v>
      </c>
      <c r="J150" s="13" t="s">
        <v>28</v>
      </c>
      <c r="K150" s="13" t="s">
        <v>28</v>
      </c>
      <c r="L150" s="17" t="b">
        <f t="shared" si="13"/>
        <v>0</v>
      </c>
      <c r="M150" s="13" t="s">
        <v>64</v>
      </c>
      <c r="N150" s="13" t="s">
        <v>51</v>
      </c>
      <c r="O150" s="13" t="s">
        <v>21</v>
      </c>
      <c r="P150" s="17">
        <f t="shared" si="14"/>
        <v>1.5</v>
      </c>
      <c r="Q150" s="19" t="s">
        <v>8</v>
      </c>
      <c r="R150" s="16" t="s">
        <v>82</v>
      </c>
      <c r="S150" s="16" t="s">
        <v>13</v>
      </c>
      <c r="T150" s="17" t="b">
        <f t="shared" si="15"/>
        <v>0</v>
      </c>
    </row>
    <row r="151" spans="1:1029" s="161" customFormat="1" x14ac:dyDescent="0.25">
      <c r="A151" s="138">
        <v>46232</v>
      </c>
      <c r="B151" s="99" t="s">
        <v>135</v>
      </c>
      <c r="C151" s="99" t="s">
        <v>36</v>
      </c>
      <c r="D151" s="160" t="s">
        <v>34</v>
      </c>
      <c r="E151" s="118" t="s">
        <v>28</v>
      </c>
      <c r="F151" s="149" t="s">
        <v>28</v>
      </c>
      <c r="G151" s="149" t="s">
        <v>28</v>
      </c>
      <c r="H151" s="141" t="b">
        <f t="shared" si="12"/>
        <v>0</v>
      </c>
      <c r="I151" s="121" t="s">
        <v>28</v>
      </c>
      <c r="J151" s="121" t="s">
        <v>28</v>
      </c>
      <c r="K151" s="121" t="s">
        <v>28</v>
      </c>
      <c r="L151" s="141" t="b">
        <f t="shared" si="13"/>
        <v>0</v>
      </c>
      <c r="M151" s="121" t="s">
        <v>42</v>
      </c>
      <c r="N151" s="121" t="s">
        <v>77</v>
      </c>
      <c r="O151" s="121" t="s">
        <v>90</v>
      </c>
      <c r="P151" s="141" t="b">
        <f t="shared" si="14"/>
        <v>0</v>
      </c>
      <c r="Q151" s="149" t="s">
        <v>42</v>
      </c>
      <c r="R151" s="99" t="s">
        <v>45</v>
      </c>
      <c r="S151" s="99" t="s">
        <v>27</v>
      </c>
      <c r="T151" s="141" t="b">
        <f t="shared" si="15"/>
        <v>0</v>
      </c>
      <c r="U151" s="159"/>
      <c r="V151" s="159"/>
      <c r="W151" s="159"/>
      <c r="X151" s="159"/>
      <c r="Y151" s="159"/>
      <c r="Z151" s="159"/>
      <c r="AA151" s="159"/>
      <c r="AB151" s="159"/>
      <c r="AC151" s="159"/>
      <c r="AD151" s="159"/>
      <c r="AE151" s="159"/>
      <c r="AF151" s="159"/>
      <c r="AG151" s="159"/>
      <c r="AH151" s="159"/>
      <c r="AI151" s="159"/>
      <c r="AJ151" s="159"/>
      <c r="AK151" s="159"/>
      <c r="AL151" s="159"/>
      <c r="AM151" s="159"/>
      <c r="AN151" s="159"/>
      <c r="AO151" s="159"/>
      <c r="AP151" s="159"/>
      <c r="AQ151" s="159"/>
      <c r="AR151" s="159"/>
      <c r="AS151" s="159"/>
      <c r="AT151" s="159"/>
      <c r="AU151" s="159"/>
      <c r="AV151" s="159"/>
      <c r="AW151" s="159"/>
      <c r="AX151" s="159"/>
      <c r="AY151" s="159"/>
      <c r="AZ151" s="159"/>
      <c r="BA151" s="159"/>
      <c r="BB151" s="159"/>
      <c r="BC151" s="159"/>
      <c r="BD151" s="159"/>
      <c r="BE151" s="159"/>
      <c r="BF151" s="159"/>
      <c r="BG151" s="159"/>
      <c r="BH151" s="159"/>
      <c r="BI151" s="159"/>
      <c r="BJ151" s="159"/>
      <c r="BK151" s="159"/>
      <c r="BL151" s="159"/>
      <c r="BM151" s="159"/>
      <c r="BN151" s="159"/>
      <c r="BO151" s="159"/>
      <c r="BP151" s="159"/>
      <c r="BQ151" s="159"/>
      <c r="BR151" s="159"/>
      <c r="BS151" s="159"/>
      <c r="BT151" s="159"/>
      <c r="BU151" s="159"/>
      <c r="BV151" s="159"/>
      <c r="BW151" s="159"/>
      <c r="BX151" s="159"/>
      <c r="BY151" s="159"/>
      <c r="BZ151" s="159"/>
      <c r="CA151" s="159"/>
      <c r="CB151" s="159"/>
      <c r="CC151" s="159"/>
      <c r="CD151" s="159"/>
      <c r="CE151" s="159"/>
      <c r="CF151" s="159"/>
      <c r="CG151" s="159"/>
      <c r="CH151" s="159"/>
      <c r="CI151" s="159"/>
      <c r="CJ151" s="159"/>
      <c r="CK151" s="159"/>
      <c r="CL151" s="159"/>
      <c r="CM151" s="159"/>
      <c r="CN151" s="159"/>
      <c r="CO151" s="159"/>
      <c r="CP151" s="159"/>
      <c r="CQ151" s="159"/>
      <c r="CR151" s="159"/>
      <c r="CS151" s="159"/>
      <c r="CT151" s="159"/>
      <c r="CU151" s="159"/>
      <c r="CV151" s="159"/>
      <c r="CW151" s="159"/>
      <c r="CX151" s="159"/>
      <c r="CY151" s="159"/>
      <c r="CZ151" s="159"/>
      <c r="DA151" s="159"/>
      <c r="DB151" s="159"/>
      <c r="DC151" s="159"/>
      <c r="DD151" s="159"/>
      <c r="DE151" s="159"/>
      <c r="DF151" s="159"/>
      <c r="DG151" s="159"/>
      <c r="DH151" s="159"/>
      <c r="DI151" s="159"/>
      <c r="DJ151" s="159"/>
      <c r="DK151" s="159"/>
      <c r="DL151" s="159"/>
      <c r="DM151" s="159"/>
      <c r="DN151" s="159"/>
      <c r="DO151" s="159"/>
      <c r="DP151" s="159"/>
      <c r="DQ151" s="159"/>
      <c r="DR151" s="159"/>
      <c r="DS151" s="159"/>
      <c r="DT151" s="159"/>
      <c r="DU151" s="159"/>
      <c r="DV151" s="159"/>
      <c r="DW151" s="159"/>
      <c r="DX151" s="159"/>
      <c r="DY151" s="159"/>
      <c r="DZ151" s="159"/>
      <c r="EA151" s="159"/>
      <c r="EB151" s="159"/>
      <c r="EC151" s="159"/>
      <c r="ED151" s="159"/>
      <c r="EE151" s="159"/>
      <c r="EF151" s="159"/>
      <c r="EG151" s="159"/>
      <c r="EH151" s="159"/>
      <c r="EI151" s="159"/>
      <c r="EJ151" s="159"/>
      <c r="EK151" s="159"/>
      <c r="EL151" s="159"/>
      <c r="EM151" s="159"/>
      <c r="EN151" s="159"/>
      <c r="EO151" s="159"/>
      <c r="EP151" s="159"/>
      <c r="EQ151" s="159"/>
      <c r="ER151" s="159"/>
      <c r="ES151" s="159"/>
      <c r="ET151" s="159"/>
      <c r="EU151" s="159"/>
      <c r="EV151" s="159"/>
      <c r="EW151" s="159"/>
      <c r="EX151" s="159"/>
      <c r="EY151" s="159"/>
      <c r="EZ151" s="159"/>
      <c r="FA151" s="159"/>
      <c r="FB151" s="159"/>
      <c r="FC151" s="159"/>
      <c r="FD151" s="159"/>
      <c r="FE151" s="159"/>
      <c r="FF151" s="159"/>
      <c r="FG151" s="159"/>
      <c r="FH151" s="159"/>
      <c r="FI151" s="159"/>
      <c r="FJ151" s="159"/>
      <c r="FK151" s="159"/>
      <c r="FL151" s="159"/>
      <c r="FM151" s="159"/>
      <c r="FN151" s="159"/>
      <c r="FO151" s="159"/>
      <c r="FP151" s="159"/>
      <c r="FQ151" s="159"/>
      <c r="FR151" s="159"/>
      <c r="FS151" s="159"/>
      <c r="FT151" s="159"/>
      <c r="FU151" s="159"/>
      <c r="FV151" s="159"/>
      <c r="FW151" s="159"/>
      <c r="FX151" s="159"/>
      <c r="FY151" s="159"/>
      <c r="FZ151" s="159"/>
      <c r="GA151" s="159"/>
      <c r="GB151" s="159"/>
      <c r="GC151" s="159"/>
      <c r="GD151" s="159"/>
      <c r="GE151" s="159"/>
      <c r="GF151" s="159"/>
      <c r="GG151" s="159"/>
      <c r="GH151" s="159"/>
      <c r="GI151" s="159"/>
      <c r="GJ151" s="159"/>
      <c r="GK151" s="159"/>
      <c r="GL151" s="159"/>
      <c r="GM151" s="159"/>
      <c r="GN151" s="159"/>
      <c r="GO151" s="159"/>
      <c r="GP151" s="159"/>
      <c r="GQ151" s="159"/>
      <c r="GR151" s="159"/>
      <c r="GS151" s="159"/>
      <c r="GT151" s="159"/>
      <c r="GU151" s="159"/>
      <c r="GV151" s="159"/>
      <c r="GW151" s="159"/>
      <c r="GX151" s="159"/>
      <c r="GY151" s="159"/>
      <c r="GZ151" s="159"/>
      <c r="HA151" s="159"/>
      <c r="HB151" s="159"/>
      <c r="HC151" s="159"/>
      <c r="HD151" s="159"/>
      <c r="HE151" s="159"/>
      <c r="HF151" s="159"/>
      <c r="HG151" s="159"/>
      <c r="HH151" s="159"/>
      <c r="HI151" s="159"/>
      <c r="HJ151" s="159"/>
      <c r="HK151" s="159"/>
      <c r="HL151" s="159"/>
      <c r="HM151" s="159"/>
      <c r="HN151" s="159"/>
      <c r="HO151" s="159"/>
      <c r="HP151" s="159"/>
      <c r="HQ151" s="159"/>
      <c r="HR151" s="159"/>
      <c r="HS151" s="159"/>
      <c r="HT151" s="159"/>
      <c r="HU151" s="159"/>
      <c r="HV151" s="159"/>
      <c r="HW151" s="159"/>
      <c r="HX151" s="159"/>
      <c r="HY151" s="159"/>
      <c r="HZ151" s="159"/>
      <c r="IA151" s="159"/>
      <c r="IB151" s="159"/>
      <c r="IC151" s="159"/>
      <c r="ID151" s="159"/>
      <c r="IE151" s="159"/>
      <c r="IF151" s="159"/>
      <c r="IG151" s="159"/>
      <c r="IH151" s="159"/>
      <c r="II151" s="159"/>
      <c r="IJ151" s="159"/>
      <c r="IK151" s="159"/>
      <c r="IL151" s="159"/>
      <c r="IM151" s="159"/>
      <c r="IN151" s="159"/>
      <c r="IO151" s="159"/>
      <c r="IP151" s="159"/>
      <c r="IQ151" s="159"/>
      <c r="IR151" s="159"/>
      <c r="IS151" s="159"/>
      <c r="IT151" s="159"/>
      <c r="IU151" s="159"/>
      <c r="IV151" s="159"/>
      <c r="IW151" s="159"/>
      <c r="IX151" s="159"/>
      <c r="IY151" s="159"/>
      <c r="IZ151" s="159"/>
      <c r="JA151" s="159"/>
      <c r="JB151" s="159"/>
      <c r="JC151" s="159"/>
      <c r="JD151" s="159"/>
      <c r="JE151" s="159"/>
      <c r="JF151" s="159"/>
      <c r="JG151" s="159"/>
      <c r="JH151" s="159"/>
      <c r="JI151" s="159"/>
      <c r="JJ151" s="159"/>
      <c r="JK151" s="159"/>
      <c r="JL151" s="159"/>
      <c r="JM151" s="159"/>
      <c r="JN151" s="159"/>
      <c r="JO151" s="159"/>
      <c r="JP151" s="159"/>
      <c r="JQ151" s="159"/>
      <c r="JR151" s="159"/>
      <c r="JS151" s="159"/>
      <c r="JT151" s="159"/>
      <c r="JU151" s="159"/>
      <c r="JV151" s="159"/>
      <c r="JW151" s="159"/>
      <c r="JX151" s="159"/>
      <c r="JY151" s="159"/>
      <c r="JZ151" s="159"/>
      <c r="KA151" s="159"/>
      <c r="KB151" s="159"/>
      <c r="KC151" s="159"/>
      <c r="KD151" s="159"/>
      <c r="KE151" s="159"/>
      <c r="KF151" s="159"/>
      <c r="KG151" s="159"/>
      <c r="KH151" s="159"/>
      <c r="KI151" s="159"/>
      <c r="KJ151" s="159"/>
      <c r="KK151" s="159"/>
      <c r="KL151" s="159"/>
      <c r="KM151" s="159"/>
      <c r="KN151" s="159"/>
      <c r="KO151" s="159"/>
      <c r="KP151" s="159"/>
      <c r="KQ151" s="159"/>
      <c r="KR151" s="159"/>
      <c r="KS151" s="159"/>
      <c r="KT151" s="159"/>
      <c r="KU151" s="159"/>
      <c r="KV151" s="159"/>
      <c r="KW151" s="159"/>
      <c r="KX151" s="159"/>
      <c r="KY151" s="159"/>
      <c r="KZ151" s="159"/>
      <c r="LA151" s="159"/>
      <c r="LB151" s="159"/>
      <c r="LC151" s="159"/>
      <c r="LD151" s="159"/>
      <c r="LE151" s="159"/>
      <c r="LF151" s="159"/>
      <c r="LG151" s="159"/>
      <c r="LH151" s="159"/>
      <c r="LI151" s="159"/>
      <c r="LJ151" s="159"/>
      <c r="LK151" s="159"/>
      <c r="LL151" s="159"/>
      <c r="LM151" s="159"/>
      <c r="LN151" s="159"/>
      <c r="LO151" s="159"/>
      <c r="LP151" s="159"/>
      <c r="LQ151" s="159"/>
      <c r="LR151" s="159"/>
      <c r="LS151" s="159"/>
      <c r="LT151" s="159"/>
      <c r="LU151" s="159"/>
      <c r="LV151" s="159"/>
      <c r="LW151" s="159"/>
      <c r="LX151" s="159"/>
      <c r="LY151" s="159"/>
      <c r="LZ151" s="159"/>
      <c r="MA151" s="159"/>
      <c r="MB151" s="159"/>
      <c r="MC151" s="159"/>
      <c r="MD151" s="159"/>
      <c r="ME151" s="159"/>
      <c r="MF151" s="159"/>
      <c r="MG151" s="159"/>
      <c r="MH151" s="159"/>
      <c r="MI151" s="159"/>
      <c r="MJ151" s="159"/>
      <c r="MK151" s="159"/>
      <c r="ML151" s="159"/>
      <c r="MM151" s="159"/>
      <c r="MN151" s="159"/>
      <c r="MO151" s="159"/>
      <c r="MP151" s="159"/>
      <c r="MQ151" s="159"/>
      <c r="MR151" s="159"/>
      <c r="MS151" s="159"/>
      <c r="MT151" s="159"/>
      <c r="MU151" s="159"/>
      <c r="MV151" s="159"/>
      <c r="MW151" s="159"/>
      <c r="MX151" s="159"/>
      <c r="MY151" s="159"/>
      <c r="MZ151" s="159"/>
      <c r="NA151" s="159"/>
      <c r="NB151" s="159"/>
      <c r="NC151" s="159"/>
      <c r="ND151" s="159"/>
      <c r="NE151" s="159"/>
      <c r="NF151" s="159"/>
      <c r="NG151" s="159"/>
      <c r="NH151" s="159"/>
      <c r="NI151" s="159"/>
      <c r="NJ151" s="159"/>
      <c r="NK151" s="159"/>
      <c r="NL151" s="159"/>
      <c r="NM151" s="159"/>
      <c r="NN151" s="159"/>
      <c r="NO151" s="159"/>
      <c r="NP151" s="159"/>
      <c r="NQ151" s="159"/>
      <c r="NR151" s="159"/>
      <c r="NS151" s="159"/>
      <c r="NT151" s="159"/>
      <c r="NU151" s="159"/>
      <c r="NV151" s="159"/>
      <c r="NW151" s="159"/>
      <c r="NX151" s="159"/>
      <c r="NY151" s="159"/>
      <c r="NZ151" s="159"/>
      <c r="OA151" s="159"/>
      <c r="OB151" s="159"/>
      <c r="OC151" s="159"/>
      <c r="OD151" s="159"/>
      <c r="OE151" s="159"/>
      <c r="OF151" s="159"/>
      <c r="OG151" s="159"/>
      <c r="OH151" s="159"/>
      <c r="OI151" s="159"/>
      <c r="OJ151" s="159"/>
      <c r="OK151" s="159"/>
      <c r="OL151" s="159"/>
      <c r="OM151" s="159"/>
      <c r="ON151" s="159"/>
      <c r="OO151" s="159"/>
      <c r="OP151" s="159"/>
      <c r="OQ151" s="159"/>
      <c r="OR151" s="159"/>
      <c r="OS151" s="159"/>
      <c r="OT151" s="159"/>
      <c r="OU151" s="159"/>
      <c r="OV151" s="159"/>
      <c r="OW151" s="159"/>
      <c r="OX151" s="159"/>
      <c r="OY151" s="159"/>
      <c r="OZ151" s="159"/>
      <c r="PA151" s="159"/>
      <c r="PB151" s="159"/>
      <c r="PC151" s="159"/>
      <c r="PD151" s="159"/>
      <c r="PE151" s="159"/>
      <c r="PF151" s="159"/>
      <c r="PG151" s="159"/>
      <c r="PH151" s="159"/>
      <c r="PI151" s="159"/>
      <c r="PJ151" s="159"/>
      <c r="PK151" s="159"/>
      <c r="PL151" s="159"/>
      <c r="PM151" s="159"/>
      <c r="PN151" s="159"/>
      <c r="PO151" s="159"/>
      <c r="PP151" s="159"/>
      <c r="PQ151" s="159"/>
      <c r="PR151" s="159"/>
      <c r="PS151" s="159"/>
      <c r="PT151" s="159"/>
      <c r="PU151" s="159"/>
      <c r="PV151" s="159"/>
      <c r="PW151" s="159"/>
      <c r="PX151" s="159"/>
      <c r="PY151" s="159"/>
      <c r="PZ151" s="159"/>
      <c r="QA151" s="159"/>
      <c r="QB151" s="159"/>
      <c r="QC151" s="159"/>
      <c r="QD151" s="159"/>
      <c r="QE151" s="159"/>
      <c r="QF151" s="159"/>
      <c r="QG151" s="159"/>
      <c r="QH151" s="159"/>
      <c r="QI151" s="159"/>
      <c r="QJ151" s="159"/>
      <c r="QK151" s="159"/>
      <c r="QL151" s="159"/>
      <c r="QM151" s="159"/>
      <c r="QN151" s="159"/>
      <c r="QO151" s="159"/>
      <c r="QP151" s="159"/>
      <c r="QQ151" s="159"/>
      <c r="QR151" s="159"/>
      <c r="QS151" s="159"/>
      <c r="QT151" s="159"/>
      <c r="QU151" s="159"/>
      <c r="QV151" s="159"/>
      <c r="QW151" s="159"/>
      <c r="QX151" s="159"/>
      <c r="QY151" s="159"/>
      <c r="QZ151" s="159"/>
      <c r="RA151" s="159"/>
      <c r="RB151" s="159"/>
      <c r="RC151" s="159"/>
      <c r="RD151" s="159"/>
      <c r="RE151" s="159"/>
      <c r="RF151" s="159"/>
      <c r="RG151" s="159"/>
      <c r="RH151" s="159"/>
      <c r="RI151" s="159"/>
      <c r="RJ151" s="159"/>
      <c r="RK151" s="159"/>
      <c r="RL151" s="159"/>
      <c r="RM151" s="159"/>
      <c r="RN151" s="159"/>
      <c r="RO151" s="159"/>
      <c r="RP151" s="159"/>
      <c r="RQ151" s="159"/>
      <c r="RR151" s="159"/>
      <c r="RS151" s="159"/>
      <c r="RT151" s="159"/>
      <c r="RU151" s="159"/>
      <c r="RV151" s="159"/>
      <c r="RW151" s="159"/>
      <c r="RX151" s="159"/>
      <c r="RY151" s="159"/>
      <c r="RZ151" s="159"/>
      <c r="SA151" s="159"/>
      <c r="SB151" s="159"/>
      <c r="SC151" s="159"/>
      <c r="SD151" s="159"/>
      <c r="SE151" s="159"/>
      <c r="SF151" s="159"/>
      <c r="SG151" s="159"/>
      <c r="SH151" s="159"/>
      <c r="SI151" s="159"/>
      <c r="SJ151" s="159"/>
      <c r="SK151" s="159"/>
      <c r="SL151" s="159"/>
      <c r="SM151" s="159"/>
      <c r="SN151" s="159"/>
      <c r="SO151" s="159"/>
      <c r="SP151" s="159"/>
      <c r="SQ151" s="159"/>
      <c r="SR151" s="159"/>
      <c r="SS151" s="159"/>
      <c r="ST151" s="159"/>
      <c r="SU151" s="159"/>
      <c r="SV151" s="159"/>
      <c r="SW151" s="159"/>
      <c r="SX151" s="159"/>
      <c r="SY151" s="159"/>
      <c r="SZ151" s="159"/>
      <c r="TA151" s="159"/>
      <c r="TB151" s="159"/>
      <c r="TC151" s="159"/>
      <c r="TD151" s="159"/>
      <c r="TE151" s="159"/>
      <c r="TF151" s="159"/>
      <c r="TG151" s="159"/>
      <c r="TH151" s="159"/>
      <c r="TI151" s="159"/>
      <c r="TJ151" s="159"/>
      <c r="TK151" s="159"/>
      <c r="TL151" s="159"/>
      <c r="TM151" s="159"/>
      <c r="TN151" s="159"/>
      <c r="TO151" s="159"/>
      <c r="TP151" s="159"/>
      <c r="TQ151" s="159"/>
      <c r="TR151" s="159"/>
      <c r="TS151" s="159"/>
      <c r="TT151" s="159"/>
      <c r="TU151" s="159"/>
      <c r="TV151" s="159"/>
      <c r="TW151" s="159"/>
      <c r="TX151" s="159"/>
      <c r="TY151" s="159"/>
      <c r="TZ151" s="159"/>
      <c r="UA151" s="159"/>
      <c r="UB151" s="159"/>
      <c r="UC151" s="159"/>
      <c r="UD151" s="159"/>
      <c r="UE151" s="159"/>
      <c r="UF151" s="159"/>
      <c r="UG151" s="159"/>
      <c r="UH151" s="159"/>
      <c r="UI151" s="159"/>
      <c r="UJ151" s="159"/>
      <c r="UK151" s="159"/>
      <c r="UL151" s="159"/>
      <c r="UM151" s="159"/>
      <c r="UN151" s="159"/>
      <c r="UO151" s="159"/>
      <c r="UP151" s="159"/>
      <c r="UQ151" s="159"/>
      <c r="UR151" s="159"/>
      <c r="US151" s="159"/>
      <c r="UT151" s="159"/>
      <c r="UU151" s="159"/>
      <c r="UV151" s="159"/>
      <c r="UW151" s="159"/>
      <c r="UX151" s="159"/>
      <c r="UY151" s="159"/>
      <c r="UZ151" s="159"/>
      <c r="VA151" s="159"/>
      <c r="VB151" s="159"/>
      <c r="VC151" s="159"/>
      <c r="VD151" s="159"/>
      <c r="VE151" s="159"/>
      <c r="VF151" s="159"/>
      <c r="VG151" s="159"/>
      <c r="VH151" s="159"/>
      <c r="VI151" s="159"/>
      <c r="VJ151" s="159"/>
      <c r="VK151" s="159"/>
      <c r="VL151" s="159"/>
      <c r="VM151" s="159"/>
      <c r="VN151" s="159"/>
      <c r="VO151" s="159"/>
      <c r="VP151" s="159"/>
      <c r="VQ151" s="159"/>
      <c r="VR151" s="159"/>
      <c r="VS151" s="159"/>
      <c r="VT151" s="159"/>
      <c r="VU151" s="159"/>
      <c r="VV151" s="159"/>
      <c r="VW151" s="159"/>
      <c r="VX151" s="159"/>
      <c r="VY151" s="159"/>
      <c r="VZ151" s="159"/>
      <c r="WA151" s="159"/>
      <c r="WB151" s="159"/>
      <c r="WC151" s="159"/>
      <c r="WD151" s="159"/>
      <c r="WE151" s="159"/>
      <c r="WF151" s="159"/>
      <c r="WG151" s="159"/>
      <c r="WH151" s="159"/>
      <c r="WI151" s="159"/>
      <c r="WJ151" s="159"/>
      <c r="WK151" s="159"/>
      <c r="WL151" s="159"/>
      <c r="WM151" s="159"/>
      <c r="WN151" s="159"/>
      <c r="WO151" s="159"/>
      <c r="WP151" s="159"/>
      <c r="WQ151" s="159"/>
      <c r="WR151" s="159"/>
      <c r="WS151" s="159"/>
      <c r="WT151" s="159"/>
      <c r="WU151" s="159"/>
      <c r="WV151" s="159"/>
      <c r="WW151" s="159"/>
      <c r="WX151" s="159"/>
      <c r="WY151" s="159"/>
      <c r="WZ151" s="159"/>
      <c r="XA151" s="159"/>
      <c r="XB151" s="159"/>
      <c r="XC151" s="159"/>
      <c r="XD151" s="159"/>
      <c r="XE151" s="159"/>
      <c r="XF151" s="159"/>
      <c r="XG151" s="159"/>
      <c r="XH151" s="159"/>
      <c r="XI151" s="159"/>
      <c r="XJ151" s="159"/>
      <c r="XK151" s="159"/>
      <c r="XL151" s="159"/>
      <c r="XM151" s="159"/>
      <c r="XN151" s="159"/>
      <c r="XO151" s="159"/>
      <c r="XP151" s="159"/>
      <c r="XQ151" s="159"/>
      <c r="XR151" s="159"/>
      <c r="XS151" s="159"/>
      <c r="XT151" s="159"/>
      <c r="XU151" s="159"/>
      <c r="XV151" s="159"/>
      <c r="XW151" s="159"/>
      <c r="XX151" s="159"/>
      <c r="XY151" s="159"/>
      <c r="XZ151" s="159"/>
      <c r="YA151" s="159"/>
      <c r="YB151" s="159"/>
      <c r="YC151" s="159"/>
      <c r="YD151" s="159"/>
      <c r="YE151" s="159"/>
      <c r="YF151" s="159"/>
      <c r="YG151" s="159"/>
      <c r="YH151" s="159"/>
      <c r="YI151" s="159"/>
      <c r="YJ151" s="159"/>
      <c r="YK151" s="159"/>
      <c r="YL151" s="159"/>
      <c r="YM151" s="159"/>
      <c r="YN151" s="159"/>
      <c r="YO151" s="159"/>
      <c r="YP151" s="159"/>
      <c r="YQ151" s="159"/>
      <c r="YR151" s="159"/>
      <c r="YS151" s="159"/>
      <c r="YT151" s="159"/>
      <c r="YU151" s="159"/>
      <c r="YV151" s="159"/>
      <c r="YW151" s="159"/>
      <c r="YX151" s="159"/>
      <c r="YY151" s="159"/>
      <c r="YZ151" s="159"/>
      <c r="ZA151" s="159"/>
      <c r="ZB151" s="159"/>
      <c r="ZC151" s="159"/>
      <c r="ZD151" s="159"/>
      <c r="ZE151" s="159"/>
      <c r="ZF151" s="159"/>
      <c r="ZG151" s="159"/>
      <c r="ZH151" s="159"/>
      <c r="ZI151" s="159"/>
      <c r="ZJ151" s="159"/>
      <c r="ZK151" s="159"/>
      <c r="ZL151" s="159"/>
      <c r="ZM151" s="159"/>
      <c r="ZN151" s="159"/>
      <c r="ZO151" s="159"/>
      <c r="ZP151" s="159"/>
      <c r="ZQ151" s="159"/>
      <c r="ZR151" s="159"/>
      <c r="ZS151" s="159"/>
      <c r="ZT151" s="159"/>
      <c r="ZU151" s="159"/>
      <c r="ZV151" s="159"/>
      <c r="ZW151" s="159"/>
      <c r="ZX151" s="159"/>
      <c r="ZY151" s="159"/>
      <c r="ZZ151" s="159"/>
      <c r="AAA151" s="159"/>
      <c r="AAB151" s="159"/>
      <c r="AAC151" s="159"/>
      <c r="AAD151" s="159"/>
      <c r="AAE151" s="159"/>
      <c r="AAF151" s="159"/>
      <c r="AAG151" s="159"/>
      <c r="AAH151" s="159"/>
      <c r="AAI151" s="159"/>
      <c r="AAJ151" s="159"/>
      <c r="AAK151" s="159"/>
      <c r="AAL151" s="159"/>
      <c r="AAM151" s="159"/>
      <c r="AAN151" s="159"/>
      <c r="AAO151" s="159"/>
      <c r="AAP151" s="159"/>
      <c r="AAQ151" s="159"/>
      <c r="AAR151" s="159"/>
      <c r="AAS151" s="159"/>
      <c r="AAT151" s="159"/>
      <c r="AAU151" s="159"/>
      <c r="AAV151" s="159"/>
      <c r="AAW151" s="159"/>
      <c r="AAX151" s="159"/>
      <c r="AAY151" s="159"/>
      <c r="AAZ151" s="159"/>
      <c r="ABA151" s="159"/>
      <c r="ABB151" s="159"/>
      <c r="ABC151" s="159"/>
      <c r="ABD151" s="159"/>
      <c r="ABE151" s="159"/>
      <c r="ABF151" s="159"/>
      <c r="ABG151" s="159"/>
      <c r="ABH151" s="159"/>
      <c r="ABI151" s="159"/>
      <c r="ABJ151" s="159"/>
      <c r="ABK151" s="159"/>
      <c r="ABL151" s="159"/>
      <c r="ABM151" s="159"/>
      <c r="ABN151" s="159"/>
      <c r="ABO151" s="159"/>
      <c r="ABP151" s="159"/>
      <c r="ABQ151" s="159"/>
      <c r="ABR151" s="159"/>
      <c r="ABS151" s="159"/>
      <c r="ABT151" s="159"/>
      <c r="ABU151" s="159"/>
      <c r="ABV151" s="159"/>
      <c r="ABW151" s="159"/>
      <c r="ABX151" s="159"/>
      <c r="ABY151" s="159"/>
      <c r="ABZ151" s="159"/>
      <c r="ACA151" s="159"/>
      <c r="ACB151" s="159"/>
      <c r="ACC151" s="159"/>
      <c r="ACD151" s="159"/>
      <c r="ACE151" s="159"/>
      <c r="ACF151" s="159"/>
      <c r="ACG151" s="159"/>
      <c r="ACH151" s="159"/>
      <c r="ACI151" s="159"/>
      <c r="ACJ151" s="159"/>
      <c r="ACK151" s="159"/>
      <c r="ACL151" s="159"/>
      <c r="ACM151" s="159"/>
      <c r="ACN151" s="159"/>
      <c r="ACO151" s="159"/>
      <c r="ACP151" s="159"/>
      <c r="ACQ151" s="159"/>
      <c r="ACR151" s="159"/>
      <c r="ACS151" s="159"/>
      <c r="ACT151" s="159"/>
      <c r="ACU151" s="159"/>
      <c r="ACV151" s="159"/>
      <c r="ACW151" s="159"/>
      <c r="ACX151" s="159"/>
      <c r="ACY151" s="159"/>
      <c r="ACZ151" s="159"/>
      <c r="ADA151" s="159"/>
      <c r="ADB151" s="159"/>
      <c r="ADC151" s="159"/>
      <c r="ADD151" s="159"/>
      <c r="ADE151" s="159"/>
      <c r="ADF151" s="159"/>
      <c r="ADG151" s="159"/>
      <c r="ADH151" s="159"/>
      <c r="ADI151" s="159"/>
      <c r="ADJ151" s="159"/>
      <c r="ADK151" s="159"/>
      <c r="ADL151" s="159"/>
      <c r="ADM151" s="159"/>
      <c r="ADN151" s="159"/>
      <c r="ADO151" s="159"/>
      <c r="ADP151" s="159"/>
      <c r="ADQ151" s="159"/>
      <c r="ADR151" s="159"/>
      <c r="ADS151" s="159"/>
      <c r="ADT151" s="159"/>
      <c r="ADU151" s="159"/>
      <c r="ADV151" s="159"/>
      <c r="ADW151" s="159"/>
      <c r="ADX151" s="159"/>
      <c r="ADY151" s="159"/>
      <c r="ADZ151" s="159"/>
      <c r="AEA151" s="159"/>
      <c r="AEB151" s="159"/>
      <c r="AEC151" s="159"/>
      <c r="AED151" s="159"/>
      <c r="AEE151" s="159"/>
      <c r="AEF151" s="159"/>
      <c r="AEG151" s="159"/>
      <c r="AEH151" s="159"/>
      <c r="AEI151" s="159"/>
      <c r="AEJ151" s="159"/>
      <c r="AEK151" s="159"/>
      <c r="AEL151" s="159"/>
      <c r="AEM151" s="159"/>
      <c r="AEN151" s="159"/>
      <c r="AEO151" s="159"/>
      <c r="AEP151" s="159"/>
      <c r="AEQ151" s="159"/>
      <c r="AER151" s="159"/>
      <c r="AES151" s="159"/>
      <c r="AET151" s="159"/>
      <c r="AEU151" s="159"/>
      <c r="AEV151" s="159"/>
      <c r="AEW151" s="159"/>
      <c r="AEX151" s="159"/>
      <c r="AEY151" s="159"/>
      <c r="AEZ151" s="159"/>
      <c r="AFA151" s="159"/>
      <c r="AFB151" s="159"/>
      <c r="AFC151" s="159"/>
      <c r="AFD151" s="159"/>
      <c r="AFE151" s="159"/>
      <c r="AFF151" s="159"/>
      <c r="AFG151" s="159"/>
      <c r="AFH151" s="159"/>
      <c r="AFI151" s="159"/>
      <c r="AFJ151" s="159"/>
      <c r="AFK151" s="159"/>
      <c r="AFL151" s="159"/>
      <c r="AFM151" s="159"/>
      <c r="AFN151" s="159"/>
      <c r="AFO151" s="159"/>
      <c r="AFP151" s="159"/>
      <c r="AFQ151" s="159"/>
      <c r="AFR151" s="159"/>
      <c r="AFS151" s="159"/>
      <c r="AFT151" s="159"/>
      <c r="AFU151" s="159"/>
      <c r="AFV151" s="159"/>
      <c r="AFW151" s="159"/>
      <c r="AFX151" s="159"/>
      <c r="AFY151" s="159"/>
      <c r="AFZ151" s="159"/>
      <c r="AGA151" s="159"/>
      <c r="AGB151" s="159"/>
      <c r="AGC151" s="159"/>
      <c r="AGD151" s="159"/>
      <c r="AGE151" s="159"/>
      <c r="AGF151" s="159"/>
      <c r="AGG151" s="159"/>
      <c r="AGH151" s="159"/>
      <c r="AGI151" s="159"/>
      <c r="AGJ151" s="159"/>
      <c r="AGK151" s="159"/>
      <c r="AGL151" s="159"/>
      <c r="AGM151" s="159"/>
      <c r="AGN151" s="159"/>
      <c r="AGO151" s="159"/>
      <c r="AGP151" s="159"/>
      <c r="AGQ151" s="159"/>
      <c r="AGR151" s="159"/>
      <c r="AGS151" s="159"/>
      <c r="AGT151" s="159"/>
      <c r="AGU151" s="159"/>
      <c r="AGV151" s="159"/>
      <c r="AGW151" s="159"/>
      <c r="AGX151" s="159"/>
      <c r="AGY151" s="159"/>
      <c r="AGZ151" s="159"/>
      <c r="AHA151" s="159"/>
      <c r="AHB151" s="159"/>
      <c r="AHC151" s="159"/>
      <c r="AHD151" s="159"/>
      <c r="AHE151" s="159"/>
      <c r="AHF151" s="159"/>
      <c r="AHG151" s="159"/>
      <c r="AHH151" s="159"/>
      <c r="AHI151" s="159"/>
      <c r="AHJ151" s="159"/>
      <c r="AHK151" s="159"/>
      <c r="AHL151" s="159"/>
      <c r="AHM151" s="159"/>
      <c r="AHN151" s="159"/>
      <c r="AHO151" s="159"/>
      <c r="AHP151" s="159"/>
      <c r="AHQ151" s="159"/>
      <c r="AHR151" s="159"/>
      <c r="AHS151" s="159"/>
      <c r="AHT151" s="159"/>
      <c r="AHU151" s="159"/>
      <c r="AHV151" s="159"/>
      <c r="AHW151" s="159"/>
      <c r="AHX151" s="159"/>
      <c r="AHY151" s="159"/>
      <c r="AHZ151" s="159"/>
      <c r="AIA151" s="159"/>
      <c r="AIB151" s="159"/>
      <c r="AIC151" s="159"/>
      <c r="AID151" s="159"/>
      <c r="AIE151" s="159"/>
      <c r="AIF151" s="159"/>
      <c r="AIG151" s="159"/>
      <c r="AIH151" s="159"/>
      <c r="AII151" s="159"/>
      <c r="AIJ151" s="159"/>
      <c r="AIK151" s="159"/>
      <c r="AIL151" s="159"/>
      <c r="AIM151" s="159"/>
      <c r="AIN151" s="159"/>
      <c r="AIO151" s="159"/>
      <c r="AIP151" s="159"/>
      <c r="AIQ151" s="159"/>
      <c r="AIR151" s="159"/>
      <c r="AIS151" s="159"/>
      <c r="AIT151" s="159"/>
      <c r="AIU151" s="159"/>
      <c r="AIV151" s="159"/>
      <c r="AIW151" s="159"/>
      <c r="AIX151" s="159"/>
      <c r="AIY151" s="159"/>
      <c r="AIZ151" s="159"/>
      <c r="AJA151" s="159"/>
      <c r="AJB151" s="159"/>
      <c r="AJC151" s="159"/>
      <c r="AJD151" s="159"/>
      <c r="AJE151" s="159"/>
      <c r="AJF151" s="159"/>
      <c r="AJG151" s="159"/>
      <c r="AJH151" s="159"/>
      <c r="AJI151" s="159"/>
      <c r="AJJ151" s="159"/>
      <c r="AJK151" s="159"/>
      <c r="AJL151" s="159"/>
      <c r="AJM151" s="159"/>
      <c r="AJN151" s="159"/>
      <c r="AJO151" s="159"/>
      <c r="AJP151" s="159"/>
      <c r="AJQ151" s="159"/>
      <c r="AJR151" s="159"/>
      <c r="AJS151" s="159"/>
      <c r="AJT151" s="159"/>
      <c r="AJU151" s="159"/>
      <c r="AJV151" s="159"/>
      <c r="AJW151" s="159"/>
      <c r="AJX151" s="159"/>
      <c r="AJY151" s="159"/>
      <c r="AJZ151" s="159"/>
      <c r="AKA151" s="159"/>
      <c r="AKB151" s="159"/>
      <c r="AKC151" s="159"/>
      <c r="AKD151" s="159"/>
      <c r="AKE151" s="159"/>
      <c r="AKF151" s="159"/>
      <c r="AKG151" s="159"/>
      <c r="AKH151" s="159"/>
      <c r="AKI151" s="159"/>
      <c r="AKJ151" s="159"/>
      <c r="AKK151" s="159"/>
      <c r="AKL151" s="159"/>
      <c r="AKM151" s="159"/>
      <c r="AKN151" s="159"/>
      <c r="AKO151" s="159"/>
      <c r="AKP151" s="159"/>
      <c r="AKQ151" s="159"/>
      <c r="AKR151" s="159"/>
      <c r="AKS151" s="159"/>
      <c r="AKT151" s="159"/>
      <c r="AKU151" s="159"/>
      <c r="AKV151" s="159"/>
      <c r="AKW151" s="159"/>
      <c r="AKX151" s="159"/>
      <c r="AKY151" s="159"/>
      <c r="AKZ151" s="159"/>
      <c r="ALA151" s="159"/>
      <c r="ALB151" s="159"/>
      <c r="ALC151" s="159"/>
      <c r="ALD151" s="159"/>
      <c r="ALE151" s="159"/>
      <c r="ALF151" s="159"/>
      <c r="ALG151" s="159"/>
      <c r="ALH151" s="159"/>
      <c r="ALI151" s="159"/>
      <c r="ALJ151" s="159"/>
      <c r="ALK151" s="159"/>
      <c r="ALL151" s="159"/>
      <c r="ALM151" s="159"/>
      <c r="ALN151" s="159"/>
      <c r="ALO151" s="159"/>
      <c r="ALP151" s="159"/>
      <c r="ALQ151" s="159"/>
      <c r="ALR151" s="159"/>
      <c r="ALS151" s="159"/>
      <c r="ALT151" s="159"/>
      <c r="ALU151" s="159"/>
      <c r="ALV151" s="159"/>
      <c r="ALW151" s="159"/>
      <c r="ALX151" s="159"/>
      <c r="ALY151" s="159"/>
      <c r="ALZ151" s="159"/>
      <c r="AMA151" s="159"/>
      <c r="AMB151" s="159"/>
      <c r="AMC151" s="159"/>
      <c r="AMD151" s="159"/>
      <c r="AME151" s="159"/>
      <c r="AMF151" s="159"/>
      <c r="AMG151" s="159"/>
      <c r="AMH151" s="159"/>
      <c r="AMI151" s="159"/>
      <c r="AMJ151" s="159"/>
      <c r="AMK151" s="159"/>
      <c r="AML151" s="159"/>
      <c r="AMM151" s="159"/>
      <c r="AMN151" s="159"/>
      <c r="AMO151" s="159"/>
    </row>
    <row r="152" spans="1:1029" x14ac:dyDescent="0.25">
      <c r="A152" s="8">
        <v>46233</v>
      </c>
      <c r="B152" s="16" t="s">
        <v>8</v>
      </c>
      <c r="C152" s="16" t="s">
        <v>57</v>
      </c>
      <c r="D152" s="105" t="s">
        <v>31</v>
      </c>
      <c r="E152" s="18" t="s">
        <v>22</v>
      </c>
      <c r="F152" s="13" t="s">
        <v>57</v>
      </c>
      <c r="G152" s="13" t="s">
        <v>31</v>
      </c>
      <c r="H152" s="17">
        <f t="shared" si="12"/>
        <v>1</v>
      </c>
      <c r="I152" s="13" t="s">
        <v>22</v>
      </c>
      <c r="J152" s="13" t="s">
        <v>57</v>
      </c>
      <c r="K152" s="13" t="s">
        <v>31</v>
      </c>
      <c r="L152" s="17">
        <f t="shared" si="13"/>
        <v>1</v>
      </c>
      <c r="M152" s="13" t="str">
        <f>CHOOSE(MATCH(MAX(SUM($H$9:H151), SUM($L$9:L151), SUM($T$9:T151)),CHOOSE({1;2;3}, SUM($H$9:H151), SUM($L$9:L151), SUM($T$9:T151)),0),E152,I152,Q152)</f>
        <v>Arrabbiata</v>
      </c>
      <c r="N152" s="13" t="str">
        <f>CHOOSE(MATCH(MAX(SUM($H$9:H151), SUM($L$9:L151), SUM($T$9:T151)),CHOOSE({1;2;3}, SUM($H$9:H151), SUM($L$9:L151), SUM($T$9:T151)),0),F152,J152,R152)</f>
        <v>Truthahnschnitzel</v>
      </c>
      <c r="O152" s="13" t="str">
        <f>CHOOSE(MATCH(MAX(SUM($H$9:H151), SUM($L$9:L151), SUM($T$9:T151)),CHOOSE({1;2;3}, SUM($H$9:H151), SUM($L$9:L151), SUM($T$9:T151)),0),G152,K152,S152)</f>
        <v>Pommes</v>
      </c>
      <c r="P152" s="17">
        <f t="shared" si="14"/>
        <v>1</v>
      </c>
      <c r="Q152" s="19" t="s">
        <v>76</v>
      </c>
      <c r="R152" s="16" t="s">
        <v>51</v>
      </c>
      <c r="S152" s="16" t="s">
        <v>13</v>
      </c>
      <c r="T152" s="17" t="b">
        <f t="shared" si="15"/>
        <v>0</v>
      </c>
    </row>
    <row r="153" spans="1:1029" ht="15.75" thickBot="1" x14ac:dyDescent="0.3">
      <c r="A153" s="107">
        <v>46234</v>
      </c>
      <c r="B153" s="69" t="s">
        <v>9</v>
      </c>
      <c r="C153" s="69" t="s">
        <v>9</v>
      </c>
      <c r="D153" s="108" t="s">
        <v>9</v>
      </c>
      <c r="E153" s="109" t="s">
        <v>193</v>
      </c>
      <c r="F153" s="110" t="s">
        <v>30</v>
      </c>
      <c r="G153" s="110" t="s">
        <v>27</v>
      </c>
      <c r="H153" s="148" t="b">
        <f t="shared" si="12"/>
        <v>0</v>
      </c>
      <c r="I153" s="116" t="s">
        <v>193</v>
      </c>
      <c r="J153" s="116" t="s">
        <v>30</v>
      </c>
      <c r="K153" s="116" t="s">
        <v>27</v>
      </c>
      <c r="L153" s="148" t="b">
        <f t="shared" si="13"/>
        <v>0</v>
      </c>
      <c r="M153" s="116" t="str">
        <f>CHOOSE(MATCH(MAX(SUM($H$9:H152), SUM($L$9:L152), SUM($T$9:T152)),CHOOSE({1;2;3}, SUM($H$9:H152), SUM($L$9:L152), SUM($T$9:T152)),0),E153,I153,Q153)</f>
        <v>Aglio Olio</v>
      </c>
      <c r="N153" s="116" t="str">
        <f>CHOOSE(MATCH(MAX(SUM($H$9:H152), SUM($L$9:L152), SUM($T$9:T152)),CHOOSE({1;2;3}, SUM($H$9:H152), SUM($L$9:L152), SUM($T$9:T152)),0),F153,J153,R153)</f>
        <v>Hühnerhaxlen</v>
      </c>
      <c r="O153" s="116" t="str">
        <f>CHOOSE(MATCH(MAX(SUM($H$9:H152), SUM($L$9:L152), SUM($T$9:T152)),CHOOSE({1;2;3}, SUM($H$9:H152), SUM($L$9:L152), SUM($T$9:T152)),0),G153,K153,S153)</f>
        <v>Ofenkartoffeln</v>
      </c>
      <c r="P153" s="148" t="b">
        <f t="shared" si="14"/>
        <v>0</v>
      </c>
      <c r="Q153" s="110" t="s">
        <v>28</v>
      </c>
      <c r="R153" s="69" t="s">
        <v>28</v>
      </c>
      <c r="S153" s="69" t="s">
        <v>28</v>
      </c>
      <c r="T153" s="148" t="b">
        <f t="shared" si="15"/>
        <v>0</v>
      </c>
    </row>
    <row r="154" spans="1:1029" s="161" customFormat="1" ht="26.25" thickTop="1" x14ac:dyDescent="0.25">
      <c r="A154" s="170">
        <v>46237</v>
      </c>
      <c r="B154" s="100" t="s">
        <v>193</v>
      </c>
      <c r="C154" s="100" t="s">
        <v>283</v>
      </c>
      <c r="D154" s="171" t="s">
        <v>284</v>
      </c>
      <c r="E154" s="122" t="s">
        <v>101</v>
      </c>
      <c r="F154" s="123" t="s">
        <v>82</v>
      </c>
      <c r="G154" s="123" t="s">
        <v>284</v>
      </c>
      <c r="H154" s="143">
        <f t="shared" si="12"/>
        <v>0.5</v>
      </c>
      <c r="I154" s="122" t="s">
        <v>22</v>
      </c>
      <c r="J154" s="123" t="s">
        <v>130</v>
      </c>
      <c r="K154" s="123" t="s">
        <v>284</v>
      </c>
      <c r="L154" s="143">
        <f t="shared" si="13"/>
        <v>0.5</v>
      </c>
      <c r="M154" s="123" t="s">
        <v>19</v>
      </c>
      <c r="N154" s="123" t="s">
        <v>130</v>
      </c>
      <c r="O154" s="123" t="s">
        <v>284</v>
      </c>
      <c r="P154" s="143">
        <f t="shared" si="14"/>
        <v>0.5</v>
      </c>
      <c r="Q154" s="123" t="s">
        <v>22</v>
      </c>
      <c r="R154" s="100" t="s">
        <v>74</v>
      </c>
      <c r="S154" s="100" t="s">
        <v>27</v>
      </c>
      <c r="T154" s="143" t="b">
        <f t="shared" si="15"/>
        <v>0</v>
      </c>
      <c r="U154" s="159"/>
      <c r="V154" s="159"/>
      <c r="W154" s="159"/>
      <c r="X154" s="159"/>
      <c r="Y154" s="159"/>
      <c r="Z154" s="159"/>
      <c r="AA154" s="159"/>
      <c r="AB154" s="159"/>
      <c r="AC154" s="159"/>
      <c r="AD154" s="159"/>
      <c r="AE154" s="159"/>
      <c r="AF154" s="159"/>
      <c r="AG154" s="159"/>
      <c r="AH154" s="159"/>
      <c r="AI154" s="159"/>
      <c r="AJ154" s="159"/>
      <c r="AK154" s="159"/>
      <c r="AL154" s="159"/>
      <c r="AM154" s="159"/>
      <c r="AN154" s="159"/>
      <c r="AO154" s="159"/>
      <c r="AP154" s="159"/>
      <c r="AQ154" s="159"/>
      <c r="AR154" s="159"/>
      <c r="AS154" s="159"/>
      <c r="AT154" s="159"/>
      <c r="AU154" s="159"/>
      <c r="AV154" s="159"/>
      <c r="AW154" s="159"/>
      <c r="AX154" s="159"/>
      <c r="AY154" s="159"/>
      <c r="AZ154" s="159"/>
      <c r="BA154" s="159"/>
      <c r="BB154" s="159"/>
      <c r="BC154" s="159"/>
      <c r="BD154" s="159"/>
      <c r="BE154" s="159"/>
      <c r="BF154" s="159"/>
      <c r="BG154" s="159"/>
      <c r="BH154" s="159"/>
      <c r="BI154" s="159"/>
      <c r="BJ154" s="159"/>
      <c r="BK154" s="159"/>
      <c r="BL154" s="159"/>
      <c r="BM154" s="159"/>
      <c r="BN154" s="159"/>
      <c r="BO154" s="159"/>
      <c r="BP154" s="159"/>
      <c r="BQ154" s="159"/>
      <c r="BR154" s="159"/>
      <c r="BS154" s="159"/>
      <c r="BT154" s="159"/>
      <c r="BU154" s="159"/>
      <c r="BV154" s="159"/>
      <c r="BW154" s="159"/>
      <c r="BX154" s="159"/>
      <c r="BY154" s="159"/>
      <c r="BZ154" s="159"/>
      <c r="CA154" s="159"/>
      <c r="CB154" s="159"/>
      <c r="CC154" s="159"/>
      <c r="CD154" s="159"/>
      <c r="CE154" s="159"/>
      <c r="CF154" s="159"/>
      <c r="CG154" s="159"/>
      <c r="CH154" s="159"/>
      <c r="CI154" s="159"/>
      <c r="CJ154" s="159"/>
      <c r="CK154" s="159"/>
      <c r="CL154" s="159"/>
      <c r="CM154" s="159"/>
      <c r="CN154" s="159"/>
      <c r="CO154" s="159"/>
      <c r="CP154" s="159"/>
      <c r="CQ154" s="159"/>
      <c r="CR154" s="159"/>
      <c r="CS154" s="159"/>
      <c r="CT154" s="159"/>
      <c r="CU154" s="159"/>
      <c r="CV154" s="159"/>
      <c r="CW154" s="159"/>
      <c r="CX154" s="159"/>
      <c r="CY154" s="159"/>
      <c r="CZ154" s="159"/>
      <c r="DA154" s="159"/>
      <c r="DB154" s="159"/>
      <c r="DC154" s="159"/>
      <c r="DD154" s="159"/>
      <c r="DE154" s="159"/>
      <c r="DF154" s="159"/>
      <c r="DG154" s="159"/>
      <c r="DH154" s="159"/>
      <c r="DI154" s="159"/>
      <c r="DJ154" s="159"/>
      <c r="DK154" s="159"/>
      <c r="DL154" s="159"/>
      <c r="DM154" s="159"/>
      <c r="DN154" s="159"/>
      <c r="DO154" s="159"/>
      <c r="DP154" s="159"/>
      <c r="DQ154" s="159"/>
      <c r="DR154" s="159"/>
      <c r="DS154" s="159"/>
      <c r="DT154" s="159"/>
      <c r="DU154" s="159"/>
      <c r="DV154" s="159"/>
      <c r="DW154" s="159"/>
      <c r="DX154" s="159"/>
      <c r="DY154" s="159"/>
      <c r="DZ154" s="159"/>
      <c r="EA154" s="159"/>
      <c r="EB154" s="159"/>
      <c r="EC154" s="159"/>
      <c r="ED154" s="159"/>
      <c r="EE154" s="159"/>
      <c r="EF154" s="159"/>
      <c r="EG154" s="159"/>
      <c r="EH154" s="159"/>
      <c r="EI154" s="159"/>
      <c r="EJ154" s="159"/>
      <c r="EK154" s="159"/>
      <c r="EL154" s="159"/>
      <c r="EM154" s="159"/>
      <c r="EN154" s="159"/>
      <c r="EO154" s="159"/>
      <c r="EP154" s="159"/>
      <c r="EQ154" s="159"/>
      <c r="ER154" s="159"/>
      <c r="ES154" s="159"/>
      <c r="ET154" s="159"/>
      <c r="EU154" s="159"/>
      <c r="EV154" s="159"/>
      <c r="EW154" s="159"/>
      <c r="EX154" s="159"/>
      <c r="EY154" s="159"/>
      <c r="EZ154" s="159"/>
      <c r="FA154" s="159"/>
      <c r="FB154" s="159"/>
      <c r="FC154" s="159"/>
      <c r="FD154" s="159"/>
      <c r="FE154" s="159"/>
      <c r="FF154" s="159"/>
      <c r="FG154" s="159"/>
      <c r="FH154" s="159"/>
      <c r="FI154" s="159"/>
      <c r="FJ154" s="159"/>
      <c r="FK154" s="159"/>
      <c r="FL154" s="159"/>
      <c r="FM154" s="159"/>
      <c r="FN154" s="159"/>
      <c r="FO154" s="159"/>
      <c r="FP154" s="159"/>
      <c r="FQ154" s="159"/>
      <c r="FR154" s="159"/>
      <c r="FS154" s="159"/>
      <c r="FT154" s="159"/>
      <c r="FU154" s="159"/>
      <c r="FV154" s="159"/>
      <c r="FW154" s="159"/>
      <c r="FX154" s="159"/>
      <c r="FY154" s="159"/>
      <c r="FZ154" s="159"/>
      <c r="GA154" s="159"/>
      <c r="GB154" s="159"/>
      <c r="GC154" s="159"/>
      <c r="GD154" s="159"/>
      <c r="GE154" s="159"/>
      <c r="GF154" s="159"/>
      <c r="GG154" s="159"/>
      <c r="GH154" s="159"/>
      <c r="GI154" s="159"/>
      <c r="GJ154" s="159"/>
      <c r="GK154" s="159"/>
      <c r="GL154" s="159"/>
      <c r="GM154" s="159"/>
      <c r="GN154" s="159"/>
      <c r="GO154" s="159"/>
      <c r="GP154" s="159"/>
      <c r="GQ154" s="159"/>
      <c r="GR154" s="159"/>
      <c r="GS154" s="159"/>
      <c r="GT154" s="159"/>
      <c r="GU154" s="159"/>
      <c r="GV154" s="159"/>
      <c r="GW154" s="159"/>
      <c r="GX154" s="159"/>
      <c r="GY154" s="159"/>
      <c r="GZ154" s="159"/>
      <c r="HA154" s="159"/>
      <c r="HB154" s="159"/>
      <c r="HC154" s="159"/>
      <c r="HD154" s="159"/>
      <c r="HE154" s="159"/>
      <c r="HF154" s="159"/>
      <c r="HG154" s="159"/>
      <c r="HH154" s="159"/>
      <c r="HI154" s="159"/>
      <c r="HJ154" s="159"/>
      <c r="HK154" s="159"/>
      <c r="HL154" s="159"/>
      <c r="HM154" s="159"/>
      <c r="HN154" s="159"/>
      <c r="HO154" s="159"/>
      <c r="HP154" s="159"/>
      <c r="HQ154" s="159"/>
      <c r="HR154" s="159"/>
      <c r="HS154" s="159"/>
      <c r="HT154" s="159"/>
      <c r="HU154" s="159"/>
      <c r="HV154" s="159"/>
      <c r="HW154" s="159"/>
      <c r="HX154" s="159"/>
      <c r="HY154" s="159"/>
      <c r="HZ154" s="159"/>
      <c r="IA154" s="159"/>
      <c r="IB154" s="159"/>
      <c r="IC154" s="159"/>
      <c r="ID154" s="159"/>
      <c r="IE154" s="159"/>
      <c r="IF154" s="159"/>
      <c r="IG154" s="159"/>
      <c r="IH154" s="159"/>
      <c r="II154" s="159"/>
      <c r="IJ154" s="159"/>
      <c r="IK154" s="159"/>
      <c r="IL154" s="159"/>
      <c r="IM154" s="159"/>
      <c r="IN154" s="159"/>
      <c r="IO154" s="159"/>
      <c r="IP154" s="159"/>
      <c r="IQ154" s="159"/>
      <c r="IR154" s="159"/>
      <c r="IS154" s="159"/>
      <c r="IT154" s="159"/>
      <c r="IU154" s="159"/>
      <c r="IV154" s="159"/>
      <c r="IW154" s="159"/>
      <c r="IX154" s="159"/>
      <c r="IY154" s="159"/>
      <c r="IZ154" s="159"/>
      <c r="JA154" s="159"/>
      <c r="JB154" s="159"/>
      <c r="JC154" s="159"/>
      <c r="JD154" s="159"/>
      <c r="JE154" s="159"/>
      <c r="JF154" s="159"/>
      <c r="JG154" s="159"/>
      <c r="JH154" s="159"/>
      <c r="JI154" s="159"/>
      <c r="JJ154" s="159"/>
      <c r="JK154" s="159"/>
      <c r="JL154" s="159"/>
      <c r="JM154" s="159"/>
      <c r="JN154" s="159"/>
      <c r="JO154" s="159"/>
      <c r="JP154" s="159"/>
      <c r="JQ154" s="159"/>
      <c r="JR154" s="159"/>
      <c r="JS154" s="159"/>
      <c r="JT154" s="159"/>
      <c r="JU154" s="159"/>
      <c r="JV154" s="159"/>
      <c r="JW154" s="159"/>
      <c r="JX154" s="159"/>
      <c r="JY154" s="159"/>
      <c r="JZ154" s="159"/>
      <c r="KA154" s="159"/>
      <c r="KB154" s="159"/>
      <c r="KC154" s="159"/>
      <c r="KD154" s="159"/>
      <c r="KE154" s="159"/>
      <c r="KF154" s="159"/>
      <c r="KG154" s="159"/>
      <c r="KH154" s="159"/>
      <c r="KI154" s="159"/>
      <c r="KJ154" s="159"/>
      <c r="KK154" s="159"/>
      <c r="KL154" s="159"/>
      <c r="KM154" s="159"/>
      <c r="KN154" s="159"/>
      <c r="KO154" s="159"/>
      <c r="KP154" s="159"/>
      <c r="KQ154" s="159"/>
      <c r="KR154" s="159"/>
      <c r="KS154" s="159"/>
      <c r="KT154" s="159"/>
      <c r="KU154" s="159"/>
      <c r="KV154" s="159"/>
      <c r="KW154" s="159"/>
      <c r="KX154" s="159"/>
      <c r="KY154" s="159"/>
      <c r="KZ154" s="159"/>
      <c r="LA154" s="159"/>
      <c r="LB154" s="159"/>
      <c r="LC154" s="159"/>
      <c r="LD154" s="159"/>
      <c r="LE154" s="159"/>
      <c r="LF154" s="159"/>
      <c r="LG154" s="159"/>
      <c r="LH154" s="159"/>
      <c r="LI154" s="159"/>
      <c r="LJ154" s="159"/>
      <c r="LK154" s="159"/>
      <c r="LL154" s="159"/>
      <c r="LM154" s="159"/>
      <c r="LN154" s="159"/>
      <c r="LO154" s="159"/>
      <c r="LP154" s="159"/>
      <c r="LQ154" s="159"/>
      <c r="LR154" s="159"/>
      <c r="LS154" s="159"/>
      <c r="LT154" s="159"/>
      <c r="LU154" s="159"/>
      <c r="LV154" s="159"/>
      <c r="LW154" s="159"/>
      <c r="LX154" s="159"/>
      <c r="LY154" s="159"/>
      <c r="LZ154" s="159"/>
      <c r="MA154" s="159"/>
      <c r="MB154" s="159"/>
      <c r="MC154" s="159"/>
      <c r="MD154" s="159"/>
      <c r="ME154" s="159"/>
      <c r="MF154" s="159"/>
      <c r="MG154" s="159"/>
      <c r="MH154" s="159"/>
      <c r="MI154" s="159"/>
      <c r="MJ154" s="159"/>
      <c r="MK154" s="159"/>
      <c r="ML154" s="159"/>
      <c r="MM154" s="159"/>
      <c r="MN154" s="159"/>
      <c r="MO154" s="159"/>
      <c r="MP154" s="159"/>
      <c r="MQ154" s="159"/>
      <c r="MR154" s="159"/>
      <c r="MS154" s="159"/>
      <c r="MT154" s="159"/>
      <c r="MU154" s="159"/>
      <c r="MV154" s="159"/>
      <c r="MW154" s="159"/>
      <c r="MX154" s="159"/>
      <c r="MY154" s="159"/>
      <c r="MZ154" s="159"/>
      <c r="NA154" s="159"/>
      <c r="NB154" s="159"/>
      <c r="NC154" s="159"/>
      <c r="ND154" s="159"/>
      <c r="NE154" s="159"/>
      <c r="NF154" s="159"/>
      <c r="NG154" s="159"/>
      <c r="NH154" s="159"/>
      <c r="NI154" s="159"/>
      <c r="NJ154" s="159"/>
      <c r="NK154" s="159"/>
      <c r="NL154" s="159"/>
      <c r="NM154" s="159"/>
      <c r="NN154" s="159"/>
      <c r="NO154" s="159"/>
      <c r="NP154" s="159"/>
      <c r="NQ154" s="159"/>
      <c r="NR154" s="159"/>
      <c r="NS154" s="159"/>
      <c r="NT154" s="159"/>
      <c r="NU154" s="159"/>
      <c r="NV154" s="159"/>
      <c r="NW154" s="159"/>
      <c r="NX154" s="159"/>
      <c r="NY154" s="159"/>
      <c r="NZ154" s="159"/>
      <c r="OA154" s="159"/>
      <c r="OB154" s="159"/>
      <c r="OC154" s="159"/>
      <c r="OD154" s="159"/>
      <c r="OE154" s="159"/>
      <c r="OF154" s="159"/>
      <c r="OG154" s="159"/>
      <c r="OH154" s="159"/>
      <c r="OI154" s="159"/>
      <c r="OJ154" s="159"/>
      <c r="OK154" s="159"/>
      <c r="OL154" s="159"/>
      <c r="OM154" s="159"/>
      <c r="ON154" s="159"/>
      <c r="OO154" s="159"/>
      <c r="OP154" s="159"/>
      <c r="OQ154" s="159"/>
      <c r="OR154" s="159"/>
      <c r="OS154" s="159"/>
      <c r="OT154" s="159"/>
      <c r="OU154" s="159"/>
      <c r="OV154" s="159"/>
      <c r="OW154" s="159"/>
      <c r="OX154" s="159"/>
      <c r="OY154" s="159"/>
      <c r="OZ154" s="159"/>
      <c r="PA154" s="159"/>
      <c r="PB154" s="159"/>
      <c r="PC154" s="159"/>
      <c r="PD154" s="159"/>
      <c r="PE154" s="159"/>
      <c r="PF154" s="159"/>
      <c r="PG154" s="159"/>
      <c r="PH154" s="159"/>
      <c r="PI154" s="159"/>
      <c r="PJ154" s="159"/>
      <c r="PK154" s="159"/>
      <c r="PL154" s="159"/>
      <c r="PM154" s="159"/>
      <c r="PN154" s="159"/>
      <c r="PO154" s="159"/>
      <c r="PP154" s="159"/>
      <c r="PQ154" s="159"/>
      <c r="PR154" s="159"/>
      <c r="PS154" s="159"/>
      <c r="PT154" s="159"/>
      <c r="PU154" s="159"/>
      <c r="PV154" s="159"/>
      <c r="PW154" s="159"/>
      <c r="PX154" s="159"/>
      <c r="PY154" s="159"/>
      <c r="PZ154" s="159"/>
      <c r="QA154" s="159"/>
      <c r="QB154" s="159"/>
      <c r="QC154" s="159"/>
      <c r="QD154" s="159"/>
      <c r="QE154" s="159"/>
      <c r="QF154" s="159"/>
      <c r="QG154" s="159"/>
      <c r="QH154" s="159"/>
      <c r="QI154" s="159"/>
      <c r="QJ154" s="159"/>
      <c r="QK154" s="159"/>
      <c r="QL154" s="159"/>
      <c r="QM154" s="159"/>
      <c r="QN154" s="159"/>
      <c r="QO154" s="159"/>
      <c r="QP154" s="159"/>
      <c r="QQ154" s="159"/>
      <c r="QR154" s="159"/>
      <c r="QS154" s="159"/>
      <c r="QT154" s="159"/>
      <c r="QU154" s="159"/>
      <c r="QV154" s="159"/>
      <c r="QW154" s="159"/>
      <c r="QX154" s="159"/>
      <c r="QY154" s="159"/>
      <c r="QZ154" s="159"/>
      <c r="RA154" s="159"/>
      <c r="RB154" s="159"/>
      <c r="RC154" s="159"/>
      <c r="RD154" s="159"/>
      <c r="RE154" s="159"/>
      <c r="RF154" s="159"/>
      <c r="RG154" s="159"/>
      <c r="RH154" s="159"/>
      <c r="RI154" s="159"/>
      <c r="RJ154" s="159"/>
      <c r="RK154" s="159"/>
      <c r="RL154" s="159"/>
      <c r="RM154" s="159"/>
      <c r="RN154" s="159"/>
      <c r="RO154" s="159"/>
      <c r="RP154" s="159"/>
      <c r="RQ154" s="159"/>
      <c r="RR154" s="159"/>
      <c r="RS154" s="159"/>
      <c r="RT154" s="159"/>
      <c r="RU154" s="159"/>
      <c r="RV154" s="159"/>
      <c r="RW154" s="159"/>
      <c r="RX154" s="159"/>
      <c r="RY154" s="159"/>
      <c r="RZ154" s="159"/>
      <c r="SA154" s="159"/>
      <c r="SB154" s="159"/>
      <c r="SC154" s="159"/>
      <c r="SD154" s="159"/>
      <c r="SE154" s="159"/>
      <c r="SF154" s="159"/>
      <c r="SG154" s="159"/>
      <c r="SH154" s="159"/>
      <c r="SI154" s="159"/>
      <c r="SJ154" s="159"/>
      <c r="SK154" s="159"/>
      <c r="SL154" s="159"/>
      <c r="SM154" s="159"/>
      <c r="SN154" s="159"/>
      <c r="SO154" s="159"/>
      <c r="SP154" s="159"/>
      <c r="SQ154" s="159"/>
      <c r="SR154" s="159"/>
      <c r="SS154" s="159"/>
      <c r="ST154" s="159"/>
      <c r="SU154" s="159"/>
      <c r="SV154" s="159"/>
      <c r="SW154" s="159"/>
      <c r="SX154" s="159"/>
      <c r="SY154" s="159"/>
      <c r="SZ154" s="159"/>
      <c r="TA154" s="159"/>
      <c r="TB154" s="159"/>
      <c r="TC154" s="159"/>
      <c r="TD154" s="159"/>
      <c r="TE154" s="159"/>
      <c r="TF154" s="159"/>
      <c r="TG154" s="159"/>
      <c r="TH154" s="159"/>
      <c r="TI154" s="159"/>
      <c r="TJ154" s="159"/>
      <c r="TK154" s="159"/>
      <c r="TL154" s="159"/>
      <c r="TM154" s="159"/>
      <c r="TN154" s="159"/>
      <c r="TO154" s="159"/>
      <c r="TP154" s="159"/>
      <c r="TQ154" s="159"/>
      <c r="TR154" s="159"/>
      <c r="TS154" s="159"/>
      <c r="TT154" s="159"/>
      <c r="TU154" s="159"/>
      <c r="TV154" s="159"/>
      <c r="TW154" s="159"/>
      <c r="TX154" s="159"/>
      <c r="TY154" s="159"/>
      <c r="TZ154" s="159"/>
      <c r="UA154" s="159"/>
      <c r="UB154" s="159"/>
      <c r="UC154" s="159"/>
      <c r="UD154" s="159"/>
      <c r="UE154" s="159"/>
      <c r="UF154" s="159"/>
      <c r="UG154" s="159"/>
      <c r="UH154" s="159"/>
      <c r="UI154" s="159"/>
      <c r="UJ154" s="159"/>
      <c r="UK154" s="159"/>
      <c r="UL154" s="159"/>
      <c r="UM154" s="159"/>
      <c r="UN154" s="159"/>
      <c r="UO154" s="159"/>
      <c r="UP154" s="159"/>
      <c r="UQ154" s="159"/>
      <c r="UR154" s="159"/>
      <c r="US154" s="159"/>
      <c r="UT154" s="159"/>
      <c r="UU154" s="159"/>
      <c r="UV154" s="159"/>
      <c r="UW154" s="159"/>
      <c r="UX154" s="159"/>
      <c r="UY154" s="159"/>
      <c r="UZ154" s="159"/>
      <c r="VA154" s="159"/>
      <c r="VB154" s="159"/>
      <c r="VC154" s="159"/>
      <c r="VD154" s="159"/>
      <c r="VE154" s="159"/>
      <c r="VF154" s="159"/>
      <c r="VG154" s="159"/>
      <c r="VH154" s="159"/>
      <c r="VI154" s="159"/>
      <c r="VJ154" s="159"/>
      <c r="VK154" s="159"/>
      <c r="VL154" s="159"/>
      <c r="VM154" s="159"/>
      <c r="VN154" s="159"/>
      <c r="VO154" s="159"/>
      <c r="VP154" s="159"/>
      <c r="VQ154" s="159"/>
      <c r="VR154" s="159"/>
      <c r="VS154" s="159"/>
      <c r="VT154" s="159"/>
      <c r="VU154" s="159"/>
      <c r="VV154" s="159"/>
      <c r="VW154" s="159"/>
      <c r="VX154" s="159"/>
      <c r="VY154" s="159"/>
      <c r="VZ154" s="159"/>
      <c r="WA154" s="159"/>
      <c r="WB154" s="159"/>
      <c r="WC154" s="159"/>
      <c r="WD154" s="159"/>
      <c r="WE154" s="159"/>
      <c r="WF154" s="159"/>
      <c r="WG154" s="159"/>
      <c r="WH154" s="159"/>
      <c r="WI154" s="159"/>
      <c r="WJ154" s="159"/>
      <c r="WK154" s="159"/>
      <c r="WL154" s="159"/>
      <c r="WM154" s="159"/>
      <c r="WN154" s="159"/>
      <c r="WO154" s="159"/>
      <c r="WP154" s="159"/>
      <c r="WQ154" s="159"/>
      <c r="WR154" s="159"/>
      <c r="WS154" s="159"/>
      <c r="WT154" s="159"/>
      <c r="WU154" s="159"/>
      <c r="WV154" s="159"/>
      <c r="WW154" s="159"/>
      <c r="WX154" s="159"/>
      <c r="WY154" s="159"/>
      <c r="WZ154" s="159"/>
      <c r="XA154" s="159"/>
      <c r="XB154" s="159"/>
      <c r="XC154" s="159"/>
      <c r="XD154" s="159"/>
      <c r="XE154" s="159"/>
      <c r="XF154" s="159"/>
      <c r="XG154" s="159"/>
      <c r="XH154" s="159"/>
      <c r="XI154" s="159"/>
      <c r="XJ154" s="159"/>
      <c r="XK154" s="159"/>
      <c r="XL154" s="159"/>
      <c r="XM154" s="159"/>
      <c r="XN154" s="159"/>
      <c r="XO154" s="159"/>
      <c r="XP154" s="159"/>
      <c r="XQ154" s="159"/>
      <c r="XR154" s="159"/>
      <c r="XS154" s="159"/>
      <c r="XT154" s="159"/>
      <c r="XU154" s="159"/>
      <c r="XV154" s="159"/>
      <c r="XW154" s="159"/>
      <c r="XX154" s="159"/>
      <c r="XY154" s="159"/>
      <c r="XZ154" s="159"/>
      <c r="YA154" s="159"/>
      <c r="YB154" s="159"/>
      <c r="YC154" s="159"/>
      <c r="YD154" s="159"/>
      <c r="YE154" s="159"/>
      <c r="YF154" s="159"/>
      <c r="YG154" s="159"/>
      <c r="YH154" s="159"/>
      <c r="YI154" s="159"/>
      <c r="YJ154" s="159"/>
      <c r="YK154" s="159"/>
      <c r="YL154" s="159"/>
      <c r="YM154" s="159"/>
      <c r="YN154" s="159"/>
      <c r="YO154" s="159"/>
      <c r="YP154" s="159"/>
      <c r="YQ154" s="159"/>
      <c r="YR154" s="159"/>
      <c r="YS154" s="159"/>
      <c r="YT154" s="159"/>
      <c r="YU154" s="159"/>
      <c r="YV154" s="159"/>
      <c r="YW154" s="159"/>
      <c r="YX154" s="159"/>
      <c r="YY154" s="159"/>
      <c r="YZ154" s="159"/>
      <c r="ZA154" s="159"/>
      <c r="ZB154" s="159"/>
      <c r="ZC154" s="159"/>
      <c r="ZD154" s="159"/>
      <c r="ZE154" s="159"/>
      <c r="ZF154" s="159"/>
      <c r="ZG154" s="159"/>
      <c r="ZH154" s="159"/>
      <c r="ZI154" s="159"/>
      <c r="ZJ154" s="159"/>
      <c r="ZK154" s="159"/>
      <c r="ZL154" s="159"/>
      <c r="ZM154" s="159"/>
      <c r="ZN154" s="159"/>
      <c r="ZO154" s="159"/>
      <c r="ZP154" s="159"/>
      <c r="ZQ154" s="159"/>
      <c r="ZR154" s="159"/>
      <c r="ZS154" s="159"/>
      <c r="ZT154" s="159"/>
      <c r="ZU154" s="159"/>
      <c r="ZV154" s="159"/>
      <c r="ZW154" s="159"/>
      <c r="ZX154" s="159"/>
      <c r="ZY154" s="159"/>
      <c r="ZZ154" s="159"/>
      <c r="AAA154" s="159"/>
      <c r="AAB154" s="159"/>
      <c r="AAC154" s="159"/>
      <c r="AAD154" s="159"/>
      <c r="AAE154" s="159"/>
      <c r="AAF154" s="159"/>
      <c r="AAG154" s="159"/>
      <c r="AAH154" s="159"/>
      <c r="AAI154" s="159"/>
      <c r="AAJ154" s="159"/>
      <c r="AAK154" s="159"/>
      <c r="AAL154" s="159"/>
      <c r="AAM154" s="159"/>
      <c r="AAN154" s="159"/>
      <c r="AAO154" s="159"/>
      <c r="AAP154" s="159"/>
      <c r="AAQ154" s="159"/>
      <c r="AAR154" s="159"/>
      <c r="AAS154" s="159"/>
      <c r="AAT154" s="159"/>
      <c r="AAU154" s="159"/>
      <c r="AAV154" s="159"/>
      <c r="AAW154" s="159"/>
      <c r="AAX154" s="159"/>
      <c r="AAY154" s="159"/>
      <c r="AAZ154" s="159"/>
      <c r="ABA154" s="159"/>
      <c r="ABB154" s="159"/>
      <c r="ABC154" s="159"/>
      <c r="ABD154" s="159"/>
      <c r="ABE154" s="159"/>
      <c r="ABF154" s="159"/>
      <c r="ABG154" s="159"/>
      <c r="ABH154" s="159"/>
      <c r="ABI154" s="159"/>
      <c r="ABJ154" s="159"/>
      <c r="ABK154" s="159"/>
      <c r="ABL154" s="159"/>
      <c r="ABM154" s="159"/>
      <c r="ABN154" s="159"/>
      <c r="ABO154" s="159"/>
      <c r="ABP154" s="159"/>
      <c r="ABQ154" s="159"/>
      <c r="ABR154" s="159"/>
      <c r="ABS154" s="159"/>
      <c r="ABT154" s="159"/>
      <c r="ABU154" s="159"/>
      <c r="ABV154" s="159"/>
      <c r="ABW154" s="159"/>
      <c r="ABX154" s="159"/>
      <c r="ABY154" s="159"/>
      <c r="ABZ154" s="159"/>
      <c r="ACA154" s="159"/>
      <c r="ACB154" s="159"/>
      <c r="ACC154" s="159"/>
      <c r="ACD154" s="159"/>
      <c r="ACE154" s="159"/>
      <c r="ACF154" s="159"/>
      <c r="ACG154" s="159"/>
      <c r="ACH154" s="159"/>
      <c r="ACI154" s="159"/>
      <c r="ACJ154" s="159"/>
      <c r="ACK154" s="159"/>
      <c r="ACL154" s="159"/>
      <c r="ACM154" s="159"/>
      <c r="ACN154" s="159"/>
      <c r="ACO154" s="159"/>
      <c r="ACP154" s="159"/>
      <c r="ACQ154" s="159"/>
      <c r="ACR154" s="159"/>
      <c r="ACS154" s="159"/>
      <c r="ACT154" s="159"/>
      <c r="ACU154" s="159"/>
      <c r="ACV154" s="159"/>
      <c r="ACW154" s="159"/>
      <c r="ACX154" s="159"/>
      <c r="ACY154" s="159"/>
      <c r="ACZ154" s="159"/>
      <c r="ADA154" s="159"/>
      <c r="ADB154" s="159"/>
      <c r="ADC154" s="159"/>
      <c r="ADD154" s="159"/>
      <c r="ADE154" s="159"/>
      <c r="ADF154" s="159"/>
      <c r="ADG154" s="159"/>
      <c r="ADH154" s="159"/>
      <c r="ADI154" s="159"/>
      <c r="ADJ154" s="159"/>
      <c r="ADK154" s="159"/>
      <c r="ADL154" s="159"/>
      <c r="ADM154" s="159"/>
      <c r="ADN154" s="159"/>
      <c r="ADO154" s="159"/>
      <c r="ADP154" s="159"/>
      <c r="ADQ154" s="159"/>
      <c r="ADR154" s="159"/>
      <c r="ADS154" s="159"/>
      <c r="ADT154" s="159"/>
      <c r="ADU154" s="159"/>
      <c r="ADV154" s="159"/>
      <c r="ADW154" s="159"/>
      <c r="ADX154" s="159"/>
      <c r="ADY154" s="159"/>
      <c r="ADZ154" s="159"/>
      <c r="AEA154" s="159"/>
      <c r="AEB154" s="159"/>
      <c r="AEC154" s="159"/>
      <c r="AED154" s="159"/>
      <c r="AEE154" s="159"/>
      <c r="AEF154" s="159"/>
      <c r="AEG154" s="159"/>
      <c r="AEH154" s="159"/>
      <c r="AEI154" s="159"/>
      <c r="AEJ154" s="159"/>
      <c r="AEK154" s="159"/>
      <c r="AEL154" s="159"/>
      <c r="AEM154" s="159"/>
      <c r="AEN154" s="159"/>
      <c r="AEO154" s="159"/>
      <c r="AEP154" s="159"/>
      <c r="AEQ154" s="159"/>
      <c r="AER154" s="159"/>
      <c r="AES154" s="159"/>
      <c r="AET154" s="159"/>
      <c r="AEU154" s="159"/>
      <c r="AEV154" s="159"/>
      <c r="AEW154" s="159"/>
      <c r="AEX154" s="159"/>
      <c r="AEY154" s="159"/>
      <c r="AEZ154" s="159"/>
      <c r="AFA154" s="159"/>
      <c r="AFB154" s="159"/>
      <c r="AFC154" s="159"/>
      <c r="AFD154" s="159"/>
      <c r="AFE154" s="159"/>
      <c r="AFF154" s="159"/>
      <c r="AFG154" s="159"/>
      <c r="AFH154" s="159"/>
      <c r="AFI154" s="159"/>
      <c r="AFJ154" s="159"/>
      <c r="AFK154" s="159"/>
      <c r="AFL154" s="159"/>
      <c r="AFM154" s="159"/>
      <c r="AFN154" s="159"/>
      <c r="AFO154" s="159"/>
      <c r="AFP154" s="159"/>
      <c r="AFQ154" s="159"/>
      <c r="AFR154" s="159"/>
      <c r="AFS154" s="159"/>
      <c r="AFT154" s="159"/>
      <c r="AFU154" s="159"/>
      <c r="AFV154" s="159"/>
      <c r="AFW154" s="159"/>
      <c r="AFX154" s="159"/>
      <c r="AFY154" s="159"/>
      <c r="AFZ154" s="159"/>
      <c r="AGA154" s="159"/>
      <c r="AGB154" s="159"/>
      <c r="AGC154" s="159"/>
      <c r="AGD154" s="159"/>
      <c r="AGE154" s="159"/>
      <c r="AGF154" s="159"/>
      <c r="AGG154" s="159"/>
      <c r="AGH154" s="159"/>
      <c r="AGI154" s="159"/>
      <c r="AGJ154" s="159"/>
      <c r="AGK154" s="159"/>
      <c r="AGL154" s="159"/>
      <c r="AGM154" s="159"/>
      <c r="AGN154" s="159"/>
      <c r="AGO154" s="159"/>
      <c r="AGP154" s="159"/>
      <c r="AGQ154" s="159"/>
      <c r="AGR154" s="159"/>
      <c r="AGS154" s="159"/>
      <c r="AGT154" s="159"/>
      <c r="AGU154" s="159"/>
      <c r="AGV154" s="159"/>
      <c r="AGW154" s="159"/>
      <c r="AGX154" s="159"/>
      <c r="AGY154" s="159"/>
      <c r="AGZ154" s="159"/>
      <c r="AHA154" s="159"/>
      <c r="AHB154" s="159"/>
      <c r="AHC154" s="159"/>
      <c r="AHD154" s="159"/>
      <c r="AHE154" s="159"/>
      <c r="AHF154" s="159"/>
      <c r="AHG154" s="159"/>
      <c r="AHH154" s="159"/>
      <c r="AHI154" s="159"/>
      <c r="AHJ154" s="159"/>
      <c r="AHK154" s="159"/>
      <c r="AHL154" s="159"/>
      <c r="AHM154" s="159"/>
      <c r="AHN154" s="159"/>
      <c r="AHO154" s="159"/>
      <c r="AHP154" s="159"/>
      <c r="AHQ154" s="159"/>
      <c r="AHR154" s="159"/>
      <c r="AHS154" s="159"/>
      <c r="AHT154" s="159"/>
      <c r="AHU154" s="159"/>
      <c r="AHV154" s="159"/>
      <c r="AHW154" s="159"/>
      <c r="AHX154" s="159"/>
      <c r="AHY154" s="159"/>
      <c r="AHZ154" s="159"/>
      <c r="AIA154" s="159"/>
      <c r="AIB154" s="159"/>
      <c r="AIC154" s="159"/>
      <c r="AID154" s="159"/>
      <c r="AIE154" s="159"/>
      <c r="AIF154" s="159"/>
      <c r="AIG154" s="159"/>
      <c r="AIH154" s="159"/>
      <c r="AII154" s="159"/>
      <c r="AIJ154" s="159"/>
      <c r="AIK154" s="159"/>
      <c r="AIL154" s="159"/>
      <c r="AIM154" s="159"/>
      <c r="AIN154" s="159"/>
      <c r="AIO154" s="159"/>
      <c r="AIP154" s="159"/>
      <c r="AIQ154" s="159"/>
      <c r="AIR154" s="159"/>
      <c r="AIS154" s="159"/>
      <c r="AIT154" s="159"/>
      <c r="AIU154" s="159"/>
      <c r="AIV154" s="159"/>
      <c r="AIW154" s="159"/>
      <c r="AIX154" s="159"/>
      <c r="AIY154" s="159"/>
      <c r="AIZ154" s="159"/>
      <c r="AJA154" s="159"/>
      <c r="AJB154" s="159"/>
      <c r="AJC154" s="159"/>
      <c r="AJD154" s="159"/>
      <c r="AJE154" s="159"/>
      <c r="AJF154" s="159"/>
      <c r="AJG154" s="159"/>
      <c r="AJH154" s="159"/>
      <c r="AJI154" s="159"/>
      <c r="AJJ154" s="159"/>
      <c r="AJK154" s="159"/>
      <c r="AJL154" s="159"/>
      <c r="AJM154" s="159"/>
      <c r="AJN154" s="159"/>
      <c r="AJO154" s="159"/>
      <c r="AJP154" s="159"/>
      <c r="AJQ154" s="159"/>
      <c r="AJR154" s="159"/>
      <c r="AJS154" s="159"/>
      <c r="AJT154" s="159"/>
      <c r="AJU154" s="159"/>
      <c r="AJV154" s="159"/>
      <c r="AJW154" s="159"/>
      <c r="AJX154" s="159"/>
      <c r="AJY154" s="159"/>
      <c r="AJZ154" s="159"/>
      <c r="AKA154" s="159"/>
      <c r="AKB154" s="159"/>
      <c r="AKC154" s="159"/>
      <c r="AKD154" s="159"/>
      <c r="AKE154" s="159"/>
      <c r="AKF154" s="159"/>
      <c r="AKG154" s="159"/>
      <c r="AKH154" s="159"/>
      <c r="AKI154" s="159"/>
      <c r="AKJ154" s="159"/>
      <c r="AKK154" s="159"/>
      <c r="AKL154" s="159"/>
      <c r="AKM154" s="159"/>
      <c r="AKN154" s="159"/>
      <c r="AKO154" s="159"/>
      <c r="AKP154" s="159"/>
      <c r="AKQ154" s="159"/>
      <c r="AKR154" s="159"/>
      <c r="AKS154" s="159"/>
      <c r="AKT154" s="159"/>
      <c r="AKU154" s="159"/>
      <c r="AKV154" s="159"/>
      <c r="AKW154" s="159"/>
      <c r="AKX154" s="159"/>
      <c r="AKY154" s="159"/>
      <c r="AKZ154" s="159"/>
      <c r="ALA154" s="159"/>
      <c r="ALB154" s="159"/>
      <c r="ALC154" s="159"/>
      <c r="ALD154" s="159"/>
      <c r="ALE154" s="159"/>
      <c r="ALF154" s="159"/>
      <c r="ALG154" s="159"/>
      <c r="ALH154" s="159"/>
      <c r="ALI154" s="159"/>
      <c r="ALJ154" s="159"/>
      <c r="ALK154" s="159"/>
      <c r="ALL154" s="159"/>
      <c r="ALM154" s="159"/>
      <c r="ALN154" s="159"/>
      <c r="ALO154" s="159"/>
      <c r="ALP154" s="159"/>
      <c r="ALQ154" s="159"/>
      <c r="ALR154" s="159"/>
      <c r="ALS154" s="159"/>
      <c r="ALT154" s="159"/>
      <c r="ALU154" s="159"/>
      <c r="ALV154" s="159"/>
      <c r="ALW154" s="159"/>
      <c r="ALX154" s="159"/>
      <c r="ALY154" s="159"/>
      <c r="ALZ154" s="159"/>
      <c r="AMA154" s="159"/>
      <c r="AMB154" s="159"/>
      <c r="AMC154" s="159"/>
      <c r="AMD154" s="159"/>
      <c r="AME154" s="159"/>
      <c r="AMF154" s="159"/>
      <c r="AMG154" s="159"/>
      <c r="AMH154" s="159"/>
      <c r="AMI154" s="159"/>
      <c r="AMJ154" s="159"/>
      <c r="AMK154" s="159"/>
      <c r="AML154" s="159"/>
      <c r="AMM154" s="159"/>
      <c r="AMN154" s="159"/>
      <c r="AMO154" s="159"/>
    </row>
    <row r="155" spans="1:1029" s="161" customFormat="1" ht="25.5" x14ac:dyDescent="0.25">
      <c r="A155" s="138">
        <v>46238</v>
      </c>
      <c r="B155" s="99" t="s">
        <v>14</v>
      </c>
      <c r="C155" s="99" t="s">
        <v>12</v>
      </c>
      <c r="D155" s="160" t="s">
        <v>168</v>
      </c>
      <c r="E155" s="118" t="s">
        <v>113</v>
      </c>
      <c r="F155" s="149" t="s">
        <v>125</v>
      </c>
      <c r="G155" s="149" t="s">
        <v>31</v>
      </c>
      <c r="H155" s="141" t="b">
        <f t="shared" si="12"/>
        <v>0</v>
      </c>
      <c r="I155" s="120" t="s">
        <v>19</v>
      </c>
      <c r="J155" s="121" t="s">
        <v>121</v>
      </c>
      <c r="K155" s="121" t="s">
        <v>69</v>
      </c>
      <c r="L155" s="141" t="b">
        <f t="shared" si="13"/>
        <v>0</v>
      </c>
      <c r="M155" s="121" t="s">
        <v>42</v>
      </c>
      <c r="N155" s="121" t="s">
        <v>77</v>
      </c>
      <c r="O155" s="121" t="s">
        <v>90</v>
      </c>
      <c r="P155" s="141" t="b">
        <f t="shared" si="14"/>
        <v>0</v>
      </c>
      <c r="Q155" s="149" t="s">
        <v>42</v>
      </c>
      <c r="R155" s="99" t="s">
        <v>82</v>
      </c>
      <c r="S155" s="99" t="s">
        <v>168</v>
      </c>
      <c r="T155" s="141">
        <f t="shared" si="15"/>
        <v>0.5</v>
      </c>
      <c r="U155" s="159"/>
      <c r="V155" s="159"/>
      <c r="W155" s="159"/>
      <c r="X155" s="159"/>
      <c r="Y155" s="159"/>
      <c r="Z155" s="159"/>
      <c r="AA155" s="159"/>
      <c r="AB155" s="159"/>
      <c r="AC155" s="159"/>
      <c r="AD155" s="159"/>
      <c r="AE155" s="159"/>
      <c r="AF155" s="159"/>
      <c r="AG155" s="159"/>
      <c r="AH155" s="159"/>
      <c r="AI155" s="159"/>
      <c r="AJ155" s="159"/>
      <c r="AK155" s="159"/>
      <c r="AL155" s="159"/>
      <c r="AM155" s="159"/>
      <c r="AN155" s="159"/>
      <c r="AO155" s="159"/>
      <c r="AP155" s="159"/>
      <c r="AQ155" s="159"/>
      <c r="AR155" s="159"/>
      <c r="AS155" s="159"/>
      <c r="AT155" s="159"/>
      <c r="AU155" s="159"/>
      <c r="AV155" s="159"/>
      <c r="AW155" s="159"/>
      <c r="AX155" s="159"/>
      <c r="AY155" s="159"/>
      <c r="AZ155" s="159"/>
      <c r="BA155" s="159"/>
      <c r="BB155" s="159"/>
      <c r="BC155" s="159"/>
      <c r="BD155" s="159"/>
      <c r="BE155" s="159"/>
      <c r="BF155" s="159"/>
      <c r="BG155" s="159"/>
      <c r="BH155" s="159"/>
      <c r="BI155" s="159"/>
      <c r="BJ155" s="159"/>
      <c r="BK155" s="159"/>
      <c r="BL155" s="159"/>
      <c r="BM155" s="159"/>
      <c r="BN155" s="159"/>
      <c r="BO155" s="159"/>
      <c r="BP155" s="159"/>
      <c r="BQ155" s="159"/>
      <c r="BR155" s="159"/>
      <c r="BS155" s="159"/>
      <c r="BT155" s="159"/>
      <c r="BU155" s="159"/>
      <c r="BV155" s="159"/>
      <c r="BW155" s="159"/>
      <c r="BX155" s="159"/>
      <c r="BY155" s="159"/>
      <c r="BZ155" s="159"/>
      <c r="CA155" s="159"/>
      <c r="CB155" s="159"/>
      <c r="CC155" s="159"/>
      <c r="CD155" s="159"/>
      <c r="CE155" s="159"/>
      <c r="CF155" s="159"/>
      <c r="CG155" s="159"/>
      <c r="CH155" s="159"/>
      <c r="CI155" s="159"/>
      <c r="CJ155" s="159"/>
      <c r="CK155" s="159"/>
      <c r="CL155" s="159"/>
      <c r="CM155" s="159"/>
      <c r="CN155" s="159"/>
      <c r="CO155" s="159"/>
      <c r="CP155" s="159"/>
      <c r="CQ155" s="159"/>
      <c r="CR155" s="159"/>
      <c r="CS155" s="159"/>
      <c r="CT155" s="159"/>
      <c r="CU155" s="159"/>
      <c r="CV155" s="159"/>
      <c r="CW155" s="159"/>
      <c r="CX155" s="159"/>
      <c r="CY155" s="159"/>
      <c r="CZ155" s="159"/>
      <c r="DA155" s="159"/>
      <c r="DB155" s="159"/>
      <c r="DC155" s="159"/>
      <c r="DD155" s="159"/>
      <c r="DE155" s="159"/>
      <c r="DF155" s="159"/>
      <c r="DG155" s="159"/>
      <c r="DH155" s="159"/>
      <c r="DI155" s="159"/>
      <c r="DJ155" s="159"/>
      <c r="DK155" s="159"/>
      <c r="DL155" s="159"/>
      <c r="DM155" s="159"/>
      <c r="DN155" s="159"/>
      <c r="DO155" s="159"/>
      <c r="DP155" s="159"/>
      <c r="DQ155" s="159"/>
      <c r="DR155" s="159"/>
      <c r="DS155" s="159"/>
      <c r="DT155" s="159"/>
      <c r="DU155" s="159"/>
      <c r="DV155" s="159"/>
      <c r="DW155" s="159"/>
      <c r="DX155" s="159"/>
      <c r="DY155" s="159"/>
      <c r="DZ155" s="159"/>
      <c r="EA155" s="159"/>
      <c r="EB155" s="159"/>
      <c r="EC155" s="159"/>
      <c r="ED155" s="159"/>
      <c r="EE155" s="159"/>
      <c r="EF155" s="159"/>
      <c r="EG155" s="159"/>
      <c r="EH155" s="159"/>
      <c r="EI155" s="159"/>
      <c r="EJ155" s="159"/>
      <c r="EK155" s="159"/>
      <c r="EL155" s="159"/>
      <c r="EM155" s="159"/>
      <c r="EN155" s="159"/>
      <c r="EO155" s="159"/>
      <c r="EP155" s="159"/>
      <c r="EQ155" s="159"/>
      <c r="ER155" s="159"/>
      <c r="ES155" s="159"/>
      <c r="ET155" s="159"/>
      <c r="EU155" s="159"/>
      <c r="EV155" s="159"/>
      <c r="EW155" s="159"/>
      <c r="EX155" s="159"/>
      <c r="EY155" s="159"/>
      <c r="EZ155" s="159"/>
      <c r="FA155" s="159"/>
      <c r="FB155" s="159"/>
      <c r="FC155" s="159"/>
      <c r="FD155" s="159"/>
      <c r="FE155" s="159"/>
      <c r="FF155" s="159"/>
      <c r="FG155" s="159"/>
      <c r="FH155" s="159"/>
      <c r="FI155" s="159"/>
      <c r="FJ155" s="159"/>
      <c r="FK155" s="159"/>
      <c r="FL155" s="159"/>
      <c r="FM155" s="159"/>
      <c r="FN155" s="159"/>
      <c r="FO155" s="159"/>
      <c r="FP155" s="159"/>
      <c r="FQ155" s="159"/>
      <c r="FR155" s="159"/>
      <c r="FS155" s="159"/>
      <c r="FT155" s="159"/>
      <c r="FU155" s="159"/>
      <c r="FV155" s="159"/>
      <c r="FW155" s="159"/>
      <c r="FX155" s="159"/>
      <c r="FY155" s="159"/>
      <c r="FZ155" s="159"/>
      <c r="GA155" s="159"/>
      <c r="GB155" s="159"/>
      <c r="GC155" s="159"/>
      <c r="GD155" s="159"/>
      <c r="GE155" s="159"/>
      <c r="GF155" s="159"/>
      <c r="GG155" s="159"/>
      <c r="GH155" s="159"/>
      <c r="GI155" s="159"/>
      <c r="GJ155" s="159"/>
      <c r="GK155" s="159"/>
      <c r="GL155" s="159"/>
      <c r="GM155" s="159"/>
      <c r="GN155" s="159"/>
      <c r="GO155" s="159"/>
      <c r="GP155" s="159"/>
      <c r="GQ155" s="159"/>
      <c r="GR155" s="159"/>
      <c r="GS155" s="159"/>
      <c r="GT155" s="159"/>
      <c r="GU155" s="159"/>
      <c r="GV155" s="159"/>
      <c r="GW155" s="159"/>
      <c r="GX155" s="159"/>
      <c r="GY155" s="159"/>
      <c r="GZ155" s="159"/>
      <c r="HA155" s="159"/>
      <c r="HB155" s="159"/>
      <c r="HC155" s="159"/>
      <c r="HD155" s="159"/>
      <c r="HE155" s="159"/>
      <c r="HF155" s="159"/>
      <c r="HG155" s="159"/>
      <c r="HH155" s="159"/>
      <c r="HI155" s="159"/>
      <c r="HJ155" s="159"/>
      <c r="HK155" s="159"/>
      <c r="HL155" s="159"/>
      <c r="HM155" s="159"/>
      <c r="HN155" s="159"/>
      <c r="HO155" s="159"/>
      <c r="HP155" s="159"/>
      <c r="HQ155" s="159"/>
      <c r="HR155" s="159"/>
      <c r="HS155" s="159"/>
      <c r="HT155" s="159"/>
      <c r="HU155" s="159"/>
      <c r="HV155" s="159"/>
      <c r="HW155" s="159"/>
      <c r="HX155" s="159"/>
      <c r="HY155" s="159"/>
      <c r="HZ155" s="159"/>
      <c r="IA155" s="159"/>
      <c r="IB155" s="159"/>
      <c r="IC155" s="159"/>
      <c r="ID155" s="159"/>
      <c r="IE155" s="159"/>
      <c r="IF155" s="159"/>
      <c r="IG155" s="159"/>
      <c r="IH155" s="159"/>
      <c r="II155" s="159"/>
      <c r="IJ155" s="159"/>
      <c r="IK155" s="159"/>
      <c r="IL155" s="159"/>
      <c r="IM155" s="159"/>
      <c r="IN155" s="159"/>
      <c r="IO155" s="159"/>
      <c r="IP155" s="159"/>
      <c r="IQ155" s="159"/>
      <c r="IR155" s="159"/>
      <c r="IS155" s="159"/>
      <c r="IT155" s="159"/>
      <c r="IU155" s="159"/>
      <c r="IV155" s="159"/>
      <c r="IW155" s="159"/>
      <c r="IX155" s="159"/>
      <c r="IY155" s="159"/>
      <c r="IZ155" s="159"/>
      <c r="JA155" s="159"/>
      <c r="JB155" s="159"/>
      <c r="JC155" s="159"/>
      <c r="JD155" s="159"/>
      <c r="JE155" s="159"/>
      <c r="JF155" s="159"/>
      <c r="JG155" s="159"/>
      <c r="JH155" s="159"/>
      <c r="JI155" s="159"/>
      <c r="JJ155" s="159"/>
      <c r="JK155" s="159"/>
      <c r="JL155" s="159"/>
      <c r="JM155" s="159"/>
      <c r="JN155" s="159"/>
      <c r="JO155" s="159"/>
      <c r="JP155" s="159"/>
      <c r="JQ155" s="159"/>
      <c r="JR155" s="159"/>
      <c r="JS155" s="159"/>
      <c r="JT155" s="159"/>
      <c r="JU155" s="159"/>
      <c r="JV155" s="159"/>
      <c r="JW155" s="159"/>
      <c r="JX155" s="159"/>
      <c r="JY155" s="159"/>
      <c r="JZ155" s="159"/>
      <c r="KA155" s="159"/>
      <c r="KB155" s="159"/>
      <c r="KC155" s="159"/>
      <c r="KD155" s="159"/>
      <c r="KE155" s="159"/>
      <c r="KF155" s="159"/>
      <c r="KG155" s="159"/>
      <c r="KH155" s="159"/>
      <c r="KI155" s="159"/>
      <c r="KJ155" s="159"/>
      <c r="KK155" s="159"/>
      <c r="KL155" s="159"/>
      <c r="KM155" s="159"/>
      <c r="KN155" s="159"/>
      <c r="KO155" s="159"/>
      <c r="KP155" s="159"/>
      <c r="KQ155" s="159"/>
      <c r="KR155" s="159"/>
      <c r="KS155" s="159"/>
      <c r="KT155" s="159"/>
      <c r="KU155" s="159"/>
      <c r="KV155" s="159"/>
      <c r="KW155" s="159"/>
      <c r="KX155" s="159"/>
      <c r="KY155" s="159"/>
      <c r="KZ155" s="159"/>
      <c r="LA155" s="159"/>
      <c r="LB155" s="159"/>
      <c r="LC155" s="159"/>
      <c r="LD155" s="159"/>
      <c r="LE155" s="159"/>
      <c r="LF155" s="159"/>
      <c r="LG155" s="159"/>
      <c r="LH155" s="159"/>
      <c r="LI155" s="159"/>
      <c r="LJ155" s="159"/>
      <c r="LK155" s="159"/>
      <c r="LL155" s="159"/>
      <c r="LM155" s="159"/>
      <c r="LN155" s="159"/>
      <c r="LO155" s="159"/>
      <c r="LP155" s="159"/>
      <c r="LQ155" s="159"/>
      <c r="LR155" s="159"/>
      <c r="LS155" s="159"/>
      <c r="LT155" s="159"/>
      <c r="LU155" s="159"/>
      <c r="LV155" s="159"/>
      <c r="LW155" s="159"/>
      <c r="LX155" s="159"/>
      <c r="LY155" s="159"/>
      <c r="LZ155" s="159"/>
      <c r="MA155" s="159"/>
      <c r="MB155" s="159"/>
      <c r="MC155" s="159"/>
      <c r="MD155" s="159"/>
      <c r="ME155" s="159"/>
      <c r="MF155" s="159"/>
      <c r="MG155" s="159"/>
      <c r="MH155" s="159"/>
      <c r="MI155" s="159"/>
      <c r="MJ155" s="159"/>
      <c r="MK155" s="159"/>
      <c r="ML155" s="159"/>
      <c r="MM155" s="159"/>
      <c r="MN155" s="159"/>
      <c r="MO155" s="159"/>
      <c r="MP155" s="159"/>
      <c r="MQ155" s="159"/>
      <c r="MR155" s="159"/>
      <c r="MS155" s="159"/>
      <c r="MT155" s="159"/>
      <c r="MU155" s="159"/>
      <c r="MV155" s="159"/>
      <c r="MW155" s="159"/>
      <c r="MX155" s="159"/>
      <c r="MY155" s="159"/>
      <c r="MZ155" s="159"/>
      <c r="NA155" s="159"/>
      <c r="NB155" s="159"/>
      <c r="NC155" s="159"/>
      <c r="ND155" s="159"/>
      <c r="NE155" s="159"/>
      <c r="NF155" s="159"/>
      <c r="NG155" s="159"/>
      <c r="NH155" s="159"/>
      <c r="NI155" s="159"/>
      <c r="NJ155" s="159"/>
      <c r="NK155" s="159"/>
      <c r="NL155" s="159"/>
      <c r="NM155" s="159"/>
      <c r="NN155" s="159"/>
      <c r="NO155" s="159"/>
      <c r="NP155" s="159"/>
      <c r="NQ155" s="159"/>
      <c r="NR155" s="159"/>
      <c r="NS155" s="159"/>
      <c r="NT155" s="159"/>
      <c r="NU155" s="159"/>
      <c r="NV155" s="159"/>
      <c r="NW155" s="159"/>
      <c r="NX155" s="159"/>
      <c r="NY155" s="159"/>
      <c r="NZ155" s="159"/>
      <c r="OA155" s="159"/>
      <c r="OB155" s="159"/>
      <c r="OC155" s="159"/>
      <c r="OD155" s="159"/>
      <c r="OE155" s="159"/>
      <c r="OF155" s="159"/>
      <c r="OG155" s="159"/>
      <c r="OH155" s="159"/>
      <c r="OI155" s="159"/>
      <c r="OJ155" s="159"/>
      <c r="OK155" s="159"/>
      <c r="OL155" s="159"/>
      <c r="OM155" s="159"/>
      <c r="ON155" s="159"/>
      <c r="OO155" s="159"/>
      <c r="OP155" s="159"/>
      <c r="OQ155" s="159"/>
      <c r="OR155" s="159"/>
      <c r="OS155" s="159"/>
      <c r="OT155" s="159"/>
      <c r="OU155" s="159"/>
      <c r="OV155" s="159"/>
      <c r="OW155" s="159"/>
      <c r="OX155" s="159"/>
      <c r="OY155" s="159"/>
      <c r="OZ155" s="159"/>
      <c r="PA155" s="159"/>
      <c r="PB155" s="159"/>
      <c r="PC155" s="159"/>
      <c r="PD155" s="159"/>
      <c r="PE155" s="159"/>
      <c r="PF155" s="159"/>
      <c r="PG155" s="159"/>
      <c r="PH155" s="159"/>
      <c r="PI155" s="159"/>
      <c r="PJ155" s="159"/>
      <c r="PK155" s="159"/>
      <c r="PL155" s="159"/>
      <c r="PM155" s="159"/>
      <c r="PN155" s="159"/>
      <c r="PO155" s="159"/>
      <c r="PP155" s="159"/>
      <c r="PQ155" s="159"/>
      <c r="PR155" s="159"/>
      <c r="PS155" s="159"/>
      <c r="PT155" s="159"/>
      <c r="PU155" s="159"/>
      <c r="PV155" s="159"/>
      <c r="PW155" s="159"/>
      <c r="PX155" s="159"/>
      <c r="PY155" s="159"/>
      <c r="PZ155" s="159"/>
      <c r="QA155" s="159"/>
      <c r="QB155" s="159"/>
      <c r="QC155" s="159"/>
      <c r="QD155" s="159"/>
      <c r="QE155" s="159"/>
      <c r="QF155" s="159"/>
      <c r="QG155" s="159"/>
      <c r="QH155" s="159"/>
      <c r="QI155" s="159"/>
      <c r="QJ155" s="159"/>
      <c r="QK155" s="159"/>
      <c r="QL155" s="159"/>
      <c r="QM155" s="159"/>
      <c r="QN155" s="159"/>
      <c r="QO155" s="159"/>
      <c r="QP155" s="159"/>
      <c r="QQ155" s="159"/>
      <c r="QR155" s="159"/>
      <c r="QS155" s="159"/>
      <c r="QT155" s="159"/>
      <c r="QU155" s="159"/>
      <c r="QV155" s="159"/>
      <c r="QW155" s="159"/>
      <c r="QX155" s="159"/>
      <c r="QY155" s="159"/>
      <c r="QZ155" s="159"/>
      <c r="RA155" s="159"/>
      <c r="RB155" s="159"/>
      <c r="RC155" s="159"/>
      <c r="RD155" s="159"/>
      <c r="RE155" s="159"/>
      <c r="RF155" s="159"/>
      <c r="RG155" s="159"/>
      <c r="RH155" s="159"/>
      <c r="RI155" s="159"/>
      <c r="RJ155" s="159"/>
      <c r="RK155" s="159"/>
      <c r="RL155" s="159"/>
      <c r="RM155" s="159"/>
      <c r="RN155" s="159"/>
      <c r="RO155" s="159"/>
      <c r="RP155" s="159"/>
      <c r="RQ155" s="159"/>
      <c r="RR155" s="159"/>
      <c r="RS155" s="159"/>
      <c r="RT155" s="159"/>
      <c r="RU155" s="159"/>
      <c r="RV155" s="159"/>
      <c r="RW155" s="159"/>
      <c r="RX155" s="159"/>
      <c r="RY155" s="159"/>
      <c r="RZ155" s="159"/>
      <c r="SA155" s="159"/>
      <c r="SB155" s="159"/>
      <c r="SC155" s="159"/>
      <c r="SD155" s="159"/>
      <c r="SE155" s="159"/>
      <c r="SF155" s="159"/>
      <c r="SG155" s="159"/>
      <c r="SH155" s="159"/>
      <c r="SI155" s="159"/>
      <c r="SJ155" s="159"/>
      <c r="SK155" s="159"/>
      <c r="SL155" s="159"/>
      <c r="SM155" s="159"/>
      <c r="SN155" s="159"/>
      <c r="SO155" s="159"/>
      <c r="SP155" s="159"/>
      <c r="SQ155" s="159"/>
      <c r="SR155" s="159"/>
      <c r="SS155" s="159"/>
      <c r="ST155" s="159"/>
      <c r="SU155" s="159"/>
      <c r="SV155" s="159"/>
      <c r="SW155" s="159"/>
      <c r="SX155" s="159"/>
      <c r="SY155" s="159"/>
      <c r="SZ155" s="159"/>
      <c r="TA155" s="159"/>
      <c r="TB155" s="159"/>
      <c r="TC155" s="159"/>
      <c r="TD155" s="159"/>
      <c r="TE155" s="159"/>
      <c r="TF155" s="159"/>
      <c r="TG155" s="159"/>
      <c r="TH155" s="159"/>
      <c r="TI155" s="159"/>
      <c r="TJ155" s="159"/>
      <c r="TK155" s="159"/>
      <c r="TL155" s="159"/>
      <c r="TM155" s="159"/>
      <c r="TN155" s="159"/>
      <c r="TO155" s="159"/>
      <c r="TP155" s="159"/>
      <c r="TQ155" s="159"/>
      <c r="TR155" s="159"/>
      <c r="TS155" s="159"/>
      <c r="TT155" s="159"/>
      <c r="TU155" s="159"/>
      <c r="TV155" s="159"/>
      <c r="TW155" s="159"/>
      <c r="TX155" s="159"/>
      <c r="TY155" s="159"/>
      <c r="TZ155" s="159"/>
      <c r="UA155" s="159"/>
      <c r="UB155" s="159"/>
      <c r="UC155" s="159"/>
      <c r="UD155" s="159"/>
      <c r="UE155" s="159"/>
      <c r="UF155" s="159"/>
      <c r="UG155" s="159"/>
      <c r="UH155" s="159"/>
      <c r="UI155" s="159"/>
      <c r="UJ155" s="159"/>
      <c r="UK155" s="159"/>
      <c r="UL155" s="159"/>
      <c r="UM155" s="159"/>
      <c r="UN155" s="159"/>
      <c r="UO155" s="159"/>
      <c r="UP155" s="159"/>
      <c r="UQ155" s="159"/>
      <c r="UR155" s="159"/>
      <c r="US155" s="159"/>
      <c r="UT155" s="159"/>
      <c r="UU155" s="159"/>
      <c r="UV155" s="159"/>
      <c r="UW155" s="159"/>
      <c r="UX155" s="159"/>
      <c r="UY155" s="159"/>
      <c r="UZ155" s="159"/>
      <c r="VA155" s="159"/>
      <c r="VB155" s="159"/>
      <c r="VC155" s="159"/>
      <c r="VD155" s="159"/>
      <c r="VE155" s="159"/>
      <c r="VF155" s="159"/>
      <c r="VG155" s="159"/>
      <c r="VH155" s="159"/>
      <c r="VI155" s="159"/>
      <c r="VJ155" s="159"/>
      <c r="VK155" s="159"/>
      <c r="VL155" s="159"/>
      <c r="VM155" s="159"/>
      <c r="VN155" s="159"/>
      <c r="VO155" s="159"/>
      <c r="VP155" s="159"/>
      <c r="VQ155" s="159"/>
      <c r="VR155" s="159"/>
      <c r="VS155" s="159"/>
      <c r="VT155" s="159"/>
      <c r="VU155" s="159"/>
      <c r="VV155" s="159"/>
      <c r="VW155" s="159"/>
      <c r="VX155" s="159"/>
      <c r="VY155" s="159"/>
      <c r="VZ155" s="159"/>
      <c r="WA155" s="159"/>
      <c r="WB155" s="159"/>
      <c r="WC155" s="159"/>
      <c r="WD155" s="159"/>
      <c r="WE155" s="159"/>
      <c r="WF155" s="159"/>
      <c r="WG155" s="159"/>
      <c r="WH155" s="159"/>
      <c r="WI155" s="159"/>
      <c r="WJ155" s="159"/>
      <c r="WK155" s="159"/>
      <c r="WL155" s="159"/>
      <c r="WM155" s="159"/>
      <c r="WN155" s="159"/>
      <c r="WO155" s="159"/>
      <c r="WP155" s="159"/>
      <c r="WQ155" s="159"/>
      <c r="WR155" s="159"/>
      <c r="WS155" s="159"/>
      <c r="WT155" s="159"/>
      <c r="WU155" s="159"/>
      <c r="WV155" s="159"/>
      <c r="WW155" s="159"/>
      <c r="WX155" s="159"/>
      <c r="WY155" s="159"/>
      <c r="WZ155" s="159"/>
      <c r="XA155" s="159"/>
      <c r="XB155" s="159"/>
      <c r="XC155" s="159"/>
      <c r="XD155" s="159"/>
      <c r="XE155" s="159"/>
      <c r="XF155" s="159"/>
      <c r="XG155" s="159"/>
      <c r="XH155" s="159"/>
      <c r="XI155" s="159"/>
      <c r="XJ155" s="159"/>
      <c r="XK155" s="159"/>
      <c r="XL155" s="159"/>
      <c r="XM155" s="159"/>
      <c r="XN155" s="159"/>
      <c r="XO155" s="159"/>
      <c r="XP155" s="159"/>
      <c r="XQ155" s="159"/>
      <c r="XR155" s="159"/>
      <c r="XS155" s="159"/>
      <c r="XT155" s="159"/>
      <c r="XU155" s="159"/>
      <c r="XV155" s="159"/>
      <c r="XW155" s="159"/>
      <c r="XX155" s="159"/>
      <c r="XY155" s="159"/>
      <c r="XZ155" s="159"/>
      <c r="YA155" s="159"/>
      <c r="YB155" s="159"/>
      <c r="YC155" s="159"/>
      <c r="YD155" s="159"/>
      <c r="YE155" s="159"/>
      <c r="YF155" s="159"/>
      <c r="YG155" s="159"/>
      <c r="YH155" s="159"/>
      <c r="YI155" s="159"/>
      <c r="YJ155" s="159"/>
      <c r="YK155" s="159"/>
      <c r="YL155" s="159"/>
      <c r="YM155" s="159"/>
      <c r="YN155" s="159"/>
      <c r="YO155" s="159"/>
      <c r="YP155" s="159"/>
      <c r="YQ155" s="159"/>
      <c r="YR155" s="159"/>
      <c r="YS155" s="159"/>
      <c r="YT155" s="159"/>
      <c r="YU155" s="159"/>
      <c r="YV155" s="159"/>
      <c r="YW155" s="159"/>
      <c r="YX155" s="159"/>
      <c r="YY155" s="159"/>
      <c r="YZ155" s="159"/>
      <c r="ZA155" s="159"/>
      <c r="ZB155" s="159"/>
      <c r="ZC155" s="159"/>
      <c r="ZD155" s="159"/>
      <c r="ZE155" s="159"/>
      <c r="ZF155" s="159"/>
      <c r="ZG155" s="159"/>
      <c r="ZH155" s="159"/>
      <c r="ZI155" s="159"/>
      <c r="ZJ155" s="159"/>
      <c r="ZK155" s="159"/>
      <c r="ZL155" s="159"/>
      <c r="ZM155" s="159"/>
      <c r="ZN155" s="159"/>
      <c r="ZO155" s="159"/>
      <c r="ZP155" s="159"/>
      <c r="ZQ155" s="159"/>
      <c r="ZR155" s="159"/>
      <c r="ZS155" s="159"/>
      <c r="ZT155" s="159"/>
      <c r="ZU155" s="159"/>
      <c r="ZV155" s="159"/>
      <c r="ZW155" s="159"/>
      <c r="ZX155" s="159"/>
      <c r="ZY155" s="159"/>
      <c r="ZZ155" s="159"/>
      <c r="AAA155" s="159"/>
      <c r="AAB155" s="159"/>
      <c r="AAC155" s="159"/>
      <c r="AAD155" s="159"/>
      <c r="AAE155" s="159"/>
      <c r="AAF155" s="159"/>
      <c r="AAG155" s="159"/>
      <c r="AAH155" s="159"/>
      <c r="AAI155" s="159"/>
      <c r="AAJ155" s="159"/>
      <c r="AAK155" s="159"/>
      <c r="AAL155" s="159"/>
      <c r="AAM155" s="159"/>
      <c r="AAN155" s="159"/>
      <c r="AAO155" s="159"/>
      <c r="AAP155" s="159"/>
      <c r="AAQ155" s="159"/>
      <c r="AAR155" s="159"/>
      <c r="AAS155" s="159"/>
      <c r="AAT155" s="159"/>
      <c r="AAU155" s="159"/>
      <c r="AAV155" s="159"/>
      <c r="AAW155" s="159"/>
      <c r="AAX155" s="159"/>
      <c r="AAY155" s="159"/>
      <c r="AAZ155" s="159"/>
      <c r="ABA155" s="159"/>
      <c r="ABB155" s="159"/>
      <c r="ABC155" s="159"/>
      <c r="ABD155" s="159"/>
      <c r="ABE155" s="159"/>
      <c r="ABF155" s="159"/>
      <c r="ABG155" s="159"/>
      <c r="ABH155" s="159"/>
      <c r="ABI155" s="159"/>
      <c r="ABJ155" s="159"/>
      <c r="ABK155" s="159"/>
      <c r="ABL155" s="159"/>
      <c r="ABM155" s="159"/>
      <c r="ABN155" s="159"/>
      <c r="ABO155" s="159"/>
      <c r="ABP155" s="159"/>
      <c r="ABQ155" s="159"/>
      <c r="ABR155" s="159"/>
      <c r="ABS155" s="159"/>
      <c r="ABT155" s="159"/>
      <c r="ABU155" s="159"/>
      <c r="ABV155" s="159"/>
      <c r="ABW155" s="159"/>
      <c r="ABX155" s="159"/>
      <c r="ABY155" s="159"/>
      <c r="ABZ155" s="159"/>
      <c r="ACA155" s="159"/>
      <c r="ACB155" s="159"/>
      <c r="ACC155" s="159"/>
      <c r="ACD155" s="159"/>
      <c r="ACE155" s="159"/>
      <c r="ACF155" s="159"/>
      <c r="ACG155" s="159"/>
      <c r="ACH155" s="159"/>
      <c r="ACI155" s="159"/>
      <c r="ACJ155" s="159"/>
      <c r="ACK155" s="159"/>
      <c r="ACL155" s="159"/>
      <c r="ACM155" s="159"/>
      <c r="ACN155" s="159"/>
      <c r="ACO155" s="159"/>
      <c r="ACP155" s="159"/>
      <c r="ACQ155" s="159"/>
      <c r="ACR155" s="159"/>
      <c r="ACS155" s="159"/>
      <c r="ACT155" s="159"/>
      <c r="ACU155" s="159"/>
      <c r="ACV155" s="159"/>
      <c r="ACW155" s="159"/>
      <c r="ACX155" s="159"/>
      <c r="ACY155" s="159"/>
      <c r="ACZ155" s="159"/>
      <c r="ADA155" s="159"/>
      <c r="ADB155" s="159"/>
      <c r="ADC155" s="159"/>
      <c r="ADD155" s="159"/>
      <c r="ADE155" s="159"/>
      <c r="ADF155" s="159"/>
      <c r="ADG155" s="159"/>
      <c r="ADH155" s="159"/>
      <c r="ADI155" s="159"/>
      <c r="ADJ155" s="159"/>
      <c r="ADK155" s="159"/>
      <c r="ADL155" s="159"/>
      <c r="ADM155" s="159"/>
      <c r="ADN155" s="159"/>
      <c r="ADO155" s="159"/>
      <c r="ADP155" s="159"/>
      <c r="ADQ155" s="159"/>
      <c r="ADR155" s="159"/>
      <c r="ADS155" s="159"/>
      <c r="ADT155" s="159"/>
      <c r="ADU155" s="159"/>
      <c r="ADV155" s="159"/>
      <c r="ADW155" s="159"/>
      <c r="ADX155" s="159"/>
      <c r="ADY155" s="159"/>
      <c r="ADZ155" s="159"/>
      <c r="AEA155" s="159"/>
      <c r="AEB155" s="159"/>
      <c r="AEC155" s="159"/>
      <c r="AED155" s="159"/>
      <c r="AEE155" s="159"/>
      <c r="AEF155" s="159"/>
      <c r="AEG155" s="159"/>
      <c r="AEH155" s="159"/>
      <c r="AEI155" s="159"/>
      <c r="AEJ155" s="159"/>
      <c r="AEK155" s="159"/>
      <c r="AEL155" s="159"/>
      <c r="AEM155" s="159"/>
      <c r="AEN155" s="159"/>
      <c r="AEO155" s="159"/>
      <c r="AEP155" s="159"/>
      <c r="AEQ155" s="159"/>
      <c r="AER155" s="159"/>
      <c r="AES155" s="159"/>
      <c r="AET155" s="159"/>
      <c r="AEU155" s="159"/>
      <c r="AEV155" s="159"/>
      <c r="AEW155" s="159"/>
      <c r="AEX155" s="159"/>
      <c r="AEY155" s="159"/>
      <c r="AEZ155" s="159"/>
      <c r="AFA155" s="159"/>
      <c r="AFB155" s="159"/>
      <c r="AFC155" s="159"/>
      <c r="AFD155" s="159"/>
      <c r="AFE155" s="159"/>
      <c r="AFF155" s="159"/>
      <c r="AFG155" s="159"/>
      <c r="AFH155" s="159"/>
      <c r="AFI155" s="159"/>
      <c r="AFJ155" s="159"/>
      <c r="AFK155" s="159"/>
      <c r="AFL155" s="159"/>
      <c r="AFM155" s="159"/>
      <c r="AFN155" s="159"/>
      <c r="AFO155" s="159"/>
      <c r="AFP155" s="159"/>
      <c r="AFQ155" s="159"/>
      <c r="AFR155" s="159"/>
      <c r="AFS155" s="159"/>
      <c r="AFT155" s="159"/>
      <c r="AFU155" s="159"/>
      <c r="AFV155" s="159"/>
      <c r="AFW155" s="159"/>
      <c r="AFX155" s="159"/>
      <c r="AFY155" s="159"/>
      <c r="AFZ155" s="159"/>
      <c r="AGA155" s="159"/>
      <c r="AGB155" s="159"/>
      <c r="AGC155" s="159"/>
      <c r="AGD155" s="159"/>
      <c r="AGE155" s="159"/>
      <c r="AGF155" s="159"/>
      <c r="AGG155" s="159"/>
      <c r="AGH155" s="159"/>
      <c r="AGI155" s="159"/>
      <c r="AGJ155" s="159"/>
      <c r="AGK155" s="159"/>
      <c r="AGL155" s="159"/>
      <c r="AGM155" s="159"/>
      <c r="AGN155" s="159"/>
      <c r="AGO155" s="159"/>
      <c r="AGP155" s="159"/>
      <c r="AGQ155" s="159"/>
      <c r="AGR155" s="159"/>
      <c r="AGS155" s="159"/>
      <c r="AGT155" s="159"/>
      <c r="AGU155" s="159"/>
      <c r="AGV155" s="159"/>
      <c r="AGW155" s="159"/>
      <c r="AGX155" s="159"/>
      <c r="AGY155" s="159"/>
      <c r="AGZ155" s="159"/>
      <c r="AHA155" s="159"/>
      <c r="AHB155" s="159"/>
      <c r="AHC155" s="159"/>
      <c r="AHD155" s="159"/>
      <c r="AHE155" s="159"/>
      <c r="AHF155" s="159"/>
      <c r="AHG155" s="159"/>
      <c r="AHH155" s="159"/>
      <c r="AHI155" s="159"/>
      <c r="AHJ155" s="159"/>
      <c r="AHK155" s="159"/>
      <c r="AHL155" s="159"/>
      <c r="AHM155" s="159"/>
      <c r="AHN155" s="159"/>
      <c r="AHO155" s="159"/>
      <c r="AHP155" s="159"/>
      <c r="AHQ155" s="159"/>
      <c r="AHR155" s="159"/>
      <c r="AHS155" s="159"/>
      <c r="AHT155" s="159"/>
      <c r="AHU155" s="159"/>
      <c r="AHV155" s="159"/>
      <c r="AHW155" s="159"/>
      <c r="AHX155" s="159"/>
      <c r="AHY155" s="159"/>
      <c r="AHZ155" s="159"/>
      <c r="AIA155" s="159"/>
      <c r="AIB155" s="159"/>
      <c r="AIC155" s="159"/>
      <c r="AID155" s="159"/>
      <c r="AIE155" s="159"/>
      <c r="AIF155" s="159"/>
      <c r="AIG155" s="159"/>
      <c r="AIH155" s="159"/>
      <c r="AII155" s="159"/>
      <c r="AIJ155" s="159"/>
      <c r="AIK155" s="159"/>
      <c r="AIL155" s="159"/>
      <c r="AIM155" s="159"/>
      <c r="AIN155" s="159"/>
      <c r="AIO155" s="159"/>
      <c r="AIP155" s="159"/>
      <c r="AIQ155" s="159"/>
      <c r="AIR155" s="159"/>
      <c r="AIS155" s="159"/>
      <c r="AIT155" s="159"/>
      <c r="AIU155" s="159"/>
      <c r="AIV155" s="159"/>
      <c r="AIW155" s="159"/>
      <c r="AIX155" s="159"/>
      <c r="AIY155" s="159"/>
      <c r="AIZ155" s="159"/>
      <c r="AJA155" s="159"/>
      <c r="AJB155" s="159"/>
      <c r="AJC155" s="159"/>
      <c r="AJD155" s="159"/>
      <c r="AJE155" s="159"/>
      <c r="AJF155" s="159"/>
      <c r="AJG155" s="159"/>
      <c r="AJH155" s="159"/>
      <c r="AJI155" s="159"/>
      <c r="AJJ155" s="159"/>
      <c r="AJK155" s="159"/>
      <c r="AJL155" s="159"/>
      <c r="AJM155" s="159"/>
      <c r="AJN155" s="159"/>
      <c r="AJO155" s="159"/>
      <c r="AJP155" s="159"/>
      <c r="AJQ155" s="159"/>
      <c r="AJR155" s="159"/>
      <c r="AJS155" s="159"/>
      <c r="AJT155" s="159"/>
      <c r="AJU155" s="159"/>
      <c r="AJV155" s="159"/>
      <c r="AJW155" s="159"/>
      <c r="AJX155" s="159"/>
      <c r="AJY155" s="159"/>
      <c r="AJZ155" s="159"/>
      <c r="AKA155" s="159"/>
      <c r="AKB155" s="159"/>
      <c r="AKC155" s="159"/>
      <c r="AKD155" s="159"/>
      <c r="AKE155" s="159"/>
      <c r="AKF155" s="159"/>
      <c r="AKG155" s="159"/>
      <c r="AKH155" s="159"/>
      <c r="AKI155" s="159"/>
      <c r="AKJ155" s="159"/>
      <c r="AKK155" s="159"/>
      <c r="AKL155" s="159"/>
      <c r="AKM155" s="159"/>
      <c r="AKN155" s="159"/>
      <c r="AKO155" s="159"/>
      <c r="AKP155" s="159"/>
      <c r="AKQ155" s="159"/>
      <c r="AKR155" s="159"/>
      <c r="AKS155" s="159"/>
      <c r="AKT155" s="159"/>
      <c r="AKU155" s="159"/>
      <c r="AKV155" s="159"/>
      <c r="AKW155" s="159"/>
      <c r="AKX155" s="159"/>
      <c r="AKY155" s="159"/>
      <c r="AKZ155" s="159"/>
      <c r="ALA155" s="159"/>
      <c r="ALB155" s="159"/>
      <c r="ALC155" s="159"/>
      <c r="ALD155" s="159"/>
      <c r="ALE155" s="159"/>
      <c r="ALF155" s="159"/>
      <c r="ALG155" s="159"/>
      <c r="ALH155" s="159"/>
      <c r="ALI155" s="159"/>
      <c r="ALJ155" s="159"/>
      <c r="ALK155" s="159"/>
      <c r="ALL155" s="159"/>
      <c r="ALM155" s="159"/>
      <c r="ALN155" s="159"/>
      <c r="ALO155" s="159"/>
      <c r="ALP155" s="159"/>
      <c r="ALQ155" s="159"/>
      <c r="ALR155" s="159"/>
      <c r="ALS155" s="159"/>
      <c r="ALT155" s="159"/>
      <c r="ALU155" s="159"/>
      <c r="ALV155" s="159"/>
      <c r="ALW155" s="159"/>
      <c r="ALX155" s="159"/>
      <c r="ALY155" s="159"/>
      <c r="ALZ155" s="159"/>
      <c r="AMA155" s="159"/>
      <c r="AMB155" s="159"/>
      <c r="AMC155" s="159"/>
      <c r="AMD155" s="159"/>
      <c r="AME155" s="159"/>
      <c r="AMF155" s="159"/>
      <c r="AMG155" s="159"/>
      <c r="AMH155" s="159"/>
      <c r="AMI155" s="159"/>
      <c r="AMJ155" s="159"/>
      <c r="AMK155" s="159"/>
      <c r="AML155" s="159"/>
      <c r="AMM155" s="159"/>
      <c r="AMN155" s="159"/>
      <c r="AMO155" s="159"/>
    </row>
    <row r="156" spans="1:1029" s="161" customFormat="1" ht="25.5" x14ac:dyDescent="0.25">
      <c r="A156" s="138">
        <v>46239</v>
      </c>
      <c r="B156" s="99" t="s">
        <v>29</v>
      </c>
      <c r="C156" s="99" t="s">
        <v>10</v>
      </c>
      <c r="D156" s="160" t="s">
        <v>31</v>
      </c>
      <c r="E156" s="118" t="s">
        <v>28</v>
      </c>
      <c r="F156" s="149" t="s">
        <v>28</v>
      </c>
      <c r="G156" s="149" t="s">
        <v>28</v>
      </c>
      <c r="H156" s="141" t="b">
        <f t="shared" si="12"/>
        <v>0</v>
      </c>
      <c r="I156" s="120" t="s">
        <v>157</v>
      </c>
      <c r="J156" s="121" t="s">
        <v>30</v>
      </c>
      <c r="K156" s="121" t="s">
        <v>31</v>
      </c>
      <c r="L156" s="141">
        <f t="shared" si="13"/>
        <v>0.5</v>
      </c>
      <c r="M156" s="121" t="s">
        <v>35</v>
      </c>
      <c r="N156" s="121" t="s">
        <v>130</v>
      </c>
      <c r="O156" s="121" t="s">
        <v>31</v>
      </c>
      <c r="P156" s="141">
        <f t="shared" si="14"/>
        <v>0.5</v>
      </c>
      <c r="Q156" s="149" t="s">
        <v>19</v>
      </c>
      <c r="R156" s="99" t="s">
        <v>119</v>
      </c>
      <c r="S156" s="99" t="s">
        <v>21</v>
      </c>
      <c r="T156" s="141" t="b">
        <f t="shared" si="15"/>
        <v>0</v>
      </c>
      <c r="U156" s="159"/>
      <c r="V156" s="159"/>
      <c r="W156" s="159"/>
      <c r="X156" s="159"/>
      <c r="Y156" s="159"/>
      <c r="Z156" s="159"/>
      <c r="AA156" s="159"/>
      <c r="AB156" s="159"/>
      <c r="AC156" s="159"/>
      <c r="AD156" s="159"/>
      <c r="AE156" s="159"/>
      <c r="AF156" s="159"/>
      <c r="AG156" s="159"/>
      <c r="AH156" s="159"/>
      <c r="AI156" s="159"/>
      <c r="AJ156" s="159"/>
      <c r="AK156" s="159"/>
      <c r="AL156" s="159"/>
      <c r="AM156" s="159"/>
      <c r="AN156" s="159"/>
      <c r="AO156" s="159"/>
      <c r="AP156" s="159"/>
      <c r="AQ156" s="159"/>
      <c r="AR156" s="159"/>
      <c r="AS156" s="159"/>
      <c r="AT156" s="159"/>
      <c r="AU156" s="159"/>
      <c r="AV156" s="159"/>
      <c r="AW156" s="159"/>
      <c r="AX156" s="159"/>
      <c r="AY156" s="159"/>
      <c r="AZ156" s="159"/>
      <c r="BA156" s="159"/>
      <c r="BB156" s="159"/>
      <c r="BC156" s="159"/>
      <c r="BD156" s="159"/>
      <c r="BE156" s="159"/>
      <c r="BF156" s="159"/>
      <c r="BG156" s="159"/>
      <c r="BH156" s="159"/>
      <c r="BI156" s="159"/>
      <c r="BJ156" s="159"/>
      <c r="BK156" s="159"/>
      <c r="BL156" s="159"/>
      <c r="BM156" s="159"/>
      <c r="BN156" s="159"/>
      <c r="BO156" s="159"/>
      <c r="BP156" s="159"/>
      <c r="BQ156" s="159"/>
      <c r="BR156" s="159"/>
      <c r="BS156" s="159"/>
      <c r="BT156" s="159"/>
      <c r="BU156" s="159"/>
      <c r="BV156" s="159"/>
      <c r="BW156" s="159"/>
      <c r="BX156" s="159"/>
      <c r="BY156" s="159"/>
      <c r="BZ156" s="159"/>
      <c r="CA156" s="159"/>
      <c r="CB156" s="159"/>
      <c r="CC156" s="159"/>
      <c r="CD156" s="159"/>
      <c r="CE156" s="159"/>
      <c r="CF156" s="159"/>
      <c r="CG156" s="159"/>
      <c r="CH156" s="159"/>
      <c r="CI156" s="159"/>
      <c r="CJ156" s="159"/>
      <c r="CK156" s="159"/>
      <c r="CL156" s="159"/>
      <c r="CM156" s="159"/>
      <c r="CN156" s="159"/>
      <c r="CO156" s="159"/>
      <c r="CP156" s="159"/>
      <c r="CQ156" s="159"/>
      <c r="CR156" s="159"/>
      <c r="CS156" s="159"/>
      <c r="CT156" s="159"/>
      <c r="CU156" s="159"/>
      <c r="CV156" s="159"/>
      <c r="CW156" s="159"/>
      <c r="CX156" s="159"/>
      <c r="CY156" s="159"/>
      <c r="CZ156" s="159"/>
      <c r="DA156" s="159"/>
      <c r="DB156" s="159"/>
      <c r="DC156" s="159"/>
      <c r="DD156" s="159"/>
      <c r="DE156" s="159"/>
      <c r="DF156" s="159"/>
      <c r="DG156" s="159"/>
      <c r="DH156" s="159"/>
      <c r="DI156" s="159"/>
      <c r="DJ156" s="159"/>
      <c r="DK156" s="159"/>
      <c r="DL156" s="159"/>
      <c r="DM156" s="159"/>
      <c r="DN156" s="159"/>
      <c r="DO156" s="159"/>
      <c r="DP156" s="159"/>
      <c r="DQ156" s="159"/>
      <c r="DR156" s="159"/>
      <c r="DS156" s="159"/>
      <c r="DT156" s="159"/>
      <c r="DU156" s="159"/>
      <c r="DV156" s="159"/>
      <c r="DW156" s="159"/>
      <c r="DX156" s="159"/>
      <c r="DY156" s="159"/>
      <c r="DZ156" s="159"/>
      <c r="EA156" s="159"/>
      <c r="EB156" s="159"/>
      <c r="EC156" s="159"/>
      <c r="ED156" s="159"/>
      <c r="EE156" s="159"/>
      <c r="EF156" s="159"/>
      <c r="EG156" s="159"/>
      <c r="EH156" s="159"/>
      <c r="EI156" s="159"/>
      <c r="EJ156" s="159"/>
      <c r="EK156" s="159"/>
      <c r="EL156" s="159"/>
      <c r="EM156" s="159"/>
      <c r="EN156" s="159"/>
      <c r="EO156" s="159"/>
      <c r="EP156" s="159"/>
      <c r="EQ156" s="159"/>
      <c r="ER156" s="159"/>
      <c r="ES156" s="159"/>
      <c r="ET156" s="159"/>
      <c r="EU156" s="159"/>
      <c r="EV156" s="159"/>
      <c r="EW156" s="159"/>
      <c r="EX156" s="159"/>
      <c r="EY156" s="159"/>
      <c r="EZ156" s="159"/>
      <c r="FA156" s="159"/>
      <c r="FB156" s="159"/>
      <c r="FC156" s="159"/>
      <c r="FD156" s="159"/>
      <c r="FE156" s="159"/>
      <c r="FF156" s="159"/>
      <c r="FG156" s="159"/>
      <c r="FH156" s="159"/>
      <c r="FI156" s="159"/>
      <c r="FJ156" s="159"/>
      <c r="FK156" s="159"/>
      <c r="FL156" s="159"/>
      <c r="FM156" s="159"/>
      <c r="FN156" s="159"/>
      <c r="FO156" s="159"/>
      <c r="FP156" s="159"/>
      <c r="FQ156" s="159"/>
      <c r="FR156" s="159"/>
      <c r="FS156" s="159"/>
      <c r="FT156" s="159"/>
      <c r="FU156" s="159"/>
      <c r="FV156" s="159"/>
      <c r="FW156" s="159"/>
      <c r="FX156" s="159"/>
      <c r="FY156" s="159"/>
      <c r="FZ156" s="159"/>
      <c r="GA156" s="159"/>
      <c r="GB156" s="159"/>
      <c r="GC156" s="159"/>
      <c r="GD156" s="159"/>
      <c r="GE156" s="159"/>
      <c r="GF156" s="159"/>
      <c r="GG156" s="159"/>
      <c r="GH156" s="159"/>
      <c r="GI156" s="159"/>
      <c r="GJ156" s="159"/>
      <c r="GK156" s="159"/>
      <c r="GL156" s="159"/>
      <c r="GM156" s="159"/>
      <c r="GN156" s="159"/>
      <c r="GO156" s="159"/>
      <c r="GP156" s="159"/>
      <c r="GQ156" s="159"/>
      <c r="GR156" s="159"/>
      <c r="GS156" s="159"/>
      <c r="GT156" s="159"/>
      <c r="GU156" s="159"/>
      <c r="GV156" s="159"/>
      <c r="GW156" s="159"/>
      <c r="GX156" s="159"/>
      <c r="GY156" s="159"/>
      <c r="GZ156" s="159"/>
      <c r="HA156" s="159"/>
      <c r="HB156" s="159"/>
      <c r="HC156" s="159"/>
      <c r="HD156" s="159"/>
      <c r="HE156" s="159"/>
      <c r="HF156" s="159"/>
      <c r="HG156" s="159"/>
      <c r="HH156" s="159"/>
      <c r="HI156" s="159"/>
      <c r="HJ156" s="159"/>
      <c r="HK156" s="159"/>
      <c r="HL156" s="159"/>
      <c r="HM156" s="159"/>
      <c r="HN156" s="159"/>
      <c r="HO156" s="159"/>
      <c r="HP156" s="159"/>
      <c r="HQ156" s="159"/>
      <c r="HR156" s="159"/>
      <c r="HS156" s="159"/>
      <c r="HT156" s="159"/>
      <c r="HU156" s="159"/>
      <c r="HV156" s="159"/>
      <c r="HW156" s="159"/>
      <c r="HX156" s="159"/>
      <c r="HY156" s="159"/>
      <c r="HZ156" s="159"/>
      <c r="IA156" s="159"/>
      <c r="IB156" s="159"/>
      <c r="IC156" s="159"/>
      <c r="ID156" s="159"/>
      <c r="IE156" s="159"/>
      <c r="IF156" s="159"/>
      <c r="IG156" s="159"/>
      <c r="IH156" s="159"/>
      <c r="II156" s="159"/>
      <c r="IJ156" s="159"/>
      <c r="IK156" s="159"/>
      <c r="IL156" s="159"/>
      <c r="IM156" s="159"/>
      <c r="IN156" s="159"/>
      <c r="IO156" s="159"/>
      <c r="IP156" s="159"/>
      <c r="IQ156" s="159"/>
      <c r="IR156" s="159"/>
      <c r="IS156" s="159"/>
      <c r="IT156" s="159"/>
      <c r="IU156" s="159"/>
      <c r="IV156" s="159"/>
      <c r="IW156" s="159"/>
      <c r="IX156" s="159"/>
      <c r="IY156" s="159"/>
      <c r="IZ156" s="159"/>
      <c r="JA156" s="159"/>
      <c r="JB156" s="159"/>
      <c r="JC156" s="159"/>
      <c r="JD156" s="159"/>
      <c r="JE156" s="159"/>
      <c r="JF156" s="159"/>
      <c r="JG156" s="159"/>
      <c r="JH156" s="159"/>
      <c r="JI156" s="159"/>
      <c r="JJ156" s="159"/>
      <c r="JK156" s="159"/>
      <c r="JL156" s="159"/>
      <c r="JM156" s="159"/>
      <c r="JN156" s="159"/>
      <c r="JO156" s="159"/>
      <c r="JP156" s="159"/>
      <c r="JQ156" s="159"/>
      <c r="JR156" s="159"/>
      <c r="JS156" s="159"/>
      <c r="JT156" s="159"/>
      <c r="JU156" s="159"/>
      <c r="JV156" s="159"/>
      <c r="JW156" s="159"/>
      <c r="JX156" s="159"/>
      <c r="JY156" s="159"/>
      <c r="JZ156" s="159"/>
      <c r="KA156" s="159"/>
      <c r="KB156" s="159"/>
      <c r="KC156" s="159"/>
      <c r="KD156" s="159"/>
      <c r="KE156" s="159"/>
      <c r="KF156" s="159"/>
      <c r="KG156" s="159"/>
      <c r="KH156" s="159"/>
      <c r="KI156" s="159"/>
      <c r="KJ156" s="159"/>
      <c r="KK156" s="159"/>
      <c r="KL156" s="159"/>
      <c r="KM156" s="159"/>
      <c r="KN156" s="159"/>
      <c r="KO156" s="159"/>
      <c r="KP156" s="159"/>
      <c r="KQ156" s="159"/>
      <c r="KR156" s="159"/>
      <c r="KS156" s="159"/>
      <c r="KT156" s="159"/>
      <c r="KU156" s="159"/>
      <c r="KV156" s="159"/>
      <c r="KW156" s="159"/>
      <c r="KX156" s="159"/>
      <c r="KY156" s="159"/>
      <c r="KZ156" s="159"/>
      <c r="LA156" s="159"/>
      <c r="LB156" s="159"/>
      <c r="LC156" s="159"/>
      <c r="LD156" s="159"/>
      <c r="LE156" s="159"/>
      <c r="LF156" s="159"/>
      <c r="LG156" s="159"/>
      <c r="LH156" s="159"/>
      <c r="LI156" s="159"/>
      <c r="LJ156" s="159"/>
      <c r="LK156" s="159"/>
      <c r="LL156" s="159"/>
      <c r="LM156" s="159"/>
      <c r="LN156" s="159"/>
      <c r="LO156" s="159"/>
      <c r="LP156" s="159"/>
      <c r="LQ156" s="159"/>
      <c r="LR156" s="159"/>
      <c r="LS156" s="159"/>
      <c r="LT156" s="159"/>
      <c r="LU156" s="159"/>
      <c r="LV156" s="159"/>
      <c r="LW156" s="159"/>
      <c r="LX156" s="159"/>
      <c r="LY156" s="159"/>
      <c r="LZ156" s="159"/>
      <c r="MA156" s="159"/>
      <c r="MB156" s="159"/>
      <c r="MC156" s="159"/>
      <c r="MD156" s="159"/>
      <c r="ME156" s="159"/>
      <c r="MF156" s="159"/>
      <c r="MG156" s="159"/>
      <c r="MH156" s="159"/>
      <c r="MI156" s="159"/>
      <c r="MJ156" s="159"/>
      <c r="MK156" s="159"/>
      <c r="ML156" s="159"/>
      <c r="MM156" s="159"/>
      <c r="MN156" s="159"/>
      <c r="MO156" s="159"/>
      <c r="MP156" s="159"/>
      <c r="MQ156" s="159"/>
      <c r="MR156" s="159"/>
      <c r="MS156" s="159"/>
      <c r="MT156" s="159"/>
      <c r="MU156" s="159"/>
      <c r="MV156" s="159"/>
      <c r="MW156" s="159"/>
      <c r="MX156" s="159"/>
      <c r="MY156" s="159"/>
      <c r="MZ156" s="159"/>
      <c r="NA156" s="159"/>
      <c r="NB156" s="159"/>
      <c r="NC156" s="159"/>
      <c r="ND156" s="159"/>
      <c r="NE156" s="159"/>
      <c r="NF156" s="159"/>
      <c r="NG156" s="159"/>
      <c r="NH156" s="159"/>
      <c r="NI156" s="159"/>
      <c r="NJ156" s="159"/>
      <c r="NK156" s="159"/>
      <c r="NL156" s="159"/>
      <c r="NM156" s="159"/>
      <c r="NN156" s="159"/>
      <c r="NO156" s="159"/>
      <c r="NP156" s="159"/>
      <c r="NQ156" s="159"/>
      <c r="NR156" s="159"/>
      <c r="NS156" s="159"/>
      <c r="NT156" s="159"/>
      <c r="NU156" s="159"/>
      <c r="NV156" s="159"/>
      <c r="NW156" s="159"/>
      <c r="NX156" s="159"/>
      <c r="NY156" s="159"/>
      <c r="NZ156" s="159"/>
      <c r="OA156" s="159"/>
      <c r="OB156" s="159"/>
      <c r="OC156" s="159"/>
      <c r="OD156" s="159"/>
      <c r="OE156" s="159"/>
      <c r="OF156" s="159"/>
      <c r="OG156" s="159"/>
      <c r="OH156" s="159"/>
      <c r="OI156" s="159"/>
      <c r="OJ156" s="159"/>
      <c r="OK156" s="159"/>
      <c r="OL156" s="159"/>
      <c r="OM156" s="159"/>
      <c r="ON156" s="159"/>
      <c r="OO156" s="159"/>
      <c r="OP156" s="159"/>
      <c r="OQ156" s="159"/>
      <c r="OR156" s="159"/>
      <c r="OS156" s="159"/>
      <c r="OT156" s="159"/>
      <c r="OU156" s="159"/>
      <c r="OV156" s="159"/>
      <c r="OW156" s="159"/>
      <c r="OX156" s="159"/>
      <c r="OY156" s="159"/>
      <c r="OZ156" s="159"/>
      <c r="PA156" s="159"/>
      <c r="PB156" s="159"/>
      <c r="PC156" s="159"/>
      <c r="PD156" s="159"/>
      <c r="PE156" s="159"/>
      <c r="PF156" s="159"/>
      <c r="PG156" s="159"/>
      <c r="PH156" s="159"/>
      <c r="PI156" s="159"/>
      <c r="PJ156" s="159"/>
      <c r="PK156" s="159"/>
      <c r="PL156" s="159"/>
      <c r="PM156" s="159"/>
      <c r="PN156" s="159"/>
      <c r="PO156" s="159"/>
      <c r="PP156" s="159"/>
      <c r="PQ156" s="159"/>
      <c r="PR156" s="159"/>
      <c r="PS156" s="159"/>
      <c r="PT156" s="159"/>
      <c r="PU156" s="159"/>
      <c r="PV156" s="159"/>
      <c r="PW156" s="159"/>
      <c r="PX156" s="159"/>
      <c r="PY156" s="159"/>
      <c r="PZ156" s="159"/>
      <c r="QA156" s="159"/>
      <c r="QB156" s="159"/>
      <c r="QC156" s="159"/>
      <c r="QD156" s="159"/>
      <c r="QE156" s="159"/>
      <c r="QF156" s="159"/>
      <c r="QG156" s="159"/>
      <c r="QH156" s="159"/>
      <c r="QI156" s="159"/>
      <c r="QJ156" s="159"/>
      <c r="QK156" s="159"/>
      <c r="QL156" s="159"/>
      <c r="QM156" s="159"/>
      <c r="QN156" s="159"/>
      <c r="QO156" s="159"/>
      <c r="QP156" s="159"/>
      <c r="QQ156" s="159"/>
      <c r="QR156" s="159"/>
      <c r="QS156" s="159"/>
      <c r="QT156" s="159"/>
      <c r="QU156" s="159"/>
      <c r="QV156" s="159"/>
      <c r="QW156" s="159"/>
      <c r="QX156" s="159"/>
      <c r="QY156" s="159"/>
      <c r="QZ156" s="159"/>
      <c r="RA156" s="159"/>
      <c r="RB156" s="159"/>
      <c r="RC156" s="159"/>
      <c r="RD156" s="159"/>
      <c r="RE156" s="159"/>
      <c r="RF156" s="159"/>
      <c r="RG156" s="159"/>
      <c r="RH156" s="159"/>
      <c r="RI156" s="159"/>
      <c r="RJ156" s="159"/>
      <c r="RK156" s="159"/>
      <c r="RL156" s="159"/>
      <c r="RM156" s="159"/>
      <c r="RN156" s="159"/>
      <c r="RO156" s="159"/>
      <c r="RP156" s="159"/>
      <c r="RQ156" s="159"/>
      <c r="RR156" s="159"/>
      <c r="RS156" s="159"/>
      <c r="RT156" s="159"/>
      <c r="RU156" s="159"/>
      <c r="RV156" s="159"/>
      <c r="RW156" s="159"/>
      <c r="RX156" s="159"/>
      <c r="RY156" s="159"/>
      <c r="RZ156" s="159"/>
      <c r="SA156" s="159"/>
      <c r="SB156" s="159"/>
      <c r="SC156" s="159"/>
      <c r="SD156" s="159"/>
      <c r="SE156" s="159"/>
      <c r="SF156" s="159"/>
      <c r="SG156" s="159"/>
      <c r="SH156" s="159"/>
      <c r="SI156" s="159"/>
      <c r="SJ156" s="159"/>
      <c r="SK156" s="159"/>
      <c r="SL156" s="159"/>
      <c r="SM156" s="159"/>
      <c r="SN156" s="159"/>
      <c r="SO156" s="159"/>
      <c r="SP156" s="159"/>
      <c r="SQ156" s="159"/>
      <c r="SR156" s="159"/>
      <c r="SS156" s="159"/>
      <c r="ST156" s="159"/>
      <c r="SU156" s="159"/>
      <c r="SV156" s="159"/>
      <c r="SW156" s="159"/>
      <c r="SX156" s="159"/>
      <c r="SY156" s="159"/>
      <c r="SZ156" s="159"/>
      <c r="TA156" s="159"/>
      <c r="TB156" s="159"/>
      <c r="TC156" s="159"/>
      <c r="TD156" s="159"/>
      <c r="TE156" s="159"/>
      <c r="TF156" s="159"/>
      <c r="TG156" s="159"/>
      <c r="TH156" s="159"/>
      <c r="TI156" s="159"/>
      <c r="TJ156" s="159"/>
      <c r="TK156" s="159"/>
      <c r="TL156" s="159"/>
      <c r="TM156" s="159"/>
      <c r="TN156" s="159"/>
      <c r="TO156" s="159"/>
      <c r="TP156" s="159"/>
      <c r="TQ156" s="159"/>
      <c r="TR156" s="159"/>
      <c r="TS156" s="159"/>
      <c r="TT156" s="159"/>
      <c r="TU156" s="159"/>
      <c r="TV156" s="159"/>
      <c r="TW156" s="159"/>
      <c r="TX156" s="159"/>
      <c r="TY156" s="159"/>
      <c r="TZ156" s="159"/>
      <c r="UA156" s="159"/>
      <c r="UB156" s="159"/>
      <c r="UC156" s="159"/>
      <c r="UD156" s="159"/>
      <c r="UE156" s="159"/>
      <c r="UF156" s="159"/>
      <c r="UG156" s="159"/>
      <c r="UH156" s="159"/>
      <c r="UI156" s="159"/>
      <c r="UJ156" s="159"/>
      <c r="UK156" s="159"/>
      <c r="UL156" s="159"/>
      <c r="UM156" s="159"/>
      <c r="UN156" s="159"/>
      <c r="UO156" s="159"/>
      <c r="UP156" s="159"/>
      <c r="UQ156" s="159"/>
      <c r="UR156" s="159"/>
      <c r="US156" s="159"/>
      <c r="UT156" s="159"/>
      <c r="UU156" s="159"/>
      <c r="UV156" s="159"/>
      <c r="UW156" s="159"/>
      <c r="UX156" s="159"/>
      <c r="UY156" s="159"/>
      <c r="UZ156" s="159"/>
      <c r="VA156" s="159"/>
      <c r="VB156" s="159"/>
      <c r="VC156" s="159"/>
      <c r="VD156" s="159"/>
      <c r="VE156" s="159"/>
      <c r="VF156" s="159"/>
      <c r="VG156" s="159"/>
      <c r="VH156" s="159"/>
      <c r="VI156" s="159"/>
      <c r="VJ156" s="159"/>
      <c r="VK156" s="159"/>
      <c r="VL156" s="159"/>
      <c r="VM156" s="159"/>
      <c r="VN156" s="159"/>
      <c r="VO156" s="159"/>
      <c r="VP156" s="159"/>
      <c r="VQ156" s="159"/>
      <c r="VR156" s="159"/>
      <c r="VS156" s="159"/>
      <c r="VT156" s="159"/>
      <c r="VU156" s="159"/>
      <c r="VV156" s="159"/>
      <c r="VW156" s="159"/>
      <c r="VX156" s="159"/>
      <c r="VY156" s="159"/>
      <c r="VZ156" s="159"/>
      <c r="WA156" s="159"/>
      <c r="WB156" s="159"/>
      <c r="WC156" s="159"/>
      <c r="WD156" s="159"/>
      <c r="WE156" s="159"/>
      <c r="WF156" s="159"/>
      <c r="WG156" s="159"/>
      <c r="WH156" s="159"/>
      <c r="WI156" s="159"/>
      <c r="WJ156" s="159"/>
      <c r="WK156" s="159"/>
      <c r="WL156" s="159"/>
      <c r="WM156" s="159"/>
      <c r="WN156" s="159"/>
      <c r="WO156" s="159"/>
      <c r="WP156" s="159"/>
      <c r="WQ156" s="159"/>
      <c r="WR156" s="159"/>
      <c r="WS156" s="159"/>
      <c r="WT156" s="159"/>
      <c r="WU156" s="159"/>
      <c r="WV156" s="159"/>
      <c r="WW156" s="159"/>
      <c r="WX156" s="159"/>
      <c r="WY156" s="159"/>
      <c r="WZ156" s="159"/>
      <c r="XA156" s="159"/>
      <c r="XB156" s="159"/>
      <c r="XC156" s="159"/>
      <c r="XD156" s="159"/>
      <c r="XE156" s="159"/>
      <c r="XF156" s="159"/>
      <c r="XG156" s="159"/>
      <c r="XH156" s="159"/>
      <c r="XI156" s="159"/>
      <c r="XJ156" s="159"/>
      <c r="XK156" s="159"/>
      <c r="XL156" s="159"/>
      <c r="XM156" s="159"/>
      <c r="XN156" s="159"/>
      <c r="XO156" s="159"/>
      <c r="XP156" s="159"/>
      <c r="XQ156" s="159"/>
      <c r="XR156" s="159"/>
      <c r="XS156" s="159"/>
      <c r="XT156" s="159"/>
      <c r="XU156" s="159"/>
      <c r="XV156" s="159"/>
      <c r="XW156" s="159"/>
      <c r="XX156" s="159"/>
      <c r="XY156" s="159"/>
      <c r="XZ156" s="159"/>
      <c r="YA156" s="159"/>
      <c r="YB156" s="159"/>
      <c r="YC156" s="159"/>
      <c r="YD156" s="159"/>
      <c r="YE156" s="159"/>
      <c r="YF156" s="159"/>
      <c r="YG156" s="159"/>
      <c r="YH156" s="159"/>
      <c r="YI156" s="159"/>
      <c r="YJ156" s="159"/>
      <c r="YK156" s="159"/>
      <c r="YL156" s="159"/>
      <c r="YM156" s="159"/>
      <c r="YN156" s="159"/>
      <c r="YO156" s="159"/>
      <c r="YP156" s="159"/>
      <c r="YQ156" s="159"/>
      <c r="YR156" s="159"/>
      <c r="YS156" s="159"/>
      <c r="YT156" s="159"/>
      <c r="YU156" s="159"/>
      <c r="YV156" s="159"/>
      <c r="YW156" s="159"/>
      <c r="YX156" s="159"/>
      <c r="YY156" s="159"/>
      <c r="YZ156" s="159"/>
      <c r="ZA156" s="159"/>
      <c r="ZB156" s="159"/>
      <c r="ZC156" s="159"/>
      <c r="ZD156" s="159"/>
      <c r="ZE156" s="159"/>
      <c r="ZF156" s="159"/>
      <c r="ZG156" s="159"/>
      <c r="ZH156" s="159"/>
      <c r="ZI156" s="159"/>
      <c r="ZJ156" s="159"/>
      <c r="ZK156" s="159"/>
      <c r="ZL156" s="159"/>
      <c r="ZM156" s="159"/>
      <c r="ZN156" s="159"/>
      <c r="ZO156" s="159"/>
      <c r="ZP156" s="159"/>
      <c r="ZQ156" s="159"/>
      <c r="ZR156" s="159"/>
      <c r="ZS156" s="159"/>
      <c r="ZT156" s="159"/>
      <c r="ZU156" s="159"/>
      <c r="ZV156" s="159"/>
      <c r="ZW156" s="159"/>
      <c r="ZX156" s="159"/>
      <c r="ZY156" s="159"/>
      <c r="ZZ156" s="159"/>
      <c r="AAA156" s="159"/>
      <c r="AAB156" s="159"/>
      <c r="AAC156" s="159"/>
      <c r="AAD156" s="159"/>
      <c r="AAE156" s="159"/>
      <c r="AAF156" s="159"/>
      <c r="AAG156" s="159"/>
      <c r="AAH156" s="159"/>
      <c r="AAI156" s="159"/>
      <c r="AAJ156" s="159"/>
      <c r="AAK156" s="159"/>
      <c r="AAL156" s="159"/>
      <c r="AAM156" s="159"/>
      <c r="AAN156" s="159"/>
      <c r="AAO156" s="159"/>
      <c r="AAP156" s="159"/>
      <c r="AAQ156" s="159"/>
      <c r="AAR156" s="159"/>
      <c r="AAS156" s="159"/>
      <c r="AAT156" s="159"/>
      <c r="AAU156" s="159"/>
      <c r="AAV156" s="159"/>
      <c r="AAW156" s="159"/>
      <c r="AAX156" s="159"/>
      <c r="AAY156" s="159"/>
      <c r="AAZ156" s="159"/>
      <c r="ABA156" s="159"/>
      <c r="ABB156" s="159"/>
      <c r="ABC156" s="159"/>
      <c r="ABD156" s="159"/>
      <c r="ABE156" s="159"/>
      <c r="ABF156" s="159"/>
      <c r="ABG156" s="159"/>
      <c r="ABH156" s="159"/>
      <c r="ABI156" s="159"/>
      <c r="ABJ156" s="159"/>
      <c r="ABK156" s="159"/>
      <c r="ABL156" s="159"/>
      <c r="ABM156" s="159"/>
      <c r="ABN156" s="159"/>
      <c r="ABO156" s="159"/>
      <c r="ABP156" s="159"/>
      <c r="ABQ156" s="159"/>
      <c r="ABR156" s="159"/>
      <c r="ABS156" s="159"/>
      <c r="ABT156" s="159"/>
      <c r="ABU156" s="159"/>
      <c r="ABV156" s="159"/>
      <c r="ABW156" s="159"/>
      <c r="ABX156" s="159"/>
      <c r="ABY156" s="159"/>
      <c r="ABZ156" s="159"/>
      <c r="ACA156" s="159"/>
      <c r="ACB156" s="159"/>
      <c r="ACC156" s="159"/>
      <c r="ACD156" s="159"/>
      <c r="ACE156" s="159"/>
      <c r="ACF156" s="159"/>
      <c r="ACG156" s="159"/>
      <c r="ACH156" s="159"/>
      <c r="ACI156" s="159"/>
      <c r="ACJ156" s="159"/>
      <c r="ACK156" s="159"/>
      <c r="ACL156" s="159"/>
      <c r="ACM156" s="159"/>
      <c r="ACN156" s="159"/>
      <c r="ACO156" s="159"/>
      <c r="ACP156" s="159"/>
      <c r="ACQ156" s="159"/>
      <c r="ACR156" s="159"/>
      <c r="ACS156" s="159"/>
      <c r="ACT156" s="159"/>
      <c r="ACU156" s="159"/>
      <c r="ACV156" s="159"/>
      <c r="ACW156" s="159"/>
      <c r="ACX156" s="159"/>
      <c r="ACY156" s="159"/>
      <c r="ACZ156" s="159"/>
      <c r="ADA156" s="159"/>
      <c r="ADB156" s="159"/>
      <c r="ADC156" s="159"/>
      <c r="ADD156" s="159"/>
      <c r="ADE156" s="159"/>
      <c r="ADF156" s="159"/>
      <c r="ADG156" s="159"/>
      <c r="ADH156" s="159"/>
      <c r="ADI156" s="159"/>
      <c r="ADJ156" s="159"/>
      <c r="ADK156" s="159"/>
      <c r="ADL156" s="159"/>
      <c r="ADM156" s="159"/>
      <c r="ADN156" s="159"/>
      <c r="ADO156" s="159"/>
      <c r="ADP156" s="159"/>
      <c r="ADQ156" s="159"/>
      <c r="ADR156" s="159"/>
      <c r="ADS156" s="159"/>
      <c r="ADT156" s="159"/>
      <c r="ADU156" s="159"/>
      <c r="ADV156" s="159"/>
      <c r="ADW156" s="159"/>
      <c r="ADX156" s="159"/>
      <c r="ADY156" s="159"/>
      <c r="ADZ156" s="159"/>
      <c r="AEA156" s="159"/>
      <c r="AEB156" s="159"/>
      <c r="AEC156" s="159"/>
      <c r="AED156" s="159"/>
      <c r="AEE156" s="159"/>
      <c r="AEF156" s="159"/>
      <c r="AEG156" s="159"/>
      <c r="AEH156" s="159"/>
      <c r="AEI156" s="159"/>
      <c r="AEJ156" s="159"/>
      <c r="AEK156" s="159"/>
      <c r="AEL156" s="159"/>
      <c r="AEM156" s="159"/>
      <c r="AEN156" s="159"/>
      <c r="AEO156" s="159"/>
      <c r="AEP156" s="159"/>
      <c r="AEQ156" s="159"/>
      <c r="AER156" s="159"/>
      <c r="AES156" s="159"/>
      <c r="AET156" s="159"/>
      <c r="AEU156" s="159"/>
      <c r="AEV156" s="159"/>
      <c r="AEW156" s="159"/>
      <c r="AEX156" s="159"/>
      <c r="AEY156" s="159"/>
      <c r="AEZ156" s="159"/>
      <c r="AFA156" s="159"/>
      <c r="AFB156" s="159"/>
      <c r="AFC156" s="159"/>
      <c r="AFD156" s="159"/>
      <c r="AFE156" s="159"/>
      <c r="AFF156" s="159"/>
      <c r="AFG156" s="159"/>
      <c r="AFH156" s="159"/>
      <c r="AFI156" s="159"/>
      <c r="AFJ156" s="159"/>
      <c r="AFK156" s="159"/>
      <c r="AFL156" s="159"/>
      <c r="AFM156" s="159"/>
      <c r="AFN156" s="159"/>
      <c r="AFO156" s="159"/>
      <c r="AFP156" s="159"/>
      <c r="AFQ156" s="159"/>
      <c r="AFR156" s="159"/>
      <c r="AFS156" s="159"/>
      <c r="AFT156" s="159"/>
      <c r="AFU156" s="159"/>
      <c r="AFV156" s="159"/>
      <c r="AFW156" s="159"/>
      <c r="AFX156" s="159"/>
      <c r="AFY156" s="159"/>
      <c r="AFZ156" s="159"/>
      <c r="AGA156" s="159"/>
      <c r="AGB156" s="159"/>
      <c r="AGC156" s="159"/>
      <c r="AGD156" s="159"/>
      <c r="AGE156" s="159"/>
      <c r="AGF156" s="159"/>
      <c r="AGG156" s="159"/>
      <c r="AGH156" s="159"/>
      <c r="AGI156" s="159"/>
      <c r="AGJ156" s="159"/>
      <c r="AGK156" s="159"/>
      <c r="AGL156" s="159"/>
      <c r="AGM156" s="159"/>
      <c r="AGN156" s="159"/>
      <c r="AGO156" s="159"/>
      <c r="AGP156" s="159"/>
      <c r="AGQ156" s="159"/>
      <c r="AGR156" s="159"/>
      <c r="AGS156" s="159"/>
      <c r="AGT156" s="159"/>
      <c r="AGU156" s="159"/>
      <c r="AGV156" s="159"/>
      <c r="AGW156" s="159"/>
      <c r="AGX156" s="159"/>
      <c r="AGY156" s="159"/>
      <c r="AGZ156" s="159"/>
      <c r="AHA156" s="159"/>
      <c r="AHB156" s="159"/>
      <c r="AHC156" s="159"/>
      <c r="AHD156" s="159"/>
      <c r="AHE156" s="159"/>
      <c r="AHF156" s="159"/>
      <c r="AHG156" s="159"/>
      <c r="AHH156" s="159"/>
      <c r="AHI156" s="159"/>
      <c r="AHJ156" s="159"/>
      <c r="AHK156" s="159"/>
      <c r="AHL156" s="159"/>
      <c r="AHM156" s="159"/>
      <c r="AHN156" s="159"/>
      <c r="AHO156" s="159"/>
      <c r="AHP156" s="159"/>
      <c r="AHQ156" s="159"/>
      <c r="AHR156" s="159"/>
      <c r="AHS156" s="159"/>
      <c r="AHT156" s="159"/>
      <c r="AHU156" s="159"/>
      <c r="AHV156" s="159"/>
      <c r="AHW156" s="159"/>
      <c r="AHX156" s="159"/>
      <c r="AHY156" s="159"/>
      <c r="AHZ156" s="159"/>
      <c r="AIA156" s="159"/>
      <c r="AIB156" s="159"/>
      <c r="AIC156" s="159"/>
      <c r="AID156" s="159"/>
      <c r="AIE156" s="159"/>
      <c r="AIF156" s="159"/>
      <c r="AIG156" s="159"/>
      <c r="AIH156" s="159"/>
      <c r="AII156" s="159"/>
      <c r="AIJ156" s="159"/>
      <c r="AIK156" s="159"/>
      <c r="AIL156" s="159"/>
      <c r="AIM156" s="159"/>
      <c r="AIN156" s="159"/>
      <c r="AIO156" s="159"/>
      <c r="AIP156" s="159"/>
      <c r="AIQ156" s="159"/>
      <c r="AIR156" s="159"/>
      <c r="AIS156" s="159"/>
      <c r="AIT156" s="159"/>
      <c r="AIU156" s="159"/>
      <c r="AIV156" s="159"/>
      <c r="AIW156" s="159"/>
      <c r="AIX156" s="159"/>
      <c r="AIY156" s="159"/>
      <c r="AIZ156" s="159"/>
      <c r="AJA156" s="159"/>
      <c r="AJB156" s="159"/>
      <c r="AJC156" s="159"/>
      <c r="AJD156" s="159"/>
      <c r="AJE156" s="159"/>
      <c r="AJF156" s="159"/>
      <c r="AJG156" s="159"/>
      <c r="AJH156" s="159"/>
      <c r="AJI156" s="159"/>
      <c r="AJJ156" s="159"/>
      <c r="AJK156" s="159"/>
      <c r="AJL156" s="159"/>
      <c r="AJM156" s="159"/>
      <c r="AJN156" s="159"/>
      <c r="AJO156" s="159"/>
      <c r="AJP156" s="159"/>
      <c r="AJQ156" s="159"/>
      <c r="AJR156" s="159"/>
      <c r="AJS156" s="159"/>
      <c r="AJT156" s="159"/>
      <c r="AJU156" s="159"/>
      <c r="AJV156" s="159"/>
      <c r="AJW156" s="159"/>
      <c r="AJX156" s="159"/>
      <c r="AJY156" s="159"/>
      <c r="AJZ156" s="159"/>
      <c r="AKA156" s="159"/>
      <c r="AKB156" s="159"/>
      <c r="AKC156" s="159"/>
      <c r="AKD156" s="159"/>
      <c r="AKE156" s="159"/>
      <c r="AKF156" s="159"/>
      <c r="AKG156" s="159"/>
      <c r="AKH156" s="159"/>
      <c r="AKI156" s="159"/>
      <c r="AKJ156" s="159"/>
      <c r="AKK156" s="159"/>
      <c r="AKL156" s="159"/>
      <c r="AKM156" s="159"/>
      <c r="AKN156" s="159"/>
      <c r="AKO156" s="159"/>
      <c r="AKP156" s="159"/>
      <c r="AKQ156" s="159"/>
      <c r="AKR156" s="159"/>
      <c r="AKS156" s="159"/>
      <c r="AKT156" s="159"/>
      <c r="AKU156" s="159"/>
      <c r="AKV156" s="159"/>
      <c r="AKW156" s="159"/>
      <c r="AKX156" s="159"/>
      <c r="AKY156" s="159"/>
      <c r="AKZ156" s="159"/>
      <c r="ALA156" s="159"/>
      <c r="ALB156" s="159"/>
      <c r="ALC156" s="159"/>
      <c r="ALD156" s="159"/>
      <c r="ALE156" s="159"/>
      <c r="ALF156" s="159"/>
      <c r="ALG156" s="159"/>
      <c r="ALH156" s="159"/>
      <c r="ALI156" s="159"/>
      <c r="ALJ156" s="159"/>
      <c r="ALK156" s="159"/>
      <c r="ALL156" s="159"/>
      <c r="ALM156" s="159"/>
      <c r="ALN156" s="159"/>
      <c r="ALO156" s="159"/>
      <c r="ALP156" s="159"/>
      <c r="ALQ156" s="159"/>
      <c r="ALR156" s="159"/>
      <c r="ALS156" s="159"/>
      <c r="ALT156" s="159"/>
      <c r="ALU156" s="159"/>
      <c r="ALV156" s="159"/>
      <c r="ALW156" s="159"/>
      <c r="ALX156" s="159"/>
      <c r="ALY156" s="159"/>
      <c r="ALZ156" s="159"/>
      <c r="AMA156" s="159"/>
      <c r="AMB156" s="159"/>
      <c r="AMC156" s="159"/>
      <c r="AMD156" s="159"/>
      <c r="AME156" s="159"/>
      <c r="AMF156" s="159"/>
      <c r="AMG156" s="159"/>
      <c r="AMH156" s="159"/>
      <c r="AMI156" s="159"/>
      <c r="AMJ156" s="159"/>
      <c r="AMK156" s="159"/>
      <c r="AML156" s="159"/>
      <c r="AMM156" s="159"/>
      <c r="AMN156" s="159"/>
      <c r="AMO156" s="159"/>
    </row>
    <row r="157" spans="1:1029" s="161" customFormat="1" x14ac:dyDescent="0.25">
      <c r="A157" s="138">
        <v>46240</v>
      </c>
      <c r="B157" s="99" t="s">
        <v>22</v>
      </c>
      <c r="C157" s="99" t="s">
        <v>121</v>
      </c>
      <c r="D157" s="160" t="s">
        <v>104</v>
      </c>
      <c r="E157" s="118" t="s">
        <v>8</v>
      </c>
      <c r="F157" s="149" t="s">
        <v>38</v>
      </c>
      <c r="G157" s="149" t="s">
        <v>16</v>
      </c>
      <c r="H157" s="141" t="b">
        <f>IF(ISBLANK($B157),$W$53,IF(AND($B157=E157,$C157=F157,$D157=G157),$W$50,IF(AND($B157=E157,OR($C157=F157,$D157=G157)),$W$51+$W$52,IF(OR($B157=E157,AND($C157=F157,$D157=G157)),$W$51,IF(OR($C157=F157,$D157=G157),$W$52)))))</f>
        <v>0</v>
      </c>
      <c r="I157" s="120" t="s">
        <v>19</v>
      </c>
      <c r="J157" s="121" t="s">
        <v>119</v>
      </c>
      <c r="K157" s="121" t="s">
        <v>21</v>
      </c>
      <c r="L157" s="141" t="b">
        <f t="shared" si="13"/>
        <v>0</v>
      </c>
      <c r="M157" s="121" t="s">
        <v>8</v>
      </c>
      <c r="N157" s="121" t="s">
        <v>77</v>
      </c>
      <c r="O157" s="121" t="s">
        <v>90</v>
      </c>
      <c r="P157" s="141" t="b">
        <f t="shared" si="14"/>
        <v>0</v>
      </c>
      <c r="Q157" s="149" t="s">
        <v>42</v>
      </c>
      <c r="R157" s="99" t="s">
        <v>77</v>
      </c>
      <c r="S157" s="99" t="s">
        <v>16</v>
      </c>
      <c r="T157" s="141" t="b">
        <f t="shared" si="15"/>
        <v>0</v>
      </c>
      <c r="U157" s="159"/>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c r="AQ157" s="159"/>
      <c r="AR157" s="159"/>
      <c r="AS157" s="159"/>
      <c r="AT157" s="159"/>
      <c r="AU157" s="159"/>
      <c r="AV157" s="159"/>
      <c r="AW157" s="159"/>
      <c r="AX157" s="159"/>
      <c r="AY157" s="159"/>
      <c r="AZ157" s="159"/>
      <c r="BA157" s="159"/>
      <c r="BB157" s="159"/>
      <c r="BC157" s="159"/>
      <c r="BD157" s="159"/>
      <c r="BE157" s="159"/>
      <c r="BF157" s="159"/>
      <c r="BG157" s="159"/>
      <c r="BH157" s="159"/>
      <c r="BI157" s="159"/>
      <c r="BJ157" s="159"/>
      <c r="BK157" s="159"/>
      <c r="BL157" s="159"/>
      <c r="BM157" s="159"/>
      <c r="BN157" s="159"/>
      <c r="BO157" s="159"/>
      <c r="BP157" s="159"/>
      <c r="BQ157" s="159"/>
      <c r="BR157" s="159"/>
      <c r="BS157" s="159"/>
      <c r="BT157" s="159"/>
      <c r="BU157" s="159"/>
      <c r="BV157" s="159"/>
      <c r="BW157" s="159"/>
      <c r="BX157" s="159"/>
      <c r="BY157" s="159"/>
      <c r="BZ157" s="159"/>
      <c r="CA157" s="159"/>
      <c r="CB157" s="159"/>
      <c r="CC157" s="159"/>
      <c r="CD157" s="159"/>
      <c r="CE157" s="159"/>
      <c r="CF157" s="159"/>
      <c r="CG157" s="159"/>
      <c r="CH157" s="159"/>
      <c r="CI157" s="159"/>
      <c r="CJ157" s="159"/>
      <c r="CK157" s="159"/>
      <c r="CL157" s="159"/>
      <c r="CM157" s="159"/>
      <c r="CN157" s="159"/>
      <c r="CO157" s="159"/>
      <c r="CP157" s="159"/>
      <c r="CQ157" s="159"/>
      <c r="CR157" s="159"/>
      <c r="CS157" s="159"/>
      <c r="CT157" s="159"/>
      <c r="CU157" s="159"/>
      <c r="CV157" s="159"/>
      <c r="CW157" s="159"/>
      <c r="CX157" s="159"/>
      <c r="CY157" s="159"/>
      <c r="CZ157" s="159"/>
      <c r="DA157" s="159"/>
      <c r="DB157" s="159"/>
      <c r="DC157" s="159"/>
      <c r="DD157" s="159"/>
      <c r="DE157" s="159"/>
      <c r="DF157" s="159"/>
      <c r="DG157" s="159"/>
      <c r="DH157" s="159"/>
      <c r="DI157" s="159"/>
      <c r="DJ157" s="159"/>
      <c r="DK157" s="159"/>
      <c r="DL157" s="159"/>
      <c r="DM157" s="159"/>
      <c r="DN157" s="159"/>
      <c r="DO157" s="159"/>
      <c r="DP157" s="159"/>
      <c r="DQ157" s="159"/>
      <c r="DR157" s="159"/>
      <c r="DS157" s="159"/>
      <c r="DT157" s="159"/>
      <c r="DU157" s="159"/>
      <c r="DV157" s="159"/>
      <c r="DW157" s="159"/>
      <c r="DX157" s="159"/>
      <c r="DY157" s="159"/>
      <c r="DZ157" s="159"/>
      <c r="EA157" s="159"/>
      <c r="EB157" s="159"/>
      <c r="EC157" s="159"/>
      <c r="ED157" s="159"/>
      <c r="EE157" s="159"/>
      <c r="EF157" s="159"/>
      <c r="EG157" s="159"/>
      <c r="EH157" s="159"/>
      <c r="EI157" s="159"/>
      <c r="EJ157" s="159"/>
      <c r="EK157" s="159"/>
      <c r="EL157" s="159"/>
      <c r="EM157" s="159"/>
      <c r="EN157" s="159"/>
      <c r="EO157" s="159"/>
      <c r="EP157" s="159"/>
      <c r="EQ157" s="159"/>
      <c r="ER157" s="159"/>
      <c r="ES157" s="159"/>
      <c r="ET157" s="159"/>
      <c r="EU157" s="159"/>
      <c r="EV157" s="159"/>
      <c r="EW157" s="159"/>
      <c r="EX157" s="159"/>
      <c r="EY157" s="159"/>
      <c r="EZ157" s="159"/>
      <c r="FA157" s="159"/>
      <c r="FB157" s="159"/>
      <c r="FC157" s="159"/>
      <c r="FD157" s="159"/>
      <c r="FE157" s="159"/>
      <c r="FF157" s="159"/>
      <c r="FG157" s="159"/>
      <c r="FH157" s="159"/>
      <c r="FI157" s="159"/>
      <c r="FJ157" s="159"/>
      <c r="FK157" s="159"/>
      <c r="FL157" s="159"/>
      <c r="FM157" s="159"/>
      <c r="FN157" s="159"/>
      <c r="FO157" s="159"/>
      <c r="FP157" s="159"/>
      <c r="FQ157" s="159"/>
      <c r="FR157" s="159"/>
      <c r="FS157" s="159"/>
      <c r="FT157" s="159"/>
      <c r="FU157" s="159"/>
      <c r="FV157" s="159"/>
      <c r="FW157" s="159"/>
      <c r="FX157" s="159"/>
      <c r="FY157" s="159"/>
      <c r="FZ157" s="159"/>
      <c r="GA157" s="159"/>
      <c r="GB157" s="159"/>
      <c r="GC157" s="159"/>
      <c r="GD157" s="159"/>
      <c r="GE157" s="159"/>
      <c r="GF157" s="159"/>
      <c r="GG157" s="159"/>
      <c r="GH157" s="159"/>
      <c r="GI157" s="159"/>
      <c r="GJ157" s="159"/>
      <c r="GK157" s="159"/>
      <c r="GL157" s="159"/>
      <c r="GM157" s="159"/>
      <c r="GN157" s="159"/>
      <c r="GO157" s="159"/>
      <c r="GP157" s="159"/>
      <c r="GQ157" s="159"/>
      <c r="GR157" s="159"/>
      <c r="GS157" s="159"/>
      <c r="GT157" s="159"/>
      <c r="GU157" s="159"/>
      <c r="GV157" s="159"/>
      <c r="GW157" s="159"/>
      <c r="GX157" s="159"/>
      <c r="GY157" s="159"/>
      <c r="GZ157" s="159"/>
      <c r="HA157" s="159"/>
      <c r="HB157" s="159"/>
      <c r="HC157" s="159"/>
      <c r="HD157" s="159"/>
      <c r="HE157" s="159"/>
      <c r="HF157" s="159"/>
      <c r="HG157" s="159"/>
      <c r="HH157" s="159"/>
      <c r="HI157" s="159"/>
      <c r="HJ157" s="159"/>
      <c r="HK157" s="159"/>
      <c r="HL157" s="159"/>
      <c r="HM157" s="159"/>
      <c r="HN157" s="159"/>
      <c r="HO157" s="159"/>
      <c r="HP157" s="159"/>
      <c r="HQ157" s="159"/>
      <c r="HR157" s="159"/>
      <c r="HS157" s="159"/>
      <c r="HT157" s="159"/>
      <c r="HU157" s="159"/>
      <c r="HV157" s="159"/>
      <c r="HW157" s="159"/>
      <c r="HX157" s="159"/>
      <c r="HY157" s="159"/>
      <c r="HZ157" s="159"/>
      <c r="IA157" s="159"/>
      <c r="IB157" s="159"/>
      <c r="IC157" s="159"/>
      <c r="ID157" s="159"/>
      <c r="IE157" s="159"/>
      <c r="IF157" s="159"/>
      <c r="IG157" s="159"/>
      <c r="IH157" s="159"/>
      <c r="II157" s="159"/>
      <c r="IJ157" s="159"/>
      <c r="IK157" s="159"/>
      <c r="IL157" s="159"/>
      <c r="IM157" s="159"/>
      <c r="IN157" s="159"/>
      <c r="IO157" s="159"/>
      <c r="IP157" s="159"/>
      <c r="IQ157" s="159"/>
      <c r="IR157" s="159"/>
      <c r="IS157" s="159"/>
      <c r="IT157" s="159"/>
      <c r="IU157" s="159"/>
      <c r="IV157" s="159"/>
      <c r="IW157" s="159"/>
      <c r="IX157" s="159"/>
      <c r="IY157" s="159"/>
      <c r="IZ157" s="159"/>
      <c r="JA157" s="159"/>
      <c r="JB157" s="159"/>
      <c r="JC157" s="159"/>
      <c r="JD157" s="159"/>
      <c r="JE157" s="159"/>
      <c r="JF157" s="159"/>
      <c r="JG157" s="159"/>
      <c r="JH157" s="159"/>
      <c r="JI157" s="159"/>
      <c r="JJ157" s="159"/>
      <c r="JK157" s="159"/>
      <c r="JL157" s="159"/>
      <c r="JM157" s="159"/>
      <c r="JN157" s="159"/>
      <c r="JO157" s="159"/>
      <c r="JP157" s="159"/>
      <c r="JQ157" s="159"/>
      <c r="JR157" s="159"/>
      <c r="JS157" s="159"/>
      <c r="JT157" s="159"/>
      <c r="JU157" s="159"/>
      <c r="JV157" s="159"/>
      <c r="JW157" s="159"/>
      <c r="JX157" s="159"/>
      <c r="JY157" s="159"/>
      <c r="JZ157" s="159"/>
      <c r="KA157" s="159"/>
      <c r="KB157" s="159"/>
      <c r="KC157" s="159"/>
      <c r="KD157" s="159"/>
      <c r="KE157" s="159"/>
      <c r="KF157" s="159"/>
      <c r="KG157" s="159"/>
      <c r="KH157" s="159"/>
      <c r="KI157" s="159"/>
      <c r="KJ157" s="159"/>
      <c r="KK157" s="159"/>
      <c r="KL157" s="159"/>
      <c r="KM157" s="159"/>
      <c r="KN157" s="159"/>
      <c r="KO157" s="159"/>
      <c r="KP157" s="159"/>
      <c r="KQ157" s="159"/>
      <c r="KR157" s="159"/>
      <c r="KS157" s="159"/>
      <c r="KT157" s="159"/>
      <c r="KU157" s="159"/>
      <c r="KV157" s="159"/>
      <c r="KW157" s="159"/>
      <c r="KX157" s="159"/>
      <c r="KY157" s="159"/>
      <c r="KZ157" s="159"/>
      <c r="LA157" s="159"/>
      <c r="LB157" s="159"/>
      <c r="LC157" s="159"/>
      <c r="LD157" s="159"/>
      <c r="LE157" s="159"/>
      <c r="LF157" s="159"/>
      <c r="LG157" s="159"/>
      <c r="LH157" s="159"/>
      <c r="LI157" s="159"/>
      <c r="LJ157" s="159"/>
      <c r="LK157" s="159"/>
      <c r="LL157" s="159"/>
      <c r="LM157" s="159"/>
      <c r="LN157" s="159"/>
      <c r="LO157" s="159"/>
      <c r="LP157" s="159"/>
      <c r="LQ157" s="159"/>
      <c r="LR157" s="159"/>
      <c r="LS157" s="159"/>
      <c r="LT157" s="159"/>
      <c r="LU157" s="159"/>
      <c r="LV157" s="159"/>
      <c r="LW157" s="159"/>
      <c r="LX157" s="159"/>
      <c r="LY157" s="159"/>
      <c r="LZ157" s="159"/>
      <c r="MA157" s="159"/>
      <c r="MB157" s="159"/>
      <c r="MC157" s="159"/>
      <c r="MD157" s="159"/>
      <c r="ME157" s="159"/>
      <c r="MF157" s="159"/>
      <c r="MG157" s="159"/>
      <c r="MH157" s="159"/>
      <c r="MI157" s="159"/>
      <c r="MJ157" s="159"/>
      <c r="MK157" s="159"/>
      <c r="ML157" s="159"/>
      <c r="MM157" s="159"/>
      <c r="MN157" s="159"/>
      <c r="MO157" s="159"/>
      <c r="MP157" s="159"/>
      <c r="MQ157" s="159"/>
      <c r="MR157" s="159"/>
      <c r="MS157" s="159"/>
      <c r="MT157" s="159"/>
      <c r="MU157" s="159"/>
      <c r="MV157" s="159"/>
      <c r="MW157" s="159"/>
      <c r="MX157" s="159"/>
      <c r="MY157" s="159"/>
      <c r="MZ157" s="159"/>
      <c r="NA157" s="159"/>
      <c r="NB157" s="159"/>
      <c r="NC157" s="159"/>
      <c r="ND157" s="159"/>
      <c r="NE157" s="159"/>
      <c r="NF157" s="159"/>
      <c r="NG157" s="159"/>
      <c r="NH157" s="159"/>
      <c r="NI157" s="159"/>
      <c r="NJ157" s="159"/>
      <c r="NK157" s="159"/>
      <c r="NL157" s="159"/>
      <c r="NM157" s="159"/>
      <c r="NN157" s="159"/>
      <c r="NO157" s="159"/>
      <c r="NP157" s="159"/>
      <c r="NQ157" s="159"/>
      <c r="NR157" s="159"/>
      <c r="NS157" s="159"/>
      <c r="NT157" s="159"/>
      <c r="NU157" s="159"/>
      <c r="NV157" s="159"/>
      <c r="NW157" s="159"/>
      <c r="NX157" s="159"/>
      <c r="NY157" s="159"/>
      <c r="NZ157" s="159"/>
      <c r="OA157" s="159"/>
      <c r="OB157" s="159"/>
      <c r="OC157" s="159"/>
      <c r="OD157" s="159"/>
      <c r="OE157" s="159"/>
      <c r="OF157" s="159"/>
      <c r="OG157" s="159"/>
      <c r="OH157" s="159"/>
      <c r="OI157" s="159"/>
      <c r="OJ157" s="159"/>
      <c r="OK157" s="159"/>
      <c r="OL157" s="159"/>
      <c r="OM157" s="159"/>
      <c r="ON157" s="159"/>
      <c r="OO157" s="159"/>
      <c r="OP157" s="159"/>
      <c r="OQ157" s="159"/>
      <c r="OR157" s="159"/>
      <c r="OS157" s="159"/>
      <c r="OT157" s="159"/>
      <c r="OU157" s="159"/>
      <c r="OV157" s="159"/>
      <c r="OW157" s="159"/>
      <c r="OX157" s="159"/>
      <c r="OY157" s="159"/>
      <c r="OZ157" s="159"/>
      <c r="PA157" s="159"/>
      <c r="PB157" s="159"/>
      <c r="PC157" s="159"/>
      <c r="PD157" s="159"/>
      <c r="PE157" s="159"/>
      <c r="PF157" s="159"/>
      <c r="PG157" s="159"/>
      <c r="PH157" s="159"/>
      <c r="PI157" s="159"/>
      <c r="PJ157" s="159"/>
      <c r="PK157" s="159"/>
      <c r="PL157" s="159"/>
      <c r="PM157" s="159"/>
      <c r="PN157" s="159"/>
      <c r="PO157" s="159"/>
      <c r="PP157" s="159"/>
      <c r="PQ157" s="159"/>
      <c r="PR157" s="159"/>
      <c r="PS157" s="159"/>
      <c r="PT157" s="159"/>
      <c r="PU157" s="159"/>
      <c r="PV157" s="159"/>
      <c r="PW157" s="159"/>
      <c r="PX157" s="159"/>
      <c r="PY157" s="159"/>
      <c r="PZ157" s="159"/>
      <c r="QA157" s="159"/>
      <c r="QB157" s="159"/>
      <c r="QC157" s="159"/>
      <c r="QD157" s="159"/>
      <c r="QE157" s="159"/>
      <c r="QF157" s="159"/>
      <c r="QG157" s="159"/>
      <c r="QH157" s="159"/>
      <c r="QI157" s="159"/>
      <c r="QJ157" s="159"/>
      <c r="QK157" s="159"/>
      <c r="QL157" s="159"/>
      <c r="QM157" s="159"/>
      <c r="QN157" s="159"/>
      <c r="QO157" s="159"/>
      <c r="QP157" s="159"/>
      <c r="QQ157" s="159"/>
      <c r="QR157" s="159"/>
      <c r="QS157" s="159"/>
      <c r="QT157" s="159"/>
      <c r="QU157" s="159"/>
      <c r="QV157" s="159"/>
      <c r="QW157" s="159"/>
      <c r="QX157" s="159"/>
      <c r="QY157" s="159"/>
      <c r="QZ157" s="159"/>
      <c r="RA157" s="159"/>
      <c r="RB157" s="159"/>
      <c r="RC157" s="159"/>
      <c r="RD157" s="159"/>
      <c r="RE157" s="159"/>
      <c r="RF157" s="159"/>
      <c r="RG157" s="159"/>
      <c r="RH157" s="159"/>
      <c r="RI157" s="159"/>
      <c r="RJ157" s="159"/>
      <c r="RK157" s="159"/>
      <c r="RL157" s="159"/>
      <c r="RM157" s="159"/>
      <c r="RN157" s="159"/>
      <c r="RO157" s="159"/>
      <c r="RP157" s="159"/>
      <c r="RQ157" s="159"/>
      <c r="RR157" s="159"/>
      <c r="RS157" s="159"/>
      <c r="RT157" s="159"/>
      <c r="RU157" s="159"/>
      <c r="RV157" s="159"/>
      <c r="RW157" s="159"/>
      <c r="RX157" s="159"/>
      <c r="RY157" s="159"/>
      <c r="RZ157" s="159"/>
      <c r="SA157" s="159"/>
      <c r="SB157" s="159"/>
      <c r="SC157" s="159"/>
      <c r="SD157" s="159"/>
      <c r="SE157" s="159"/>
      <c r="SF157" s="159"/>
      <c r="SG157" s="159"/>
      <c r="SH157" s="159"/>
      <c r="SI157" s="159"/>
      <c r="SJ157" s="159"/>
      <c r="SK157" s="159"/>
      <c r="SL157" s="159"/>
      <c r="SM157" s="159"/>
      <c r="SN157" s="159"/>
      <c r="SO157" s="159"/>
      <c r="SP157" s="159"/>
      <c r="SQ157" s="159"/>
      <c r="SR157" s="159"/>
      <c r="SS157" s="159"/>
      <c r="ST157" s="159"/>
      <c r="SU157" s="159"/>
      <c r="SV157" s="159"/>
      <c r="SW157" s="159"/>
      <c r="SX157" s="159"/>
      <c r="SY157" s="159"/>
      <c r="SZ157" s="159"/>
      <c r="TA157" s="159"/>
      <c r="TB157" s="159"/>
      <c r="TC157" s="159"/>
      <c r="TD157" s="159"/>
      <c r="TE157" s="159"/>
      <c r="TF157" s="159"/>
      <c r="TG157" s="159"/>
      <c r="TH157" s="159"/>
      <c r="TI157" s="159"/>
      <c r="TJ157" s="159"/>
      <c r="TK157" s="159"/>
      <c r="TL157" s="159"/>
      <c r="TM157" s="159"/>
      <c r="TN157" s="159"/>
      <c r="TO157" s="159"/>
      <c r="TP157" s="159"/>
      <c r="TQ157" s="159"/>
      <c r="TR157" s="159"/>
      <c r="TS157" s="159"/>
      <c r="TT157" s="159"/>
      <c r="TU157" s="159"/>
      <c r="TV157" s="159"/>
      <c r="TW157" s="159"/>
      <c r="TX157" s="159"/>
      <c r="TY157" s="159"/>
      <c r="TZ157" s="159"/>
      <c r="UA157" s="159"/>
      <c r="UB157" s="159"/>
      <c r="UC157" s="159"/>
      <c r="UD157" s="159"/>
      <c r="UE157" s="159"/>
      <c r="UF157" s="159"/>
      <c r="UG157" s="159"/>
      <c r="UH157" s="159"/>
      <c r="UI157" s="159"/>
      <c r="UJ157" s="159"/>
      <c r="UK157" s="159"/>
      <c r="UL157" s="159"/>
      <c r="UM157" s="159"/>
      <c r="UN157" s="159"/>
      <c r="UO157" s="159"/>
      <c r="UP157" s="159"/>
      <c r="UQ157" s="159"/>
      <c r="UR157" s="159"/>
      <c r="US157" s="159"/>
      <c r="UT157" s="159"/>
      <c r="UU157" s="159"/>
      <c r="UV157" s="159"/>
      <c r="UW157" s="159"/>
      <c r="UX157" s="159"/>
      <c r="UY157" s="159"/>
      <c r="UZ157" s="159"/>
      <c r="VA157" s="159"/>
      <c r="VB157" s="159"/>
      <c r="VC157" s="159"/>
      <c r="VD157" s="159"/>
      <c r="VE157" s="159"/>
      <c r="VF157" s="159"/>
      <c r="VG157" s="159"/>
      <c r="VH157" s="159"/>
      <c r="VI157" s="159"/>
      <c r="VJ157" s="159"/>
      <c r="VK157" s="159"/>
      <c r="VL157" s="159"/>
      <c r="VM157" s="159"/>
      <c r="VN157" s="159"/>
      <c r="VO157" s="159"/>
      <c r="VP157" s="159"/>
      <c r="VQ157" s="159"/>
      <c r="VR157" s="159"/>
      <c r="VS157" s="159"/>
      <c r="VT157" s="159"/>
      <c r="VU157" s="159"/>
      <c r="VV157" s="159"/>
      <c r="VW157" s="159"/>
      <c r="VX157" s="159"/>
      <c r="VY157" s="159"/>
      <c r="VZ157" s="159"/>
      <c r="WA157" s="159"/>
      <c r="WB157" s="159"/>
      <c r="WC157" s="159"/>
      <c r="WD157" s="159"/>
      <c r="WE157" s="159"/>
      <c r="WF157" s="159"/>
      <c r="WG157" s="159"/>
      <c r="WH157" s="159"/>
      <c r="WI157" s="159"/>
      <c r="WJ157" s="159"/>
      <c r="WK157" s="159"/>
      <c r="WL157" s="159"/>
      <c r="WM157" s="159"/>
      <c r="WN157" s="159"/>
      <c r="WO157" s="159"/>
      <c r="WP157" s="159"/>
      <c r="WQ157" s="159"/>
      <c r="WR157" s="159"/>
      <c r="WS157" s="159"/>
      <c r="WT157" s="159"/>
      <c r="WU157" s="159"/>
      <c r="WV157" s="159"/>
      <c r="WW157" s="159"/>
      <c r="WX157" s="159"/>
      <c r="WY157" s="159"/>
      <c r="WZ157" s="159"/>
      <c r="XA157" s="159"/>
      <c r="XB157" s="159"/>
      <c r="XC157" s="159"/>
      <c r="XD157" s="159"/>
      <c r="XE157" s="159"/>
      <c r="XF157" s="159"/>
      <c r="XG157" s="159"/>
      <c r="XH157" s="159"/>
      <c r="XI157" s="159"/>
      <c r="XJ157" s="159"/>
      <c r="XK157" s="159"/>
      <c r="XL157" s="159"/>
      <c r="XM157" s="159"/>
      <c r="XN157" s="159"/>
      <c r="XO157" s="159"/>
      <c r="XP157" s="159"/>
      <c r="XQ157" s="159"/>
      <c r="XR157" s="159"/>
      <c r="XS157" s="159"/>
      <c r="XT157" s="159"/>
      <c r="XU157" s="159"/>
      <c r="XV157" s="159"/>
      <c r="XW157" s="159"/>
      <c r="XX157" s="159"/>
      <c r="XY157" s="159"/>
      <c r="XZ157" s="159"/>
      <c r="YA157" s="159"/>
      <c r="YB157" s="159"/>
      <c r="YC157" s="159"/>
      <c r="YD157" s="159"/>
      <c r="YE157" s="159"/>
      <c r="YF157" s="159"/>
      <c r="YG157" s="159"/>
      <c r="YH157" s="159"/>
      <c r="YI157" s="159"/>
      <c r="YJ157" s="159"/>
      <c r="YK157" s="159"/>
      <c r="YL157" s="159"/>
      <c r="YM157" s="159"/>
      <c r="YN157" s="159"/>
      <c r="YO157" s="159"/>
      <c r="YP157" s="159"/>
      <c r="YQ157" s="159"/>
      <c r="YR157" s="159"/>
      <c r="YS157" s="159"/>
      <c r="YT157" s="159"/>
      <c r="YU157" s="159"/>
      <c r="YV157" s="159"/>
      <c r="YW157" s="159"/>
      <c r="YX157" s="159"/>
      <c r="YY157" s="159"/>
      <c r="YZ157" s="159"/>
      <c r="ZA157" s="159"/>
      <c r="ZB157" s="159"/>
      <c r="ZC157" s="159"/>
      <c r="ZD157" s="159"/>
      <c r="ZE157" s="159"/>
      <c r="ZF157" s="159"/>
      <c r="ZG157" s="159"/>
      <c r="ZH157" s="159"/>
      <c r="ZI157" s="159"/>
      <c r="ZJ157" s="159"/>
      <c r="ZK157" s="159"/>
      <c r="ZL157" s="159"/>
      <c r="ZM157" s="159"/>
      <c r="ZN157" s="159"/>
      <c r="ZO157" s="159"/>
      <c r="ZP157" s="159"/>
      <c r="ZQ157" s="159"/>
      <c r="ZR157" s="159"/>
      <c r="ZS157" s="159"/>
      <c r="ZT157" s="159"/>
      <c r="ZU157" s="159"/>
      <c r="ZV157" s="159"/>
      <c r="ZW157" s="159"/>
      <c r="ZX157" s="159"/>
      <c r="ZY157" s="159"/>
      <c r="ZZ157" s="159"/>
      <c r="AAA157" s="159"/>
      <c r="AAB157" s="159"/>
      <c r="AAC157" s="159"/>
      <c r="AAD157" s="159"/>
      <c r="AAE157" s="159"/>
      <c r="AAF157" s="159"/>
      <c r="AAG157" s="159"/>
      <c r="AAH157" s="159"/>
      <c r="AAI157" s="159"/>
      <c r="AAJ157" s="159"/>
      <c r="AAK157" s="159"/>
      <c r="AAL157" s="159"/>
      <c r="AAM157" s="159"/>
      <c r="AAN157" s="159"/>
      <c r="AAO157" s="159"/>
      <c r="AAP157" s="159"/>
      <c r="AAQ157" s="159"/>
      <c r="AAR157" s="159"/>
      <c r="AAS157" s="159"/>
      <c r="AAT157" s="159"/>
      <c r="AAU157" s="159"/>
      <c r="AAV157" s="159"/>
      <c r="AAW157" s="159"/>
      <c r="AAX157" s="159"/>
      <c r="AAY157" s="159"/>
      <c r="AAZ157" s="159"/>
      <c r="ABA157" s="159"/>
      <c r="ABB157" s="159"/>
      <c r="ABC157" s="159"/>
      <c r="ABD157" s="159"/>
      <c r="ABE157" s="159"/>
      <c r="ABF157" s="159"/>
      <c r="ABG157" s="159"/>
      <c r="ABH157" s="159"/>
      <c r="ABI157" s="159"/>
      <c r="ABJ157" s="159"/>
      <c r="ABK157" s="159"/>
      <c r="ABL157" s="159"/>
      <c r="ABM157" s="159"/>
      <c r="ABN157" s="159"/>
      <c r="ABO157" s="159"/>
      <c r="ABP157" s="159"/>
      <c r="ABQ157" s="159"/>
      <c r="ABR157" s="159"/>
      <c r="ABS157" s="159"/>
      <c r="ABT157" s="159"/>
      <c r="ABU157" s="159"/>
      <c r="ABV157" s="159"/>
      <c r="ABW157" s="159"/>
      <c r="ABX157" s="159"/>
      <c r="ABY157" s="159"/>
      <c r="ABZ157" s="159"/>
      <c r="ACA157" s="159"/>
      <c r="ACB157" s="159"/>
      <c r="ACC157" s="159"/>
      <c r="ACD157" s="159"/>
      <c r="ACE157" s="159"/>
      <c r="ACF157" s="159"/>
      <c r="ACG157" s="159"/>
      <c r="ACH157" s="159"/>
      <c r="ACI157" s="159"/>
      <c r="ACJ157" s="159"/>
      <c r="ACK157" s="159"/>
      <c r="ACL157" s="159"/>
      <c r="ACM157" s="159"/>
      <c r="ACN157" s="159"/>
      <c r="ACO157" s="159"/>
      <c r="ACP157" s="159"/>
      <c r="ACQ157" s="159"/>
      <c r="ACR157" s="159"/>
      <c r="ACS157" s="159"/>
      <c r="ACT157" s="159"/>
      <c r="ACU157" s="159"/>
      <c r="ACV157" s="159"/>
      <c r="ACW157" s="159"/>
      <c r="ACX157" s="159"/>
      <c r="ACY157" s="159"/>
      <c r="ACZ157" s="159"/>
      <c r="ADA157" s="159"/>
      <c r="ADB157" s="159"/>
      <c r="ADC157" s="159"/>
      <c r="ADD157" s="159"/>
      <c r="ADE157" s="159"/>
      <c r="ADF157" s="159"/>
      <c r="ADG157" s="159"/>
      <c r="ADH157" s="159"/>
      <c r="ADI157" s="159"/>
      <c r="ADJ157" s="159"/>
      <c r="ADK157" s="159"/>
      <c r="ADL157" s="159"/>
      <c r="ADM157" s="159"/>
      <c r="ADN157" s="159"/>
      <c r="ADO157" s="159"/>
      <c r="ADP157" s="159"/>
      <c r="ADQ157" s="159"/>
      <c r="ADR157" s="159"/>
      <c r="ADS157" s="159"/>
      <c r="ADT157" s="159"/>
      <c r="ADU157" s="159"/>
      <c r="ADV157" s="159"/>
      <c r="ADW157" s="159"/>
      <c r="ADX157" s="159"/>
      <c r="ADY157" s="159"/>
      <c r="ADZ157" s="159"/>
      <c r="AEA157" s="159"/>
      <c r="AEB157" s="159"/>
      <c r="AEC157" s="159"/>
      <c r="AED157" s="159"/>
      <c r="AEE157" s="159"/>
      <c r="AEF157" s="159"/>
      <c r="AEG157" s="159"/>
      <c r="AEH157" s="159"/>
      <c r="AEI157" s="159"/>
      <c r="AEJ157" s="159"/>
      <c r="AEK157" s="159"/>
      <c r="AEL157" s="159"/>
      <c r="AEM157" s="159"/>
      <c r="AEN157" s="159"/>
      <c r="AEO157" s="159"/>
      <c r="AEP157" s="159"/>
      <c r="AEQ157" s="159"/>
      <c r="AER157" s="159"/>
      <c r="AES157" s="159"/>
      <c r="AET157" s="159"/>
      <c r="AEU157" s="159"/>
      <c r="AEV157" s="159"/>
      <c r="AEW157" s="159"/>
      <c r="AEX157" s="159"/>
      <c r="AEY157" s="159"/>
      <c r="AEZ157" s="159"/>
      <c r="AFA157" s="159"/>
      <c r="AFB157" s="159"/>
      <c r="AFC157" s="159"/>
      <c r="AFD157" s="159"/>
      <c r="AFE157" s="159"/>
      <c r="AFF157" s="159"/>
      <c r="AFG157" s="159"/>
      <c r="AFH157" s="159"/>
      <c r="AFI157" s="159"/>
      <c r="AFJ157" s="159"/>
      <c r="AFK157" s="159"/>
      <c r="AFL157" s="159"/>
      <c r="AFM157" s="159"/>
      <c r="AFN157" s="159"/>
      <c r="AFO157" s="159"/>
      <c r="AFP157" s="159"/>
      <c r="AFQ157" s="159"/>
      <c r="AFR157" s="159"/>
      <c r="AFS157" s="159"/>
      <c r="AFT157" s="159"/>
      <c r="AFU157" s="159"/>
      <c r="AFV157" s="159"/>
      <c r="AFW157" s="159"/>
      <c r="AFX157" s="159"/>
      <c r="AFY157" s="159"/>
      <c r="AFZ157" s="159"/>
      <c r="AGA157" s="159"/>
      <c r="AGB157" s="159"/>
      <c r="AGC157" s="159"/>
      <c r="AGD157" s="159"/>
      <c r="AGE157" s="159"/>
      <c r="AGF157" s="159"/>
      <c r="AGG157" s="159"/>
      <c r="AGH157" s="159"/>
      <c r="AGI157" s="159"/>
      <c r="AGJ157" s="159"/>
      <c r="AGK157" s="159"/>
      <c r="AGL157" s="159"/>
      <c r="AGM157" s="159"/>
      <c r="AGN157" s="159"/>
      <c r="AGO157" s="159"/>
      <c r="AGP157" s="159"/>
      <c r="AGQ157" s="159"/>
      <c r="AGR157" s="159"/>
      <c r="AGS157" s="159"/>
      <c r="AGT157" s="159"/>
      <c r="AGU157" s="159"/>
      <c r="AGV157" s="159"/>
      <c r="AGW157" s="159"/>
      <c r="AGX157" s="159"/>
      <c r="AGY157" s="159"/>
      <c r="AGZ157" s="159"/>
      <c r="AHA157" s="159"/>
      <c r="AHB157" s="159"/>
      <c r="AHC157" s="159"/>
      <c r="AHD157" s="159"/>
      <c r="AHE157" s="159"/>
      <c r="AHF157" s="159"/>
      <c r="AHG157" s="159"/>
      <c r="AHH157" s="159"/>
      <c r="AHI157" s="159"/>
      <c r="AHJ157" s="159"/>
      <c r="AHK157" s="159"/>
      <c r="AHL157" s="159"/>
      <c r="AHM157" s="159"/>
      <c r="AHN157" s="159"/>
      <c r="AHO157" s="159"/>
      <c r="AHP157" s="159"/>
      <c r="AHQ157" s="159"/>
      <c r="AHR157" s="159"/>
      <c r="AHS157" s="159"/>
      <c r="AHT157" s="159"/>
      <c r="AHU157" s="159"/>
      <c r="AHV157" s="159"/>
      <c r="AHW157" s="159"/>
      <c r="AHX157" s="159"/>
      <c r="AHY157" s="159"/>
      <c r="AHZ157" s="159"/>
      <c r="AIA157" s="159"/>
      <c r="AIB157" s="159"/>
      <c r="AIC157" s="159"/>
      <c r="AID157" s="159"/>
      <c r="AIE157" s="159"/>
      <c r="AIF157" s="159"/>
      <c r="AIG157" s="159"/>
      <c r="AIH157" s="159"/>
      <c r="AII157" s="159"/>
      <c r="AIJ157" s="159"/>
      <c r="AIK157" s="159"/>
      <c r="AIL157" s="159"/>
      <c r="AIM157" s="159"/>
      <c r="AIN157" s="159"/>
      <c r="AIO157" s="159"/>
      <c r="AIP157" s="159"/>
      <c r="AIQ157" s="159"/>
      <c r="AIR157" s="159"/>
      <c r="AIS157" s="159"/>
      <c r="AIT157" s="159"/>
      <c r="AIU157" s="159"/>
      <c r="AIV157" s="159"/>
      <c r="AIW157" s="159"/>
      <c r="AIX157" s="159"/>
      <c r="AIY157" s="159"/>
      <c r="AIZ157" s="159"/>
      <c r="AJA157" s="159"/>
      <c r="AJB157" s="159"/>
      <c r="AJC157" s="159"/>
      <c r="AJD157" s="159"/>
      <c r="AJE157" s="159"/>
      <c r="AJF157" s="159"/>
      <c r="AJG157" s="159"/>
      <c r="AJH157" s="159"/>
      <c r="AJI157" s="159"/>
      <c r="AJJ157" s="159"/>
      <c r="AJK157" s="159"/>
      <c r="AJL157" s="159"/>
      <c r="AJM157" s="159"/>
      <c r="AJN157" s="159"/>
      <c r="AJO157" s="159"/>
      <c r="AJP157" s="159"/>
      <c r="AJQ157" s="159"/>
      <c r="AJR157" s="159"/>
      <c r="AJS157" s="159"/>
      <c r="AJT157" s="159"/>
      <c r="AJU157" s="159"/>
      <c r="AJV157" s="159"/>
      <c r="AJW157" s="159"/>
      <c r="AJX157" s="159"/>
      <c r="AJY157" s="159"/>
      <c r="AJZ157" s="159"/>
      <c r="AKA157" s="159"/>
      <c r="AKB157" s="159"/>
      <c r="AKC157" s="159"/>
      <c r="AKD157" s="159"/>
      <c r="AKE157" s="159"/>
      <c r="AKF157" s="159"/>
      <c r="AKG157" s="159"/>
      <c r="AKH157" s="159"/>
      <c r="AKI157" s="159"/>
      <c r="AKJ157" s="159"/>
      <c r="AKK157" s="159"/>
      <c r="AKL157" s="159"/>
      <c r="AKM157" s="159"/>
      <c r="AKN157" s="159"/>
      <c r="AKO157" s="159"/>
      <c r="AKP157" s="159"/>
      <c r="AKQ157" s="159"/>
      <c r="AKR157" s="159"/>
      <c r="AKS157" s="159"/>
      <c r="AKT157" s="159"/>
      <c r="AKU157" s="159"/>
      <c r="AKV157" s="159"/>
      <c r="AKW157" s="159"/>
      <c r="AKX157" s="159"/>
      <c r="AKY157" s="159"/>
      <c r="AKZ157" s="159"/>
      <c r="ALA157" s="159"/>
      <c r="ALB157" s="159"/>
      <c r="ALC157" s="159"/>
      <c r="ALD157" s="159"/>
      <c r="ALE157" s="159"/>
      <c r="ALF157" s="159"/>
      <c r="ALG157" s="159"/>
      <c r="ALH157" s="159"/>
      <c r="ALI157" s="159"/>
      <c r="ALJ157" s="159"/>
      <c r="ALK157" s="159"/>
      <c r="ALL157" s="159"/>
      <c r="ALM157" s="159"/>
      <c r="ALN157" s="159"/>
      <c r="ALO157" s="159"/>
      <c r="ALP157" s="159"/>
      <c r="ALQ157" s="159"/>
      <c r="ALR157" s="159"/>
      <c r="ALS157" s="159"/>
      <c r="ALT157" s="159"/>
      <c r="ALU157" s="159"/>
      <c r="ALV157" s="159"/>
      <c r="ALW157" s="159"/>
      <c r="ALX157" s="159"/>
      <c r="ALY157" s="159"/>
      <c r="ALZ157" s="159"/>
      <c r="AMA157" s="159"/>
      <c r="AMB157" s="159"/>
      <c r="AMC157" s="159"/>
      <c r="AMD157" s="159"/>
      <c r="AME157" s="159"/>
      <c r="AMF157" s="159"/>
      <c r="AMG157" s="159"/>
      <c r="AMH157" s="159"/>
      <c r="AMI157" s="159"/>
      <c r="AMJ157" s="159"/>
      <c r="AMK157" s="159"/>
      <c r="AML157" s="159"/>
      <c r="AMM157" s="159"/>
      <c r="AMN157" s="159"/>
      <c r="AMO157" s="159"/>
    </row>
    <row r="158" spans="1:1029" s="161" customFormat="1" ht="26.25" thickBot="1" x14ac:dyDescent="0.3">
      <c r="A158" s="127">
        <v>46241</v>
      </c>
      <c r="B158" s="151" t="s">
        <v>42</v>
      </c>
      <c r="C158" s="151" t="s">
        <v>54</v>
      </c>
      <c r="D158" s="162" t="s">
        <v>285</v>
      </c>
      <c r="E158" s="150" t="s">
        <v>105</v>
      </c>
      <c r="F158" s="152" t="s">
        <v>30</v>
      </c>
      <c r="G158" s="152" t="s">
        <v>199</v>
      </c>
      <c r="H158" s="145" t="b">
        <f>IF(ISBLANK($B158),$W$53,IF(AND($B158=E158,$C158=F158,$D158=G158),$W$50,IF(AND($B158=E158,OR($C158=F158,$D158=G158)),$W$51+$W$52,IF(OR($B158=E158,AND($C158=F158,$D158=G158)),$W$51,IF(OR($C158=F158,$D158=G158),$W$52)))))</f>
        <v>0</v>
      </c>
      <c r="I158" s="130" t="s">
        <v>28</v>
      </c>
      <c r="J158" s="131" t="s">
        <v>28</v>
      </c>
      <c r="K158" s="131" t="s">
        <v>28</v>
      </c>
      <c r="L158" s="145" t="b">
        <f t="shared" si="13"/>
        <v>0</v>
      </c>
      <c r="M158" s="131" t="s">
        <v>42</v>
      </c>
      <c r="N158" s="131" t="s">
        <v>119</v>
      </c>
      <c r="O158" s="131" t="s">
        <v>16</v>
      </c>
      <c r="P158" s="145">
        <f t="shared" si="14"/>
        <v>1</v>
      </c>
      <c r="Q158" s="152" t="s">
        <v>101</v>
      </c>
      <c r="R158" s="151" t="s">
        <v>38</v>
      </c>
      <c r="S158" s="151" t="s">
        <v>21</v>
      </c>
      <c r="T158" s="145" t="b">
        <f t="shared" si="15"/>
        <v>0</v>
      </c>
      <c r="U158" s="159"/>
      <c r="V158" s="159"/>
      <c r="W158" s="159"/>
      <c r="X158" s="159"/>
      <c r="Y158" s="159"/>
      <c r="Z158" s="159"/>
      <c r="AA158" s="159"/>
      <c r="AB158" s="159"/>
      <c r="AC158" s="159"/>
      <c r="AD158" s="159"/>
      <c r="AE158" s="159"/>
      <c r="AF158" s="159"/>
      <c r="AG158" s="159"/>
      <c r="AH158" s="159"/>
      <c r="AI158" s="159"/>
      <c r="AJ158" s="159"/>
      <c r="AK158" s="159"/>
      <c r="AL158" s="159"/>
      <c r="AM158" s="159"/>
      <c r="AN158" s="159"/>
      <c r="AO158" s="159"/>
      <c r="AP158" s="159"/>
      <c r="AQ158" s="159"/>
      <c r="AR158" s="159"/>
      <c r="AS158" s="159"/>
      <c r="AT158" s="159"/>
      <c r="AU158" s="159"/>
      <c r="AV158" s="159"/>
      <c r="AW158" s="159"/>
      <c r="AX158" s="159"/>
      <c r="AY158" s="159"/>
      <c r="AZ158" s="159"/>
      <c r="BA158" s="159"/>
      <c r="BB158" s="159"/>
      <c r="BC158" s="159"/>
      <c r="BD158" s="159"/>
      <c r="BE158" s="159"/>
      <c r="BF158" s="159"/>
      <c r="BG158" s="159"/>
      <c r="BH158" s="159"/>
      <c r="BI158" s="159"/>
      <c r="BJ158" s="159"/>
      <c r="BK158" s="159"/>
      <c r="BL158" s="159"/>
      <c r="BM158" s="159"/>
      <c r="BN158" s="159"/>
      <c r="BO158" s="159"/>
      <c r="BP158" s="159"/>
      <c r="BQ158" s="159"/>
      <c r="BR158" s="159"/>
      <c r="BS158" s="159"/>
      <c r="BT158" s="159"/>
      <c r="BU158" s="159"/>
      <c r="BV158" s="159"/>
      <c r="BW158" s="159"/>
      <c r="BX158" s="159"/>
      <c r="BY158" s="159"/>
      <c r="BZ158" s="159"/>
      <c r="CA158" s="159"/>
      <c r="CB158" s="159"/>
      <c r="CC158" s="159"/>
      <c r="CD158" s="159"/>
      <c r="CE158" s="159"/>
      <c r="CF158" s="159"/>
      <c r="CG158" s="159"/>
      <c r="CH158" s="159"/>
      <c r="CI158" s="159"/>
      <c r="CJ158" s="159"/>
      <c r="CK158" s="159"/>
      <c r="CL158" s="159"/>
      <c r="CM158" s="159"/>
      <c r="CN158" s="159"/>
      <c r="CO158" s="159"/>
      <c r="CP158" s="159"/>
      <c r="CQ158" s="159"/>
      <c r="CR158" s="159"/>
      <c r="CS158" s="159"/>
      <c r="CT158" s="159"/>
      <c r="CU158" s="159"/>
      <c r="CV158" s="159"/>
      <c r="CW158" s="159"/>
      <c r="CX158" s="159"/>
      <c r="CY158" s="159"/>
      <c r="CZ158" s="159"/>
      <c r="DA158" s="159"/>
      <c r="DB158" s="159"/>
      <c r="DC158" s="159"/>
      <c r="DD158" s="159"/>
      <c r="DE158" s="159"/>
      <c r="DF158" s="159"/>
      <c r="DG158" s="159"/>
      <c r="DH158" s="159"/>
      <c r="DI158" s="159"/>
      <c r="DJ158" s="159"/>
      <c r="DK158" s="159"/>
      <c r="DL158" s="159"/>
      <c r="DM158" s="159"/>
      <c r="DN158" s="159"/>
      <c r="DO158" s="159"/>
      <c r="DP158" s="159"/>
      <c r="DQ158" s="159"/>
      <c r="DR158" s="159"/>
      <c r="DS158" s="159"/>
      <c r="DT158" s="159"/>
      <c r="DU158" s="159"/>
      <c r="DV158" s="159"/>
      <c r="DW158" s="159"/>
      <c r="DX158" s="159"/>
      <c r="DY158" s="159"/>
      <c r="DZ158" s="159"/>
      <c r="EA158" s="159"/>
      <c r="EB158" s="159"/>
      <c r="EC158" s="159"/>
      <c r="ED158" s="159"/>
      <c r="EE158" s="159"/>
      <c r="EF158" s="159"/>
      <c r="EG158" s="159"/>
      <c r="EH158" s="159"/>
      <c r="EI158" s="159"/>
      <c r="EJ158" s="159"/>
      <c r="EK158" s="159"/>
      <c r="EL158" s="159"/>
      <c r="EM158" s="159"/>
      <c r="EN158" s="159"/>
      <c r="EO158" s="159"/>
      <c r="EP158" s="159"/>
      <c r="EQ158" s="159"/>
      <c r="ER158" s="159"/>
      <c r="ES158" s="159"/>
      <c r="ET158" s="159"/>
      <c r="EU158" s="159"/>
      <c r="EV158" s="159"/>
      <c r="EW158" s="159"/>
      <c r="EX158" s="159"/>
      <c r="EY158" s="159"/>
      <c r="EZ158" s="159"/>
      <c r="FA158" s="159"/>
      <c r="FB158" s="159"/>
      <c r="FC158" s="159"/>
      <c r="FD158" s="159"/>
      <c r="FE158" s="159"/>
      <c r="FF158" s="159"/>
      <c r="FG158" s="159"/>
      <c r="FH158" s="159"/>
      <c r="FI158" s="159"/>
      <c r="FJ158" s="159"/>
      <c r="FK158" s="159"/>
      <c r="FL158" s="159"/>
      <c r="FM158" s="159"/>
      <c r="FN158" s="159"/>
      <c r="FO158" s="159"/>
      <c r="FP158" s="159"/>
      <c r="FQ158" s="159"/>
      <c r="FR158" s="159"/>
      <c r="FS158" s="159"/>
      <c r="FT158" s="159"/>
      <c r="FU158" s="159"/>
      <c r="FV158" s="159"/>
      <c r="FW158" s="159"/>
      <c r="FX158" s="159"/>
      <c r="FY158" s="159"/>
      <c r="FZ158" s="159"/>
      <c r="GA158" s="159"/>
      <c r="GB158" s="159"/>
      <c r="GC158" s="159"/>
      <c r="GD158" s="159"/>
      <c r="GE158" s="159"/>
      <c r="GF158" s="159"/>
      <c r="GG158" s="159"/>
      <c r="GH158" s="159"/>
      <c r="GI158" s="159"/>
      <c r="GJ158" s="159"/>
      <c r="GK158" s="159"/>
      <c r="GL158" s="159"/>
      <c r="GM158" s="159"/>
      <c r="GN158" s="159"/>
      <c r="GO158" s="159"/>
      <c r="GP158" s="159"/>
      <c r="GQ158" s="159"/>
      <c r="GR158" s="159"/>
      <c r="GS158" s="159"/>
      <c r="GT158" s="159"/>
      <c r="GU158" s="159"/>
      <c r="GV158" s="159"/>
      <c r="GW158" s="159"/>
      <c r="GX158" s="159"/>
      <c r="GY158" s="159"/>
      <c r="GZ158" s="159"/>
      <c r="HA158" s="159"/>
      <c r="HB158" s="159"/>
      <c r="HC158" s="159"/>
      <c r="HD158" s="159"/>
      <c r="HE158" s="159"/>
      <c r="HF158" s="159"/>
      <c r="HG158" s="159"/>
      <c r="HH158" s="159"/>
      <c r="HI158" s="159"/>
      <c r="HJ158" s="159"/>
      <c r="HK158" s="159"/>
      <c r="HL158" s="159"/>
      <c r="HM158" s="159"/>
      <c r="HN158" s="159"/>
      <c r="HO158" s="159"/>
      <c r="HP158" s="159"/>
      <c r="HQ158" s="159"/>
      <c r="HR158" s="159"/>
      <c r="HS158" s="159"/>
      <c r="HT158" s="159"/>
      <c r="HU158" s="159"/>
      <c r="HV158" s="159"/>
      <c r="HW158" s="159"/>
      <c r="HX158" s="159"/>
      <c r="HY158" s="159"/>
      <c r="HZ158" s="159"/>
      <c r="IA158" s="159"/>
      <c r="IB158" s="159"/>
      <c r="IC158" s="159"/>
      <c r="ID158" s="159"/>
      <c r="IE158" s="159"/>
      <c r="IF158" s="159"/>
      <c r="IG158" s="159"/>
      <c r="IH158" s="159"/>
      <c r="II158" s="159"/>
      <c r="IJ158" s="159"/>
      <c r="IK158" s="159"/>
      <c r="IL158" s="159"/>
      <c r="IM158" s="159"/>
      <c r="IN158" s="159"/>
      <c r="IO158" s="159"/>
      <c r="IP158" s="159"/>
      <c r="IQ158" s="159"/>
      <c r="IR158" s="159"/>
      <c r="IS158" s="159"/>
      <c r="IT158" s="159"/>
      <c r="IU158" s="159"/>
      <c r="IV158" s="159"/>
      <c r="IW158" s="159"/>
      <c r="IX158" s="159"/>
      <c r="IY158" s="159"/>
      <c r="IZ158" s="159"/>
      <c r="JA158" s="159"/>
      <c r="JB158" s="159"/>
      <c r="JC158" s="159"/>
      <c r="JD158" s="159"/>
      <c r="JE158" s="159"/>
      <c r="JF158" s="159"/>
      <c r="JG158" s="159"/>
      <c r="JH158" s="159"/>
      <c r="JI158" s="159"/>
      <c r="JJ158" s="159"/>
      <c r="JK158" s="159"/>
      <c r="JL158" s="159"/>
      <c r="JM158" s="159"/>
      <c r="JN158" s="159"/>
      <c r="JO158" s="159"/>
      <c r="JP158" s="159"/>
      <c r="JQ158" s="159"/>
      <c r="JR158" s="159"/>
      <c r="JS158" s="159"/>
      <c r="JT158" s="159"/>
      <c r="JU158" s="159"/>
      <c r="JV158" s="159"/>
      <c r="JW158" s="159"/>
      <c r="JX158" s="159"/>
      <c r="JY158" s="159"/>
      <c r="JZ158" s="159"/>
      <c r="KA158" s="159"/>
      <c r="KB158" s="159"/>
      <c r="KC158" s="159"/>
      <c r="KD158" s="159"/>
      <c r="KE158" s="159"/>
      <c r="KF158" s="159"/>
      <c r="KG158" s="159"/>
      <c r="KH158" s="159"/>
      <c r="KI158" s="159"/>
      <c r="KJ158" s="159"/>
      <c r="KK158" s="159"/>
      <c r="KL158" s="159"/>
      <c r="KM158" s="159"/>
      <c r="KN158" s="159"/>
      <c r="KO158" s="159"/>
      <c r="KP158" s="159"/>
      <c r="KQ158" s="159"/>
      <c r="KR158" s="159"/>
      <c r="KS158" s="159"/>
      <c r="KT158" s="159"/>
      <c r="KU158" s="159"/>
      <c r="KV158" s="159"/>
      <c r="KW158" s="159"/>
      <c r="KX158" s="159"/>
      <c r="KY158" s="159"/>
      <c r="KZ158" s="159"/>
      <c r="LA158" s="159"/>
      <c r="LB158" s="159"/>
      <c r="LC158" s="159"/>
      <c r="LD158" s="159"/>
      <c r="LE158" s="159"/>
      <c r="LF158" s="159"/>
      <c r="LG158" s="159"/>
      <c r="LH158" s="159"/>
      <c r="LI158" s="159"/>
      <c r="LJ158" s="159"/>
      <c r="LK158" s="159"/>
      <c r="LL158" s="159"/>
      <c r="LM158" s="159"/>
      <c r="LN158" s="159"/>
      <c r="LO158" s="159"/>
      <c r="LP158" s="159"/>
      <c r="LQ158" s="159"/>
      <c r="LR158" s="159"/>
      <c r="LS158" s="159"/>
      <c r="LT158" s="159"/>
      <c r="LU158" s="159"/>
      <c r="LV158" s="159"/>
      <c r="LW158" s="159"/>
      <c r="LX158" s="159"/>
      <c r="LY158" s="159"/>
      <c r="LZ158" s="159"/>
      <c r="MA158" s="159"/>
      <c r="MB158" s="159"/>
      <c r="MC158" s="159"/>
      <c r="MD158" s="159"/>
      <c r="ME158" s="159"/>
      <c r="MF158" s="159"/>
      <c r="MG158" s="159"/>
      <c r="MH158" s="159"/>
      <c r="MI158" s="159"/>
      <c r="MJ158" s="159"/>
      <c r="MK158" s="159"/>
      <c r="ML158" s="159"/>
      <c r="MM158" s="159"/>
      <c r="MN158" s="159"/>
      <c r="MO158" s="159"/>
      <c r="MP158" s="159"/>
      <c r="MQ158" s="159"/>
      <c r="MR158" s="159"/>
      <c r="MS158" s="159"/>
      <c r="MT158" s="159"/>
      <c r="MU158" s="159"/>
      <c r="MV158" s="159"/>
      <c r="MW158" s="159"/>
      <c r="MX158" s="159"/>
      <c r="MY158" s="159"/>
      <c r="MZ158" s="159"/>
      <c r="NA158" s="159"/>
      <c r="NB158" s="159"/>
      <c r="NC158" s="159"/>
      <c r="ND158" s="159"/>
      <c r="NE158" s="159"/>
      <c r="NF158" s="159"/>
      <c r="NG158" s="159"/>
      <c r="NH158" s="159"/>
      <c r="NI158" s="159"/>
      <c r="NJ158" s="159"/>
      <c r="NK158" s="159"/>
      <c r="NL158" s="159"/>
      <c r="NM158" s="159"/>
      <c r="NN158" s="159"/>
      <c r="NO158" s="159"/>
      <c r="NP158" s="159"/>
      <c r="NQ158" s="159"/>
      <c r="NR158" s="159"/>
      <c r="NS158" s="159"/>
      <c r="NT158" s="159"/>
      <c r="NU158" s="159"/>
      <c r="NV158" s="159"/>
      <c r="NW158" s="159"/>
      <c r="NX158" s="159"/>
      <c r="NY158" s="159"/>
      <c r="NZ158" s="159"/>
      <c r="OA158" s="159"/>
      <c r="OB158" s="159"/>
      <c r="OC158" s="159"/>
      <c r="OD158" s="159"/>
      <c r="OE158" s="159"/>
      <c r="OF158" s="159"/>
      <c r="OG158" s="159"/>
      <c r="OH158" s="159"/>
      <c r="OI158" s="159"/>
      <c r="OJ158" s="159"/>
      <c r="OK158" s="159"/>
      <c r="OL158" s="159"/>
      <c r="OM158" s="159"/>
      <c r="ON158" s="159"/>
      <c r="OO158" s="159"/>
      <c r="OP158" s="159"/>
      <c r="OQ158" s="159"/>
      <c r="OR158" s="159"/>
      <c r="OS158" s="159"/>
      <c r="OT158" s="159"/>
      <c r="OU158" s="159"/>
      <c r="OV158" s="159"/>
      <c r="OW158" s="159"/>
      <c r="OX158" s="159"/>
      <c r="OY158" s="159"/>
      <c r="OZ158" s="159"/>
      <c r="PA158" s="159"/>
      <c r="PB158" s="159"/>
      <c r="PC158" s="159"/>
      <c r="PD158" s="159"/>
      <c r="PE158" s="159"/>
      <c r="PF158" s="159"/>
      <c r="PG158" s="159"/>
      <c r="PH158" s="159"/>
      <c r="PI158" s="159"/>
      <c r="PJ158" s="159"/>
      <c r="PK158" s="159"/>
      <c r="PL158" s="159"/>
      <c r="PM158" s="159"/>
      <c r="PN158" s="159"/>
      <c r="PO158" s="159"/>
      <c r="PP158" s="159"/>
      <c r="PQ158" s="159"/>
      <c r="PR158" s="159"/>
      <c r="PS158" s="159"/>
      <c r="PT158" s="159"/>
      <c r="PU158" s="159"/>
      <c r="PV158" s="159"/>
      <c r="PW158" s="159"/>
      <c r="PX158" s="159"/>
      <c r="PY158" s="159"/>
      <c r="PZ158" s="159"/>
      <c r="QA158" s="159"/>
      <c r="QB158" s="159"/>
      <c r="QC158" s="159"/>
      <c r="QD158" s="159"/>
      <c r="QE158" s="159"/>
      <c r="QF158" s="159"/>
      <c r="QG158" s="159"/>
      <c r="QH158" s="159"/>
      <c r="QI158" s="159"/>
      <c r="QJ158" s="159"/>
      <c r="QK158" s="159"/>
      <c r="QL158" s="159"/>
      <c r="QM158" s="159"/>
      <c r="QN158" s="159"/>
      <c r="QO158" s="159"/>
      <c r="QP158" s="159"/>
      <c r="QQ158" s="159"/>
      <c r="QR158" s="159"/>
      <c r="QS158" s="159"/>
      <c r="QT158" s="159"/>
      <c r="QU158" s="159"/>
      <c r="QV158" s="159"/>
      <c r="QW158" s="159"/>
      <c r="QX158" s="159"/>
      <c r="QY158" s="159"/>
      <c r="QZ158" s="159"/>
      <c r="RA158" s="159"/>
      <c r="RB158" s="159"/>
      <c r="RC158" s="159"/>
      <c r="RD158" s="159"/>
      <c r="RE158" s="159"/>
      <c r="RF158" s="159"/>
      <c r="RG158" s="159"/>
      <c r="RH158" s="159"/>
      <c r="RI158" s="159"/>
      <c r="RJ158" s="159"/>
      <c r="RK158" s="159"/>
      <c r="RL158" s="159"/>
      <c r="RM158" s="159"/>
      <c r="RN158" s="159"/>
      <c r="RO158" s="159"/>
      <c r="RP158" s="159"/>
      <c r="RQ158" s="159"/>
      <c r="RR158" s="159"/>
      <c r="RS158" s="159"/>
      <c r="RT158" s="159"/>
      <c r="RU158" s="159"/>
      <c r="RV158" s="159"/>
      <c r="RW158" s="159"/>
      <c r="RX158" s="159"/>
      <c r="RY158" s="159"/>
      <c r="RZ158" s="159"/>
      <c r="SA158" s="159"/>
      <c r="SB158" s="159"/>
      <c r="SC158" s="159"/>
      <c r="SD158" s="159"/>
      <c r="SE158" s="159"/>
      <c r="SF158" s="159"/>
      <c r="SG158" s="159"/>
      <c r="SH158" s="159"/>
      <c r="SI158" s="159"/>
      <c r="SJ158" s="159"/>
      <c r="SK158" s="159"/>
      <c r="SL158" s="159"/>
      <c r="SM158" s="159"/>
      <c r="SN158" s="159"/>
      <c r="SO158" s="159"/>
      <c r="SP158" s="159"/>
      <c r="SQ158" s="159"/>
      <c r="SR158" s="159"/>
      <c r="SS158" s="159"/>
      <c r="ST158" s="159"/>
      <c r="SU158" s="159"/>
      <c r="SV158" s="159"/>
      <c r="SW158" s="159"/>
      <c r="SX158" s="159"/>
      <c r="SY158" s="159"/>
      <c r="SZ158" s="159"/>
      <c r="TA158" s="159"/>
      <c r="TB158" s="159"/>
      <c r="TC158" s="159"/>
      <c r="TD158" s="159"/>
      <c r="TE158" s="159"/>
      <c r="TF158" s="159"/>
      <c r="TG158" s="159"/>
      <c r="TH158" s="159"/>
      <c r="TI158" s="159"/>
      <c r="TJ158" s="159"/>
      <c r="TK158" s="159"/>
      <c r="TL158" s="159"/>
      <c r="TM158" s="159"/>
      <c r="TN158" s="159"/>
      <c r="TO158" s="159"/>
      <c r="TP158" s="159"/>
      <c r="TQ158" s="159"/>
      <c r="TR158" s="159"/>
      <c r="TS158" s="159"/>
      <c r="TT158" s="159"/>
      <c r="TU158" s="159"/>
      <c r="TV158" s="159"/>
      <c r="TW158" s="159"/>
      <c r="TX158" s="159"/>
      <c r="TY158" s="159"/>
      <c r="TZ158" s="159"/>
      <c r="UA158" s="159"/>
      <c r="UB158" s="159"/>
      <c r="UC158" s="159"/>
      <c r="UD158" s="159"/>
      <c r="UE158" s="159"/>
      <c r="UF158" s="159"/>
      <c r="UG158" s="159"/>
      <c r="UH158" s="159"/>
      <c r="UI158" s="159"/>
      <c r="UJ158" s="159"/>
      <c r="UK158" s="159"/>
      <c r="UL158" s="159"/>
      <c r="UM158" s="159"/>
      <c r="UN158" s="159"/>
      <c r="UO158" s="159"/>
      <c r="UP158" s="159"/>
      <c r="UQ158" s="159"/>
      <c r="UR158" s="159"/>
      <c r="US158" s="159"/>
      <c r="UT158" s="159"/>
      <c r="UU158" s="159"/>
      <c r="UV158" s="159"/>
      <c r="UW158" s="159"/>
      <c r="UX158" s="159"/>
      <c r="UY158" s="159"/>
      <c r="UZ158" s="159"/>
      <c r="VA158" s="159"/>
      <c r="VB158" s="159"/>
      <c r="VC158" s="159"/>
      <c r="VD158" s="159"/>
      <c r="VE158" s="159"/>
      <c r="VF158" s="159"/>
      <c r="VG158" s="159"/>
      <c r="VH158" s="159"/>
      <c r="VI158" s="159"/>
      <c r="VJ158" s="159"/>
      <c r="VK158" s="159"/>
      <c r="VL158" s="159"/>
      <c r="VM158" s="159"/>
      <c r="VN158" s="159"/>
      <c r="VO158" s="159"/>
      <c r="VP158" s="159"/>
      <c r="VQ158" s="159"/>
      <c r="VR158" s="159"/>
      <c r="VS158" s="159"/>
      <c r="VT158" s="159"/>
      <c r="VU158" s="159"/>
      <c r="VV158" s="159"/>
      <c r="VW158" s="159"/>
      <c r="VX158" s="159"/>
      <c r="VY158" s="159"/>
      <c r="VZ158" s="159"/>
      <c r="WA158" s="159"/>
      <c r="WB158" s="159"/>
      <c r="WC158" s="159"/>
      <c r="WD158" s="159"/>
      <c r="WE158" s="159"/>
      <c r="WF158" s="159"/>
      <c r="WG158" s="159"/>
      <c r="WH158" s="159"/>
      <c r="WI158" s="159"/>
      <c r="WJ158" s="159"/>
      <c r="WK158" s="159"/>
      <c r="WL158" s="159"/>
      <c r="WM158" s="159"/>
      <c r="WN158" s="159"/>
      <c r="WO158" s="159"/>
      <c r="WP158" s="159"/>
      <c r="WQ158" s="159"/>
      <c r="WR158" s="159"/>
      <c r="WS158" s="159"/>
      <c r="WT158" s="159"/>
      <c r="WU158" s="159"/>
      <c r="WV158" s="159"/>
      <c r="WW158" s="159"/>
      <c r="WX158" s="159"/>
      <c r="WY158" s="159"/>
      <c r="WZ158" s="159"/>
      <c r="XA158" s="159"/>
      <c r="XB158" s="159"/>
      <c r="XC158" s="159"/>
      <c r="XD158" s="159"/>
      <c r="XE158" s="159"/>
      <c r="XF158" s="159"/>
      <c r="XG158" s="159"/>
      <c r="XH158" s="159"/>
      <c r="XI158" s="159"/>
      <c r="XJ158" s="159"/>
      <c r="XK158" s="159"/>
      <c r="XL158" s="159"/>
      <c r="XM158" s="159"/>
      <c r="XN158" s="159"/>
      <c r="XO158" s="159"/>
      <c r="XP158" s="159"/>
      <c r="XQ158" s="159"/>
      <c r="XR158" s="159"/>
      <c r="XS158" s="159"/>
      <c r="XT158" s="159"/>
      <c r="XU158" s="159"/>
      <c r="XV158" s="159"/>
      <c r="XW158" s="159"/>
      <c r="XX158" s="159"/>
      <c r="XY158" s="159"/>
      <c r="XZ158" s="159"/>
      <c r="YA158" s="159"/>
      <c r="YB158" s="159"/>
      <c r="YC158" s="159"/>
      <c r="YD158" s="159"/>
      <c r="YE158" s="159"/>
      <c r="YF158" s="159"/>
      <c r="YG158" s="159"/>
      <c r="YH158" s="159"/>
      <c r="YI158" s="159"/>
      <c r="YJ158" s="159"/>
      <c r="YK158" s="159"/>
      <c r="YL158" s="159"/>
      <c r="YM158" s="159"/>
      <c r="YN158" s="159"/>
      <c r="YO158" s="159"/>
      <c r="YP158" s="159"/>
      <c r="YQ158" s="159"/>
      <c r="YR158" s="159"/>
      <c r="YS158" s="159"/>
      <c r="YT158" s="159"/>
      <c r="YU158" s="159"/>
      <c r="YV158" s="159"/>
      <c r="YW158" s="159"/>
      <c r="YX158" s="159"/>
      <c r="YY158" s="159"/>
      <c r="YZ158" s="159"/>
      <c r="ZA158" s="159"/>
      <c r="ZB158" s="159"/>
      <c r="ZC158" s="159"/>
      <c r="ZD158" s="159"/>
      <c r="ZE158" s="159"/>
      <c r="ZF158" s="159"/>
      <c r="ZG158" s="159"/>
      <c r="ZH158" s="159"/>
      <c r="ZI158" s="159"/>
      <c r="ZJ158" s="159"/>
      <c r="ZK158" s="159"/>
      <c r="ZL158" s="159"/>
      <c r="ZM158" s="159"/>
      <c r="ZN158" s="159"/>
      <c r="ZO158" s="159"/>
      <c r="ZP158" s="159"/>
      <c r="ZQ158" s="159"/>
      <c r="ZR158" s="159"/>
      <c r="ZS158" s="159"/>
      <c r="ZT158" s="159"/>
      <c r="ZU158" s="159"/>
      <c r="ZV158" s="159"/>
      <c r="ZW158" s="159"/>
      <c r="ZX158" s="159"/>
      <c r="ZY158" s="159"/>
      <c r="ZZ158" s="159"/>
      <c r="AAA158" s="159"/>
      <c r="AAB158" s="159"/>
      <c r="AAC158" s="159"/>
      <c r="AAD158" s="159"/>
      <c r="AAE158" s="159"/>
      <c r="AAF158" s="159"/>
      <c r="AAG158" s="159"/>
      <c r="AAH158" s="159"/>
      <c r="AAI158" s="159"/>
      <c r="AAJ158" s="159"/>
      <c r="AAK158" s="159"/>
      <c r="AAL158" s="159"/>
      <c r="AAM158" s="159"/>
      <c r="AAN158" s="159"/>
      <c r="AAO158" s="159"/>
      <c r="AAP158" s="159"/>
      <c r="AAQ158" s="159"/>
      <c r="AAR158" s="159"/>
      <c r="AAS158" s="159"/>
      <c r="AAT158" s="159"/>
      <c r="AAU158" s="159"/>
      <c r="AAV158" s="159"/>
      <c r="AAW158" s="159"/>
      <c r="AAX158" s="159"/>
      <c r="AAY158" s="159"/>
      <c r="AAZ158" s="159"/>
      <c r="ABA158" s="159"/>
      <c r="ABB158" s="159"/>
      <c r="ABC158" s="159"/>
      <c r="ABD158" s="159"/>
      <c r="ABE158" s="159"/>
      <c r="ABF158" s="159"/>
      <c r="ABG158" s="159"/>
      <c r="ABH158" s="159"/>
      <c r="ABI158" s="159"/>
      <c r="ABJ158" s="159"/>
      <c r="ABK158" s="159"/>
      <c r="ABL158" s="159"/>
      <c r="ABM158" s="159"/>
      <c r="ABN158" s="159"/>
      <c r="ABO158" s="159"/>
      <c r="ABP158" s="159"/>
      <c r="ABQ158" s="159"/>
      <c r="ABR158" s="159"/>
      <c r="ABS158" s="159"/>
      <c r="ABT158" s="159"/>
      <c r="ABU158" s="159"/>
      <c r="ABV158" s="159"/>
      <c r="ABW158" s="159"/>
      <c r="ABX158" s="159"/>
      <c r="ABY158" s="159"/>
      <c r="ABZ158" s="159"/>
      <c r="ACA158" s="159"/>
      <c r="ACB158" s="159"/>
      <c r="ACC158" s="159"/>
      <c r="ACD158" s="159"/>
      <c r="ACE158" s="159"/>
      <c r="ACF158" s="159"/>
      <c r="ACG158" s="159"/>
      <c r="ACH158" s="159"/>
      <c r="ACI158" s="159"/>
      <c r="ACJ158" s="159"/>
      <c r="ACK158" s="159"/>
      <c r="ACL158" s="159"/>
      <c r="ACM158" s="159"/>
      <c r="ACN158" s="159"/>
      <c r="ACO158" s="159"/>
      <c r="ACP158" s="159"/>
      <c r="ACQ158" s="159"/>
      <c r="ACR158" s="159"/>
      <c r="ACS158" s="159"/>
      <c r="ACT158" s="159"/>
      <c r="ACU158" s="159"/>
      <c r="ACV158" s="159"/>
      <c r="ACW158" s="159"/>
      <c r="ACX158" s="159"/>
      <c r="ACY158" s="159"/>
      <c r="ACZ158" s="159"/>
      <c r="ADA158" s="159"/>
      <c r="ADB158" s="159"/>
      <c r="ADC158" s="159"/>
      <c r="ADD158" s="159"/>
      <c r="ADE158" s="159"/>
      <c r="ADF158" s="159"/>
      <c r="ADG158" s="159"/>
      <c r="ADH158" s="159"/>
      <c r="ADI158" s="159"/>
      <c r="ADJ158" s="159"/>
      <c r="ADK158" s="159"/>
      <c r="ADL158" s="159"/>
      <c r="ADM158" s="159"/>
      <c r="ADN158" s="159"/>
      <c r="ADO158" s="159"/>
      <c r="ADP158" s="159"/>
      <c r="ADQ158" s="159"/>
      <c r="ADR158" s="159"/>
      <c r="ADS158" s="159"/>
      <c r="ADT158" s="159"/>
      <c r="ADU158" s="159"/>
      <c r="ADV158" s="159"/>
      <c r="ADW158" s="159"/>
      <c r="ADX158" s="159"/>
      <c r="ADY158" s="159"/>
      <c r="ADZ158" s="159"/>
      <c r="AEA158" s="159"/>
      <c r="AEB158" s="159"/>
      <c r="AEC158" s="159"/>
      <c r="AED158" s="159"/>
      <c r="AEE158" s="159"/>
      <c r="AEF158" s="159"/>
      <c r="AEG158" s="159"/>
      <c r="AEH158" s="159"/>
      <c r="AEI158" s="159"/>
      <c r="AEJ158" s="159"/>
      <c r="AEK158" s="159"/>
      <c r="AEL158" s="159"/>
      <c r="AEM158" s="159"/>
      <c r="AEN158" s="159"/>
      <c r="AEO158" s="159"/>
      <c r="AEP158" s="159"/>
      <c r="AEQ158" s="159"/>
      <c r="AER158" s="159"/>
      <c r="AES158" s="159"/>
      <c r="AET158" s="159"/>
      <c r="AEU158" s="159"/>
      <c r="AEV158" s="159"/>
      <c r="AEW158" s="159"/>
      <c r="AEX158" s="159"/>
      <c r="AEY158" s="159"/>
      <c r="AEZ158" s="159"/>
      <c r="AFA158" s="159"/>
      <c r="AFB158" s="159"/>
      <c r="AFC158" s="159"/>
      <c r="AFD158" s="159"/>
      <c r="AFE158" s="159"/>
      <c r="AFF158" s="159"/>
      <c r="AFG158" s="159"/>
      <c r="AFH158" s="159"/>
      <c r="AFI158" s="159"/>
      <c r="AFJ158" s="159"/>
      <c r="AFK158" s="159"/>
      <c r="AFL158" s="159"/>
      <c r="AFM158" s="159"/>
      <c r="AFN158" s="159"/>
      <c r="AFO158" s="159"/>
      <c r="AFP158" s="159"/>
      <c r="AFQ158" s="159"/>
      <c r="AFR158" s="159"/>
      <c r="AFS158" s="159"/>
      <c r="AFT158" s="159"/>
      <c r="AFU158" s="159"/>
      <c r="AFV158" s="159"/>
      <c r="AFW158" s="159"/>
      <c r="AFX158" s="159"/>
      <c r="AFY158" s="159"/>
      <c r="AFZ158" s="159"/>
      <c r="AGA158" s="159"/>
      <c r="AGB158" s="159"/>
      <c r="AGC158" s="159"/>
      <c r="AGD158" s="159"/>
      <c r="AGE158" s="159"/>
      <c r="AGF158" s="159"/>
      <c r="AGG158" s="159"/>
      <c r="AGH158" s="159"/>
      <c r="AGI158" s="159"/>
      <c r="AGJ158" s="159"/>
      <c r="AGK158" s="159"/>
      <c r="AGL158" s="159"/>
      <c r="AGM158" s="159"/>
      <c r="AGN158" s="159"/>
      <c r="AGO158" s="159"/>
      <c r="AGP158" s="159"/>
      <c r="AGQ158" s="159"/>
      <c r="AGR158" s="159"/>
      <c r="AGS158" s="159"/>
      <c r="AGT158" s="159"/>
      <c r="AGU158" s="159"/>
      <c r="AGV158" s="159"/>
      <c r="AGW158" s="159"/>
      <c r="AGX158" s="159"/>
      <c r="AGY158" s="159"/>
      <c r="AGZ158" s="159"/>
      <c r="AHA158" s="159"/>
      <c r="AHB158" s="159"/>
      <c r="AHC158" s="159"/>
      <c r="AHD158" s="159"/>
      <c r="AHE158" s="159"/>
      <c r="AHF158" s="159"/>
      <c r="AHG158" s="159"/>
      <c r="AHH158" s="159"/>
      <c r="AHI158" s="159"/>
      <c r="AHJ158" s="159"/>
      <c r="AHK158" s="159"/>
      <c r="AHL158" s="159"/>
      <c r="AHM158" s="159"/>
      <c r="AHN158" s="159"/>
      <c r="AHO158" s="159"/>
      <c r="AHP158" s="159"/>
      <c r="AHQ158" s="159"/>
      <c r="AHR158" s="159"/>
      <c r="AHS158" s="159"/>
      <c r="AHT158" s="159"/>
      <c r="AHU158" s="159"/>
      <c r="AHV158" s="159"/>
      <c r="AHW158" s="159"/>
      <c r="AHX158" s="159"/>
      <c r="AHY158" s="159"/>
      <c r="AHZ158" s="159"/>
      <c r="AIA158" s="159"/>
      <c r="AIB158" s="159"/>
      <c r="AIC158" s="159"/>
      <c r="AID158" s="159"/>
      <c r="AIE158" s="159"/>
      <c r="AIF158" s="159"/>
      <c r="AIG158" s="159"/>
      <c r="AIH158" s="159"/>
      <c r="AII158" s="159"/>
      <c r="AIJ158" s="159"/>
      <c r="AIK158" s="159"/>
      <c r="AIL158" s="159"/>
      <c r="AIM158" s="159"/>
      <c r="AIN158" s="159"/>
      <c r="AIO158" s="159"/>
      <c r="AIP158" s="159"/>
      <c r="AIQ158" s="159"/>
      <c r="AIR158" s="159"/>
      <c r="AIS158" s="159"/>
      <c r="AIT158" s="159"/>
      <c r="AIU158" s="159"/>
      <c r="AIV158" s="159"/>
      <c r="AIW158" s="159"/>
      <c r="AIX158" s="159"/>
      <c r="AIY158" s="159"/>
      <c r="AIZ158" s="159"/>
      <c r="AJA158" s="159"/>
      <c r="AJB158" s="159"/>
      <c r="AJC158" s="159"/>
      <c r="AJD158" s="159"/>
      <c r="AJE158" s="159"/>
      <c r="AJF158" s="159"/>
      <c r="AJG158" s="159"/>
      <c r="AJH158" s="159"/>
      <c r="AJI158" s="159"/>
      <c r="AJJ158" s="159"/>
      <c r="AJK158" s="159"/>
      <c r="AJL158" s="159"/>
      <c r="AJM158" s="159"/>
      <c r="AJN158" s="159"/>
      <c r="AJO158" s="159"/>
      <c r="AJP158" s="159"/>
      <c r="AJQ158" s="159"/>
      <c r="AJR158" s="159"/>
      <c r="AJS158" s="159"/>
      <c r="AJT158" s="159"/>
      <c r="AJU158" s="159"/>
      <c r="AJV158" s="159"/>
      <c r="AJW158" s="159"/>
      <c r="AJX158" s="159"/>
      <c r="AJY158" s="159"/>
      <c r="AJZ158" s="159"/>
      <c r="AKA158" s="159"/>
      <c r="AKB158" s="159"/>
      <c r="AKC158" s="159"/>
      <c r="AKD158" s="159"/>
      <c r="AKE158" s="159"/>
      <c r="AKF158" s="159"/>
      <c r="AKG158" s="159"/>
      <c r="AKH158" s="159"/>
      <c r="AKI158" s="159"/>
      <c r="AKJ158" s="159"/>
      <c r="AKK158" s="159"/>
      <c r="AKL158" s="159"/>
      <c r="AKM158" s="159"/>
      <c r="AKN158" s="159"/>
      <c r="AKO158" s="159"/>
      <c r="AKP158" s="159"/>
      <c r="AKQ158" s="159"/>
      <c r="AKR158" s="159"/>
      <c r="AKS158" s="159"/>
      <c r="AKT158" s="159"/>
      <c r="AKU158" s="159"/>
      <c r="AKV158" s="159"/>
      <c r="AKW158" s="159"/>
      <c r="AKX158" s="159"/>
      <c r="AKY158" s="159"/>
      <c r="AKZ158" s="159"/>
      <c r="ALA158" s="159"/>
      <c r="ALB158" s="159"/>
      <c r="ALC158" s="159"/>
      <c r="ALD158" s="159"/>
      <c r="ALE158" s="159"/>
      <c r="ALF158" s="159"/>
      <c r="ALG158" s="159"/>
      <c r="ALH158" s="159"/>
      <c r="ALI158" s="159"/>
      <c r="ALJ158" s="159"/>
      <c r="ALK158" s="159"/>
      <c r="ALL158" s="159"/>
      <c r="ALM158" s="159"/>
      <c r="ALN158" s="159"/>
      <c r="ALO158" s="159"/>
      <c r="ALP158" s="159"/>
      <c r="ALQ158" s="159"/>
      <c r="ALR158" s="159"/>
      <c r="ALS158" s="159"/>
      <c r="ALT158" s="159"/>
      <c r="ALU158" s="159"/>
      <c r="ALV158" s="159"/>
      <c r="ALW158" s="159"/>
      <c r="ALX158" s="159"/>
      <c r="ALY158" s="159"/>
      <c r="ALZ158" s="159"/>
      <c r="AMA158" s="159"/>
      <c r="AMB158" s="159"/>
      <c r="AMC158" s="159"/>
      <c r="AMD158" s="159"/>
      <c r="AME158" s="159"/>
      <c r="AMF158" s="159"/>
      <c r="AMG158" s="159"/>
      <c r="AMH158" s="159"/>
      <c r="AMI158" s="159"/>
      <c r="AMJ158" s="159"/>
      <c r="AMK158" s="159"/>
      <c r="AML158" s="159"/>
      <c r="AMM158" s="159"/>
      <c r="AMN158" s="159"/>
      <c r="AMO158" s="159"/>
    </row>
    <row r="159" spans="1:1029" ht="15.75" thickTop="1" x14ac:dyDescent="0.25">
      <c r="A159" s="8">
        <v>46244</v>
      </c>
      <c r="B159" s="9" t="s">
        <v>268</v>
      </c>
      <c r="C159" s="9" t="s">
        <v>268</v>
      </c>
      <c r="D159" s="101" t="s">
        <v>268</v>
      </c>
      <c r="E159" s="11" t="s">
        <v>28</v>
      </c>
      <c r="F159" s="13" t="s">
        <v>28</v>
      </c>
      <c r="G159" s="13" t="s">
        <v>28</v>
      </c>
      <c r="H159" s="10" t="b">
        <f t="shared" si="12"/>
        <v>0</v>
      </c>
      <c r="I159" s="13" t="s">
        <v>28</v>
      </c>
      <c r="J159" s="13" t="s">
        <v>28</v>
      </c>
      <c r="K159" s="13" t="s">
        <v>28</v>
      </c>
      <c r="L159" s="10" t="b">
        <f t="shared" si="13"/>
        <v>0</v>
      </c>
      <c r="M159" s="13" t="s">
        <v>28</v>
      </c>
      <c r="N159" s="13" t="s">
        <v>28</v>
      </c>
      <c r="O159" s="13" t="s">
        <v>28</v>
      </c>
      <c r="P159" s="10" t="b">
        <f t="shared" si="14"/>
        <v>0</v>
      </c>
      <c r="Q159" s="13" t="s">
        <v>28</v>
      </c>
      <c r="R159" s="9" t="s">
        <v>28</v>
      </c>
      <c r="S159" s="9" t="s">
        <v>28</v>
      </c>
      <c r="T159" s="10" t="b">
        <f t="shared" si="15"/>
        <v>0</v>
      </c>
    </row>
    <row r="160" spans="1:1029" x14ac:dyDescent="0.25">
      <c r="A160" s="8">
        <v>46245</v>
      </c>
      <c r="B160" s="16" t="s">
        <v>268</v>
      </c>
      <c r="C160" s="16" t="s">
        <v>268</v>
      </c>
      <c r="D160" s="105" t="s">
        <v>268</v>
      </c>
      <c r="E160" s="18" t="s">
        <v>28</v>
      </c>
      <c r="F160" s="19" t="s">
        <v>28</v>
      </c>
      <c r="G160" s="19" t="s">
        <v>28</v>
      </c>
      <c r="H160" s="17" t="b">
        <f t="shared" si="12"/>
        <v>0</v>
      </c>
      <c r="I160" s="13" t="s">
        <v>28</v>
      </c>
      <c r="J160" s="13" t="s">
        <v>28</v>
      </c>
      <c r="K160" s="13" t="s">
        <v>28</v>
      </c>
      <c r="L160" s="17" t="b">
        <f t="shared" si="13"/>
        <v>0</v>
      </c>
      <c r="M160" s="13" t="s">
        <v>28</v>
      </c>
      <c r="N160" s="13" t="s">
        <v>28</v>
      </c>
      <c r="O160" s="13" t="s">
        <v>28</v>
      </c>
      <c r="P160" s="17" t="b">
        <f t="shared" si="14"/>
        <v>0</v>
      </c>
      <c r="Q160" s="19" t="s">
        <v>28</v>
      </c>
      <c r="R160" s="16" t="s">
        <v>28</v>
      </c>
      <c r="S160" s="16" t="s">
        <v>28</v>
      </c>
      <c r="T160" s="17" t="b">
        <f t="shared" si="15"/>
        <v>0</v>
      </c>
    </row>
    <row r="161" spans="1:1029" x14ac:dyDescent="0.25">
      <c r="A161" s="8">
        <v>46246</v>
      </c>
      <c r="B161" s="16" t="s">
        <v>268</v>
      </c>
      <c r="C161" s="16" t="s">
        <v>268</v>
      </c>
      <c r="D161" s="105" t="s">
        <v>268</v>
      </c>
      <c r="E161" s="18" t="s">
        <v>28</v>
      </c>
      <c r="F161" s="19" t="s">
        <v>28</v>
      </c>
      <c r="G161" s="19" t="s">
        <v>28</v>
      </c>
      <c r="H161" s="17" t="b">
        <f t="shared" si="12"/>
        <v>0</v>
      </c>
      <c r="I161" s="13" t="s">
        <v>28</v>
      </c>
      <c r="J161" s="13" t="s">
        <v>28</v>
      </c>
      <c r="K161" s="13" t="s">
        <v>28</v>
      </c>
      <c r="L161" s="17" t="b">
        <f t="shared" si="13"/>
        <v>0</v>
      </c>
      <c r="M161" s="13" t="s">
        <v>28</v>
      </c>
      <c r="N161" s="13" t="s">
        <v>28</v>
      </c>
      <c r="O161" s="13" t="s">
        <v>28</v>
      </c>
      <c r="P161" s="17" t="b">
        <f t="shared" si="14"/>
        <v>0</v>
      </c>
      <c r="Q161" s="19" t="s">
        <v>28</v>
      </c>
      <c r="R161" s="16" t="s">
        <v>28</v>
      </c>
      <c r="S161" s="16" t="s">
        <v>28</v>
      </c>
      <c r="T161" s="17" t="b">
        <f t="shared" si="15"/>
        <v>0</v>
      </c>
    </row>
    <row r="162" spans="1:1029" x14ac:dyDescent="0.25">
      <c r="A162" s="8">
        <v>46247</v>
      </c>
      <c r="B162" s="16" t="s">
        <v>268</v>
      </c>
      <c r="C162" s="16" t="s">
        <v>268</v>
      </c>
      <c r="D162" s="105" t="s">
        <v>268</v>
      </c>
      <c r="E162" s="18" t="s">
        <v>28</v>
      </c>
      <c r="F162" s="19" t="s">
        <v>28</v>
      </c>
      <c r="G162" s="19" t="s">
        <v>28</v>
      </c>
      <c r="H162" s="17" t="b">
        <f t="shared" si="12"/>
        <v>0</v>
      </c>
      <c r="I162" s="13" t="s">
        <v>28</v>
      </c>
      <c r="J162" s="13" t="s">
        <v>28</v>
      </c>
      <c r="K162" s="13" t="s">
        <v>28</v>
      </c>
      <c r="L162" s="17" t="b">
        <f t="shared" si="13"/>
        <v>0</v>
      </c>
      <c r="M162" s="13" t="s">
        <v>28</v>
      </c>
      <c r="N162" s="13" t="s">
        <v>28</v>
      </c>
      <c r="O162" s="13" t="s">
        <v>28</v>
      </c>
      <c r="P162" s="17" t="b">
        <f t="shared" si="14"/>
        <v>0</v>
      </c>
      <c r="Q162" s="19" t="s">
        <v>28</v>
      </c>
      <c r="R162" s="16" t="s">
        <v>28</v>
      </c>
      <c r="S162" s="16" t="s">
        <v>28</v>
      </c>
      <c r="T162" s="17" t="b">
        <f t="shared" si="15"/>
        <v>0</v>
      </c>
    </row>
    <row r="163" spans="1:1029" ht="15.75" thickBot="1" x14ac:dyDescent="0.3">
      <c r="A163" s="107">
        <v>46248</v>
      </c>
      <c r="B163" s="69" t="s">
        <v>268</v>
      </c>
      <c r="C163" s="69" t="s">
        <v>268</v>
      </c>
      <c r="D163" s="108" t="s">
        <v>268</v>
      </c>
      <c r="E163" s="109" t="s">
        <v>28</v>
      </c>
      <c r="F163" s="110" t="s">
        <v>28</v>
      </c>
      <c r="G163" s="110" t="s">
        <v>28</v>
      </c>
      <c r="H163" s="148" t="b">
        <f t="shared" si="12"/>
        <v>0</v>
      </c>
      <c r="I163" s="116" t="s">
        <v>28</v>
      </c>
      <c r="J163" s="116" t="s">
        <v>28</v>
      </c>
      <c r="K163" s="116" t="s">
        <v>28</v>
      </c>
      <c r="L163" s="148" t="b">
        <f t="shared" si="13"/>
        <v>0</v>
      </c>
      <c r="M163" s="116" t="s">
        <v>28</v>
      </c>
      <c r="N163" s="116" t="s">
        <v>28</v>
      </c>
      <c r="O163" s="116" t="s">
        <v>28</v>
      </c>
      <c r="P163" s="148" t="b">
        <f t="shared" si="14"/>
        <v>0</v>
      </c>
      <c r="Q163" s="110" t="s">
        <v>28</v>
      </c>
      <c r="R163" s="69" t="s">
        <v>28</v>
      </c>
      <c r="S163" s="69" t="s">
        <v>28</v>
      </c>
      <c r="T163" s="148" t="b">
        <f t="shared" si="15"/>
        <v>0</v>
      </c>
    </row>
    <row r="164" spans="1:1029" ht="15.75" thickTop="1" x14ac:dyDescent="0.25">
      <c r="A164" s="33">
        <v>46251</v>
      </c>
      <c r="B164" s="34" t="s">
        <v>268</v>
      </c>
      <c r="C164" s="34" t="s">
        <v>268</v>
      </c>
      <c r="D164" s="106" t="s">
        <v>268</v>
      </c>
      <c r="E164" s="35" t="s">
        <v>28</v>
      </c>
      <c r="F164" s="37" t="s">
        <v>28</v>
      </c>
      <c r="G164" s="37" t="s">
        <v>28</v>
      </c>
      <c r="H164" s="140" t="b">
        <f t="shared" si="12"/>
        <v>0</v>
      </c>
      <c r="I164" s="35" t="s">
        <v>28</v>
      </c>
      <c r="J164" s="37" t="s">
        <v>28</v>
      </c>
      <c r="K164" s="37" t="s">
        <v>28</v>
      </c>
      <c r="L164" s="140" t="b">
        <f t="shared" si="13"/>
        <v>0</v>
      </c>
      <c r="M164" s="37" t="s">
        <v>28</v>
      </c>
      <c r="N164" s="37" t="s">
        <v>28</v>
      </c>
      <c r="O164" s="37" t="s">
        <v>28</v>
      </c>
      <c r="P164" s="140" t="b">
        <f t="shared" si="14"/>
        <v>0</v>
      </c>
      <c r="Q164" s="37" t="s">
        <v>28</v>
      </c>
      <c r="R164" s="34" t="s">
        <v>28</v>
      </c>
      <c r="S164" s="34" t="s">
        <v>28</v>
      </c>
      <c r="T164" s="140" t="b">
        <f t="shared" si="15"/>
        <v>0</v>
      </c>
    </row>
    <row r="165" spans="1:1029" x14ac:dyDescent="0.25">
      <c r="A165" s="8">
        <v>46252</v>
      </c>
      <c r="B165" s="16" t="s">
        <v>268</v>
      </c>
      <c r="C165" s="16" t="s">
        <v>268</v>
      </c>
      <c r="D165" s="105" t="s">
        <v>268</v>
      </c>
      <c r="E165" s="18" t="s">
        <v>28</v>
      </c>
      <c r="F165" s="19" t="s">
        <v>28</v>
      </c>
      <c r="G165" s="19" t="s">
        <v>28</v>
      </c>
      <c r="H165" s="17" t="b">
        <f t="shared" si="12"/>
        <v>0</v>
      </c>
      <c r="I165" s="11" t="s">
        <v>28</v>
      </c>
      <c r="J165" s="13" t="s">
        <v>28</v>
      </c>
      <c r="K165" s="13" t="s">
        <v>28</v>
      </c>
      <c r="L165" s="17" t="b">
        <f t="shared" si="13"/>
        <v>0</v>
      </c>
      <c r="M165" s="13" t="s">
        <v>28</v>
      </c>
      <c r="N165" s="13" t="s">
        <v>28</v>
      </c>
      <c r="O165" s="13" t="s">
        <v>28</v>
      </c>
      <c r="P165" s="17" t="b">
        <f t="shared" si="14"/>
        <v>0</v>
      </c>
      <c r="Q165" s="19" t="s">
        <v>28</v>
      </c>
      <c r="R165" s="16" t="s">
        <v>28</v>
      </c>
      <c r="S165" s="16" t="s">
        <v>28</v>
      </c>
      <c r="T165" s="17" t="b">
        <f t="shared" si="15"/>
        <v>0</v>
      </c>
    </row>
    <row r="166" spans="1:1029" x14ac:dyDescent="0.25">
      <c r="A166" s="8">
        <v>46253</v>
      </c>
      <c r="B166" s="16" t="s">
        <v>268</v>
      </c>
      <c r="C166" s="16" t="s">
        <v>268</v>
      </c>
      <c r="D166" s="105" t="s">
        <v>268</v>
      </c>
      <c r="E166" s="18" t="s">
        <v>28</v>
      </c>
      <c r="F166" s="19" t="s">
        <v>28</v>
      </c>
      <c r="G166" s="19" t="s">
        <v>28</v>
      </c>
      <c r="H166" s="17" t="b">
        <f t="shared" si="12"/>
        <v>0</v>
      </c>
      <c r="I166" s="11" t="s">
        <v>28</v>
      </c>
      <c r="J166" s="13" t="s">
        <v>28</v>
      </c>
      <c r="K166" s="13" t="s">
        <v>28</v>
      </c>
      <c r="L166" s="17" t="b">
        <f t="shared" si="13"/>
        <v>0</v>
      </c>
      <c r="M166" s="13" t="s">
        <v>28</v>
      </c>
      <c r="N166" s="13" t="s">
        <v>28</v>
      </c>
      <c r="O166" s="13" t="s">
        <v>28</v>
      </c>
      <c r="P166" s="17" t="b">
        <f t="shared" si="14"/>
        <v>0</v>
      </c>
      <c r="Q166" s="19" t="s">
        <v>28</v>
      </c>
      <c r="R166" s="16" t="s">
        <v>28</v>
      </c>
      <c r="S166" s="16" t="s">
        <v>28</v>
      </c>
      <c r="T166" s="17" t="b">
        <f t="shared" si="15"/>
        <v>0</v>
      </c>
    </row>
    <row r="167" spans="1:1029" x14ac:dyDescent="0.25">
      <c r="A167" s="8">
        <v>46254</v>
      </c>
      <c r="B167" s="16" t="s">
        <v>268</v>
      </c>
      <c r="C167" s="16" t="s">
        <v>268</v>
      </c>
      <c r="D167" s="105" t="s">
        <v>268</v>
      </c>
      <c r="E167" s="18" t="s">
        <v>28</v>
      </c>
      <c r="F167" s="19" t="s">
        <v>28</v>
      </c>
      <c r="G167" s="19" t="s">
        <v>28</v>
      </c>
      <c r="H167" s="17" t="b">
        <f t="shared" si="12"/>
        <v>0</v>
      </c>
      <c r="I167" s="11" t="s">
        <v>28</v>
      </c>
      <c r="J167" s="13" t="s">
        <v>28</v>
      </c>
      <c r="K167" s="13" t="s">
        <v>28</v>
      </c>
      <c r="L167" s="17" t="b">
        <f t="shared" si="13"/>
        <v>0</v>
      </c>
      <c r="M167" s="13" t="s">
        <v>28</v>
      </c>
      <c r="N167" s="13" t="s">
        <v>28</v>
      </c>
      <c r="O167" s="13" t="s">
        <v>28</v>
      </c>
      <c r="P167" s="17" t="b">
        <f t="shared" si="14"/>
        <v>0</v>
      </c>
      <c r="Q167" s="19" t="s">
        <v>28</v>
      </c>
      <c r="R167" s="16" t="s">
        <v>28</v>
      </c>
      <c r="S167" s="16" t="s">
        <v>28</v>
      </c>
      <c r="T167" s="17" t="b">
        <f t="shared" si="15"/>
        <v>0</v>
      </c>
    </row>
    <row r="168" spans="1:1029" ht="15.75" thickBot="1" x14ac:dyDescent="0.3">
      <c r="A168" s="39">
        <v>46255</v>
      </c>
      <c r="B168" s="55" t="s">
        <v>268</v>
      </c>
      <c r="C168" s="55" t="s">
        <v>268</v>
      </c>
      <c r="D168" s="111" t="s">
        <v>268</v>
      </c>
      <c r="E168" s="112" t="s">
        <v>28</v>
      </c>
      <c r="F168" s="44" t="s">
        <v>28</v>
      </c>
      <c r="G168" s="44" t="s">
        <v>28</v>
      </c>
      <c r="H168" s="142" t="b">
        <f t="shared" si="12"/>
        <v>0</v>
      </c>
      <c r="I168" s="104" t="s">
        <v>28</v>
      </c>
      <c r="J168" s="103" t="s">
        <v>28</v>
      </c>
      <c r="K168" s="103" t="s">
        <v>28</v>
      </c>
      <c r="L168" s="142" t="b">
        <f t="shared" si="13"/>
        <v>0</v>
      </c>
      <c r="M168" s="103" t="s">
        <v>28</v>
      </c>
      <c r="N168" s="103" t="s">
        <v>28</v>
      </c>
      <c r="O168" s="103" t="s">
        <v>28</v>
      </c>
      <c r="P168" s="142" t="b">
        <f t="shared" si="14"/>
        <v>0</v>
      </c>
      <c r="Q168" s="44" t="s">
        <v>28</v>
      </c>
      <c r="R168" s="55" t="s">
        <v>28</v>
      </c>
      <c r="S168" s="55" t="s">
        <v>28</v>
      </c>
      <c r="T168" s="142" t="b">
        <f t="shared" si="15"/>
        <v>0</v>
      </c>
    </row>
    <row r="169" spans="1:1029" s="161" customFormat="1" ht="26.25" thickTop="1" x14ac:dyDescent="0.25">
      <c r="A169" s="138">
        <v>46258</v>
      </c>
      <c r="B169" s="119" t="s">
        <v>101</v>
      </c>
      <c r="C169" s="119" t="s">
        <v>74</v>
      </c>
      <c r="D169" s="139" t="s">
        <v>21</v>
      </c>
      <c r="E169" s="120" t="s">
        <v>19</v>
      </c>
      <c r="F169" s="121" t="s">
        <v>130</v>
      </c>
      <c r="G169" s="121" t="s">
        <v>21</v>
      </c>
      <c r="H169" s="146">
        <f t="shared" si="12"/>
        <v>0.5</v>
      </c>
      <c r="I169" s="121" t="s">
        <v>19</v>
      </c>
      <c r="J169" s="121" t="s">
        <v>130</v>
      </c>
      <c r="K169" s="121" t="s">
        <v>21</v>
      </c>
      <c r="L169" s="146">
        <f t="shared" si="13"/>
        <v>0.5</v>
      </c>
      <c r="M169" s="121" t="s">
        <v>19</v>
      </c>
      <c r="N169" s="121" t="s">
        <v>130</v>
      </c>
      <c r="O169" s="121" t="s">
        <v>21</v>
      </c>
      <c r="P169" s="146">
        <f t="shared" si="14"/>
        <v>0.5</v>
      </c>
      <c r="Q169" s="121" t="s">
        <v>19</v>
      </c>
      <c r="R169" s="119" t="s">
        <v>130</v>
      </c>
      <c r="S169" s="119" t="s">
        <v>21</v>
      </c>
      <c r="T169" s="146">
        <f t="shared" si="15"/>
        <v>0.5</v>
      </c>
      <c r="U169" s="159"/>
      <c r="V169" s="159"/>
      <c r="W169" s="159"/>
      <c r="X169" s="159"/>
      <c r="Y169" s="159"/>
      <c r="Z169" s="159"/>
      <c r="AA169" s="159"/>
      <c r="AB169" s="159"/>
      <c r="AC169" s="159"/>
      <c r="AD169" s="159"/>
      <c r="AE169" s="159"/>
      <c r="AF169" s="159"/>
      <c r="AG169" s="159"/>
      <c r="AH169" s="159"/>
      <c r="AI169" s="159"/>
      <c r="AJ169" s="159"/>
      <c r="AK169" s="159"/>
      <c r="AL169" s="159"/>
      <c r="AM169" s="159"/>
      <c r="AN169" s="159"/>
      <c r="AO169" s="159"/>
      <c r="AP169" s="159"/>
      <c r="AQ169" s="159"/>
      <c r="AR169" s="159"/>
      <c r="AS169" s="159"/>
      <c r="AT169" s="159"/>
      <c r="AU169" s="159"/>
      <c r="AV169" s="159"/>
      <c r="AW169" s="159"/>
      <c r="AX169" s="159"/>
      <c r="AY169" s="159"/>
      <c r="AZ169" s="159"/>
      <c r="BA169" s="159"/>
      <c r="BB169" s="159"/>
      <c r="BC169" s="159"/>
      <c r="BD169" s="159"/>
      <c r="BE169" s="159"/>
      <c r="BF169" s="159"/>
      <c r="BG169" s="159"/>
      <c r="BH169" s="159"/>
      <c r="BI169" s="159"/>
      <c r="BJ169" s="159"/>
      <c r="BK169" s="159"/>
      <c r="BL169" s="159"/>
      <c r="BM169" s="159"/>
      <c r="BN169" s="159"/>
      <c r="BO169" s="159"/>
      <c r="BP169" s="159"/>
      <c r="BQ169" s="159"/>
      <c r="BR169" s="159"/>
      <c r="BS169" s="159"/>
      <c r="BT169" s="159"/>
      <c r="BU169" s="159"/>
      <c r="BV169" s="159"/>
      <c r="BW169" s="159"/>
      <c r="BX169" s="159"/>
      <c r="BY169" s="159"/>
      <c r="BZ169" s="159"/>
      <c r="CA169" s="159"/>
      <c r="CB169" s="159"/>
      <c r="CC169" s="159"/>
      <c r="CD169" s="159"/>
      <c r="CE169" s="159"/>
      <c r="CF169" s="159"/>
      <c r="CG169" s="159"/>
      <c r="CH169" s="159"/>
      <c r="CI169" s="159"/>
      <c r="CJ169" s="159"/>
      <c r="CK169" s="159"/>
      <c r="CL169" s="159"/>
      <c r="CM169" s="159"/>
      <c r="CN169" s="159"/>
      <c r="CO169" s="159"/>
      <c r="CP169" s="159"/>
      <c r="CQ169" s="159"/>
      <c r="CR169" s="159"/>
      <c r="CS169" s="159"/>
      <c r="CT169" s="159"/>
      <c r="CU169" s="159"/>
      <c r="CV169" s="159"/>
      <c r="CW169" s="159"/>
      <c r="CX169" s="159"/>
      <c r="CY169" s="159"/>
      <c r="CZ169" s="159"/>
      <c r="DA169" s="159"/>
      <c r="DB169" s="159"/>
      <c r="DC169" s="159"/>
      <c r="DD169" s="159"/>
      <c r="DE169" s="159"/>
      <c r="DF169" s="159"/>
      <c r="DG169" s="159"/>
      <c r="DH169" s="159"/>
      <c r="DI169" s="159"/>
      <c r="DJ169" s="159"/>
      <c r="DK169" s="159"/>
      <c r="DL169" s="159"/>
      <c r="DM169" s="159"/>
      <c r="DN169" s="159"/>
      <c r="DO169" s="159"/>
      <c r="DP169" s="159"/>
      <c r="DQ169" s="159"/>
      <c r="DR169" s="159"/>
      <c r="DS169" s="159"/>
      <c r="DT169" s="159"/>
      <c r="DU169" s="159"/>
      <c r="DV169" s="159"/>
      <c r="DW169" s="159"/>
      <c r="DX169" s="159"/>
      <c r="DY169" s="159"/>
      <c r="DZ169" s="159"/>
      <c r="EA169" s="159"/>
      <c r="EB169" s="159"/>
      <c r="EC169" s="159"/>
      <c r="ED169" s="159"/>
      <c r="EE169" s="159"/>
      <c r="EF169" s="159"/>
      <c r="EG169" s="159"/>
      <c r="EH169" s="159"/>
      <c r="EI169" s="159"/>
      <c r="EJ169" s="159"/>
      <c r="EK169" s="159"/>
      <c r="EL169" s="159"/>
      <c r="EM169" s="159"/>
      <c r="EN169" s="159"/>
      <c r="EO169" s="159"/>
      <c r="EP169" s="159"/>
      <c r="EQ169" s="159"/>
      <c r="ER169" s="159"/>
      <c r="ES169" s="159"/>
      <c r="ET169" s="159"/>
      <c r="EU169" s="159"/>
      <c r="EV169" s="159"/>
      <c r="EW169" s="159"/>
      <c r="EX169" s="159"/>
      <c r="EY169" s="159"/>
      <c r="EZ169" s="159"/>
      <c r="FA169" s="159"/>
      <c r="FB169" s="159"/>
      <c r="FC169" s="159"/>
      <c r="FD169" s="159"/>
      <c r="FE169" s="159"/>
      <c r="FF169" s="159"/>
      <c r="FG169" s="159"/>
      <c r="FH169" s="159"/>
      <c r="FI169" s="159"/>
      <c r="FJ169" s="159"/>
      <c r="FK169" s="159"/>
      <c r="FL169" s="159"/>
      <c r="FM169" s="159"/>
      <c r="FN169" s="159"/>
      <c r="FO169" s="159"/>
      <c r="FP169" s="159"/>
      <c r="FQ169" s="159"/>
      <c r="FR169" s="159"/>
      <c r="FS169" s="159"/>
      <c r="FT169" s="159"/>
      <c r="FU169" s="159"/>
      <c r="FV169" s="159"/>
      <c r="FW169" s="159"/>
      <c r="FX169" s="159"/>
      <c r="FY169" s="159"/>
      <c r="FZ169" s="159"/>
      <c r="GA169" s="159"/>
      <c r="GB169" s="159"/>
      <c r="GC169" s="159"/>
      <c r="GD169" s="159"/>
      <c r="GE169" s="159"/>
      <c r="GF169" s="159"/>
      <c r="GG169" s="159"/>
      <c r="GH169" s="159"/>
      <c r="GI169" s="159"/>
      <c r="GJ169" s="159"/>
      <c r="GK169" s="159"/>
      <c r="GL169" s="159"/>
      <c r="GM169" s="159"/>
      <c r="GN169" s="159"/>
      <c r="GO169" s="159"/>
      <c r="GP169" s="159"/>
      <c r="GQ169" s="159"/>
      <c r="GR169" s="159"/>
      <c r="GS169" s="159"/>
      <c r="GT169" s="159"/>
      <c r="GU169" s="159"/>
      <c r="GV169" s="159"/>
      <c r="GW169" s="159"/>
      <c r="GX169" s="159"/>
      <c r="GY169" s="159"/>
      <c r="GZ169" s="159"/>
      <c r="HA169" s="159"/>
      <c r="HB169" s="159"/>
      <c r="HC169" s="159"/>
      <c r="HD169" s="159"/>
      <c r="HE169" s="159"/>
      <c r="HF169" s="159"/>
      <c r="HG169" s="159"/>
      <c r="HH169" s="159"/>
      <c r="HI169" s="159"/>
      <c r="HJ169" s="159"/>
      <c r="HK169" s="159"/>
      <c r="HL169" s="159"/>
      <c r="HM169" s="159"/>
      <c r="HN169" s="159"/>
      <c r="HO169" s="159"/>
      <c r="HP169" s="159"/>
      <c r="HQ169" s="159"/>
      <c r="HR169" s="159"/>
      <c r="HS169" s="159"/>
      <c r="HT169" s="159"/>
      <c r="HU169" s="159"/>
      <c r="HV169" s="159"/>
      <c r="HW169" s="159"/>
      <c r="HX169" s="159"/>
      <c r="HY169" s="159"/>
      <c r="HZ169" s="159"/>
      <c r="IA169" s="159"/>
      <c r="IB169" s="159"/>
      <c r="IC169" s="159"/>
      <c r="ID169" s="159"/>
      <c r="IE169" s="159"/>
      <c r="IF169" s="159"/>
      <c r="IG169" s="159"/>
      <c r="IH169" s="159"/>
      <c r="II169" s="159"/>
      <c r="IJ169" s="159"/>
      <c r="IK169" s="159"/>
      <c r="IL169" s="159"/>
      <c r="IM169" s="159"/>
      <c r="IN169" s="159"/>
      <c r="IO169" s="159"/>
      <c r="IP169" s="159"/>
      <c r="IQ169" s="159"/>
      <c r="IR169" s="159"/>
      <c r="IS169" s="159"/>
      <c r="IT169" s="159"/>
      <c r="IU169" s="159"/>
      <c r="IV169" s="159"/>
      <c r="IW169" s="159"/>
      <c r="IX169" s="159"/>
      <c r="IY169" s="159"/>
      <c r="IZ169" s="159"/>
      <c r="JA169" s="159"/>
      <c r="JB169" s="159"/>
      <c r="JC169" s="159"/>
      <c r="JD169" s="159"/>
      <c r="JE169" s="159"/>
      <c r="JF169" s="159"/>
      <c r="JG169" s="159"/>
      <c r="JH169" s="159"/>
      <c r="JI169" s="159"/>
      <c r="JJ169" s="159"/>
      <c r="JK169" s="159"/>
      <c r="JL169" s="159"/>
      <c r="JM169" s="159"/>
      <c r="JN169" s="159"/>
      <c r="JO169" s="159"/>
      <c r="JP169" s="159"/>
      <c r="JQ169" s="159"/>
      <c r="JR169" s="159"/>
      <c r="JS169" s="159"/>
      <c r="JT169" s="159"/>
      <c r="JU169" s="159"/>
      <c r="JV169" s="159"/>
      <c r="JW169" s="159"/>
      <c r="JX169" s="159"/>
      <c r="JY169" s="159"/>
      <c r="JZ169" s="159"/>
      <c r="KA169" s="159"/>
      <c r="KB169" s="159"/>
      <c r="KC169" s="159"/>
      <c r="KD169" s="159"/>
      <c r="KE169" s="159"/>
      <c r="KF169" s="159"/>
      <c r="KG169" s="159"/>
      <c r="KH169" s="159"/>
      <c r="KI169" s="159"/>
      <c r="KJ169" s="159"/>
      <c r="KK169" s="159"/>
      <c r="KL169" s="159"/>
      <c r="KM169" s="159"/>
      <c r="KN169" s="159"/>
      <c r="KO169" s="159"/>
      <c r="KP169" s="159"/>
      <c r="KQ169" s="159"/>
      <c r="KR169" s="159"/>
      <c r="KS169" s="159"/>
      <c r="KT169" s="159"/>
      <c r="KU169" s="159"/>
      <c r="KV169" s="159"/>
      <c r="KW169" s="159"/>
      <c r="KX169" s="159"/>
      <c r="KY169" s="159"/>
      <c r="KZ169" s="159"/>
      <c r="LA169" s="159"/>
      <c r="LB169" s="159"/>
      <c r="LC169" s="159"/>
      <c r="LD169" s="159"/>
      <c r="LE169" s="159"/>
      <c r="LF169" s="159"/>
      <c r="LG169" s="159"/>
      <c r="LH169" s="159"/>
      <c r="LI169" s="159"/>
      <c r="LJ169" s="159"/>
      <c r="LK169" s="159"/>
      <c r="LL169" s="159"/>
      <c r="LM169" s="159"/>
      <c r="LN169" s="159"/>
      <c r="LO169" s="159"/>
      <c r="LP169" s="159"/>
      <c r="LQ169" s="159"/>
      <c r="LR169" s="159"/>
      <c r="LS169" s="159"/>
      <c r="LT169" s="159"/>
      <c r="LU169" s="159"/>
      <c r="LV169" s="159"/>
      <c r="LW169" s="159"/>
      <c r="LX169" s="159"/>
      <c r="LY169" s="159"/>
      <c r="LZ169" s="159"/>
      <c r="MA169" s="159"/>
      <c r="MB169" s="159"/>
      <c r="MC169" s="159"/>
      <c r="MD169" s="159"/>
      <c r="ME169" s="159"/>
      <c r="MF169" s="159"/>
      <c r="MG169" s="159"/>
      <c r="MH169" s="159"/>
      <c r="MI169" s="159"/>
      <c r="MJ169" s="159"/>
      <c r="MK169" s="159"/>
      <c r="ML169" s="159"/>
      <c r="MM169" s="159"/>
      <c r="MN169" s="159"/>
      <c r="MO169" s="159"/>
      <c r="MP169" s="159"/>
      <c r="MQ169" s="159"/>
      <c r="MR169" s="159"/>
      <c r="MS169" s="159"/>
      <c r="MT169" s="159"/>
      <c r="MU169" s="159"/>
      <c r="MV169" s="159"/>
      <c r="MW169" s="159"/>
      <c r="MX169" s="159"/>
      <c r="MY169" s="159"/>
      <c r="MZ169" s="159"/>
      <c r="NA169" s="159"/>
      <c r="NB169" s="159"/>
      <c r="NC169" s="159"/>
      <c r="ND169" s="159"/>
      <c r="NE169" s="159"/>
      <c r="NF169" s="159"/>
      <c r="NG169" s="159"/>
      <c r="NH169" s="159"/>
      <c r="NI169" s="159"/>
      <c r="NJ169" s="159"/>
      <c r="NK169" s="159"/>
      <c r="NL169" s="159"/>
      <c r="NM169" s="159"/>
      <c r="NN169" s="159"/>
      <c r="NO169" s="159"/>
      <c r="NP169" s="159"/>
      <c r="NQ169" s="159"/>
      <c r="NR169" s="159"/>
      <c r="NS169" s="159"/>
      <c r="NT169" s="159"/>
      <c r="NU169" s="159"/>
      <c r="NV169" s="159"/>
      <c r="NW169" s="159"/>
      <c r="NX169" s="159"/>
      <c r="NY169" s="159"/>
      <c r="NZ169" s="159"/>
      <c r="OA169" s="159"/>
      <c r="OB169" s="159"/>
      <c r="OC169" s="159"/>
      <c r="OD169" s="159"/>
      <c r="OE169" s="159"/>
      <c r="OF169" s="159"/>
      <c r="OG169" s="159"/>
      <c r="OH169" s="159"/>
      <c r="OI169" s="159"/>
      <c r="OJ169" s="159"/>
      <c r="OK169" s="159"/>
      <c r="OL169" s="159"/>
      <c r="OM169" s="159"/>
      <c r="ON169" s="159"/>
      <c r="OO169" s="159"/>
      <c r="OP169" s="159"/>
      <c r="OQ169" s="159"/>
      <c r="OR169" s="159"/>
      <c r="OS169" s="159"/>
      <c r="OT169" s="159"/>
      <c r="OU169" s="159"/>
      <c r="OV169" s="159"/>
      <c r="OW169" s="159"/>
      <c r="OX169" s="159"/>
      <c r="OY169" s="159"/>
      <c r="OZ169" s="159"/>
      <c r="PA169" s="159"/>
      <c r="PB169" s="159"/>
      <c r="PC169" s="159"/>
      <c r="PD169" s="159"/>
      <c r="PE169" s="159"/>
      <c r="PF169" s="159"/>
      <c r="PG169" s="159"/>
      <c r="PH169" s="159"/>
      <c r="PI169" s="159"/>
      <c r="PJ169" s="159"/>
      <c r="PK169" s="159"/>
      <c r="PL169" s="159"/>
      <c r="PM169" s="159"/>
      <c r="PN169" s="159"/>
      <c r="PO169" s="159"/>
      <c r="PP169" s="159"/>
      <c r="PQ169" s="159"/>
      <c r="PR169" s="159"/>
      <c r="PS169" s="159"/>
      <c r="PT169" s="159"/>
      <c r="PU169" s="159"/>
      <c r="PV169" s="159"/>
      <c r="PW169" s="159"/>
      <c r="PX169" s="159"/>
      <c r="PY169" s="159"/>
      <c r="PZ169" s="159"/>
      <c r="QA169" s="159"/>
      <c r="QB169" s="159"/>
      <c r="QC169" s="159"/>
      <c r="QD169" s="159"/>
      <c r="QE169" s="159"/>
      <c r="QF169" s="159"/>
      <c r="QG169" s="159"/>
      <c r="QH169" s="159"/>
      <c r="QI169" s="159"/>
      <c r="QJ169" s="159"/>
      <c r="QK169" s="159"/>
      <c r="QL169" s="159"/>
      <c r="QM169" s="159"/>
      <c r="QN169" s="159"/>
      <c r="QO169" s="159"/>
      <c r="QP169" s="159"/>
      <c r="QQ169" s="159"/>
      <c r="QR169" s="159"/>
      <c r="QS169" s="159"/>
      <c r="QT169" s="159"/>
      <c r="QU169" s="159"/>
      <c r="QV169" s="159"/>
      <c r="QW169" s="159"/>
      <c r="QX169" s="159"/>
      <c r="QY169" s="159"/>
      <c r="QZ169" s="159"/>
      <c r="RA169" s="159"/>
      <c r="RB169" s="159"/>
      <c r="RC169" s="159"/>
      <c r="RD169" s="159"/>
      <c r="RE169" s="159"/>
      <c r="RF169" s="159"/>
      <c r="RG169" s="159"/>
      <c r="RH169" s="159"/>
      <c r="RI169" s="159"/>
      <c r="RJ169" s="159"/>
      <c r="RK169" s="159"/>
      <c r="RL169" s="159"/>
      <c r="RM169" s="159"/>
      <c r="RN169" s="159"/>
      <c r="RO169" s="159"/>
      <c r="RP169" s="159"/>
      <c r="RQ169" s="159"/>
      <c r="RR169" s="159"/>
      <c r="RS169" s="159"/>
      <c r="RT169" s="159"/>
      <c r="RU169" s="159"/>
      <c r="RV169" s="159"/>
      <c r="RW169" s="159"/>
      <c r="RX169" s="159"/>
      <c r="RY169" s="159"/>
      <c r="RZ169" s="159"/>
      <c r="SA169" s="159"/>
      <c r="SB169" s="159"/>
      <c r="SC169" s="159"/>
      <c r="SD169" s="159"/>
      <c r="SE169" s="159"/>
      <c r="SF169" s="159"/>
      <c r="SG169" s="159"/>
      <c r="SH169" s="159"/>
      <c r="SI169" s="159"/>
      <c r="SJ169" s="159"/>
      <c r="SK169" s="159"/>
      <c r="SL169" s="159"/>
      <c r="SM169" s="159"/>
      <c r="SN169" s="159"/>
      <c r="SO169" s="159"/>
      <c r="SP169" s="159"/>
      <c r="SQ169" s="159"/>
      <c r="SR169" s="159"/>
      <c r="SS169" s="159"/>
      <c r="ST169" s="159"/>
      <c r="SU169" s="159"/>
      <c r="SV169" s="159"/>
      <c r="SW169" s="159"/>
      <c r="SX169" s="159"/>
      <c r="SY169" s="159"/>
      <c r="SZ169" s="159"/>
      <c r="TA169" s="159"/>
      <c r="TB169" s="159"/>
      <c r="TC169" s="159"/>
      <c r="TD169" s="159"/>
      <c r="TE169" s="159"/>
      <c r="TF169" s="159"/>
      <c r="TG169" s="159"/>
      <c r="TH169" s="159"/>
      <c r="TI169" s="159"/>
      <c r="TJ169" s="159"/>
      <c r="TK169" s="159"/>
      <c r="TL169" s="159"/>
      <c r="TM169" s="159"/>
      <c r="TN169" s="159"/>
      <c r="TO169" s="159"/>
      <c r="TP169" s="159"/>
      <c r="TQ169" s="159"/>
      <c r="TR169" s="159"/>
      <c r="TS169" s="159"/>
      <c r="TT169" s="159"/>
      <c r="TU169" s="159"/>
      <c r="TV169" s="159"/>
      <c r="TW169" s="159"/>
      <c r="TX169" s="159"/>
      <c r="TY169" s="159"/>
      <c r="TZ169" s="159"/>
      <c r="UA169" s="159"/>
      <c r="UB169" s="159"/>
      <c r="UC169" s="159"/>
      <c r="UD169" s="159"/>
      <c r="UE169" s="159"/>
      <c r="UF169" s="159"/>
      <c r="UG169" s="159"/>
      <c r="UH169" s="159"/>
      <c r="UI169" s="159"/>
      <c r="UJ169" s="159"/>
      <c r="UK169" s="159"/>
      <c r="UL169" s="159"/>
      <c r="UM169" s="159"/>
      <c r="UN169" s="159"/>
      <c r="UO169" s="159"/>
      <c r="UP169" s="159"/>
      <c r="UQ169" s="159"/>
      <c r="UR169" s="159"/>
      <c r="US169" s="159"/>
      <c r="UT169" s="159"/>
      <c r="UU169" s="159"/>
      <c r="UV169" s="159"/>
      <c r="UW169" s="159"/>
      <c r="UX169" s="159"/>
      <c r="UY169" s="159"/>
      <c r="UZ169" s="159"/>
      <c r="VA169" s="159"/>
      <c r="VB169" s="159"/>
      <c r="VC169" s="159"/>
      <c r="VD169" s="159"/>
      <c r="VE169" s="159"/>
      <c r="VF169" s="159"/>
      <c r="VG169" s="159"/>
      <c r="VH169" s="159"/>
      <c r="VI169" s="159"/>
      <c r="VJ169" s="159"/>
      <c r="VK169" s="159"/>
      <c r="VL169" s="159"/>
      <c r="VM169" s="159"/>
      <c r="VN169" s="159"/>
      <c r="VO169" s="159"/>
      <c r="VP169" s="159"/>
      <c r="VQ169" s="159"/>
      <c r="VR169" s="159"/>
      <c r="VS169" s="159"/>
      <c r="VT169" s="159"/>
      <c r="VU169" s="159"/>
      <c r="VV169" s="159"/>
      <c r="VW169" s="159"/>
      <c r="VX169" s="159"/>
      <c r="VY169" s="159"/>
      <c r="VZ169" s="159"/>
      <c r="WA169" s="159"/>
      <c r="WB169" s="159"/>
      <c r="WC169" s="159"/>
      <c r="WD169" s="159"/>
      <c r="WE169" s="159"/>
      <c r="WF169" s="159"/>
      <c r="WG169" s="159"/>
      <c r="WH169" s="159"/>
      <c r="WI169" s="159"/>
      <c r="WJ169" s="159"/>
      <c r="WK169" s="159"/>
      <c r="WL169" s="159"/>
      <c r="WM169" s="159"/>
      <c r="WN169" s="159"/>
      <c r="WO169" s="159"/>
      <c r="WP169" s="159"/>
      <c r="WQ169" s="159"/>
      <c r="WR169" s="159"/>
      <c r="WS169" s="159"/>
      <c r="WT169" s="159"/>
      <c r="WU169" s="159"/>
      <c r="WV169" s="159"/>
      <c r="WW169" s="159"/>
      <c r="WX169" s="159"/>
      <c r="WY169" s="159"/>
      <c r="WZ169" s="159"/>
      <c r="XA169" s="159"/>
      <c r="XB169" s="159"/>
      <c r="XC169" s="159"/>
      <c r="XD169" s="159"/>
      <c r="XE169" s="159"/>
      <c r="XF169" s="159"/>
      <c r="XG169" s="159"/>
      <c r="XH169" s="159"/>
      <c r="XI169" s="159"/>
      <c r="XJ169" s="159"/>
      <c r="XK169" s="159"/>
      <c r="XL169" s="159"/>
      <c r="XM169" s="159"/>
      <c r="XN169" s="159"/>
      <c r="XO169" s="159"/>
      <c r="XP169" s="159"/>
      <c r="XQ169" s="159"/>
      <c r="XR169" s="159"/>
      <c r="XS169" s="159"/>
      <c r="XT169" s="159"/>
      <c r="XU169" s="159"/>
      <c r="XV169" s="159"/>
      <c r="XW169" s="159"/>
      <c r="XX169" s="159"/>
      <c r="XY169" s="159"/>
      <c r="XZ169" s="159"/>
      <c r="YA169" s="159"/>
      <c r="YB169" s="159"/>
      <c r="YC169" s="159"/>
      <c r="YD169" s="159"/>
      <c r="YE169" s="159"/>
      <c r="YF169" s="159"/>
      <c r="YG169" s="159"/>
      <c r="YH169" s="159"/>
      <c r="YI169" s="159"/>
      <c r="YJ169" s="159"/>
      <c r="YK169" s="159"/>
      <c r="YL169" s="159"/>
      <c r="YM169" s="159"/>
      <c r="YN169" s="159"/>
      <c r="YO169" s="159"/>
      <c r="YP169" s="159"/>
      <c r="YQ169" s="159"/>
      <c r="YR169" s="159"/>
      <c r="YS169" s="159"/>
      <c r="YT169" s="159"/>
      <c r="YU169" s="159"/>
      <c r="YV169" s="159"/>
      <c r="YW169" s="159"/>
      <c r="YX169" s="159"/>
      <c r="YY169" s="159"/>
      <c r="YZ169" s="159"/>
      <c r="ZA169" s="159"/>
      <c r="ZB169" s="159"/>
      <c r="ZC169" s="159"/>
      <c r="ZD169" s="159"/>
      <c r="ZE169" s="159"/>
      <c r="ZF169" s="159"/>
      <c r="ZG169" s="159"/>
      <c r="ZH169" s="159"/>
      <c r="ZI169" s="159"/>
      <c r="ZJ169" s="159"/>
      <c r="ZK169" s="159"/>
      <c r="ZL169" s="159"/>
      <c r="ZM169" s="159"/>
      <c r="ZN169" s="159"/>
      <c r="ZO169" s="159"/>
      <c r="ZP169" s="159"/>
      <c r="ZQ169" s="159"/>
      <c r="ZR169" s="159"/>
      <c r="ZS169" s="159"/>
      <c r="ZT169" s="159"/>
      <c r="ZU169" s="159"/>
      <c r="ZV169" s="159"/>
      <c r="ZW169" s="159"/>
      <c r="ZX169" s="159"/>
      <c r="ZY169" s="159"/>
      <c r="ZZ169" s="159"/>
      <c r="AAA169" s="159"/>
      <c r="AAB169" s="159"/>
      <c r="AAC169" s="159"/>
      <c r="AAD169" s="159"/>
      <c r="AAE169" s="159"/>
      <c r="AAF169" s="159"/>
      <c r="AAG169" s="159"/>
      <c r="AAH169" s="159"/>
      <c r="AAI169" s="159"/>
      <c r="AAJ169" s="159"/>
      <c r="AAK169" s="159"/>
      <c r="AAL169" s="159"/>
      <c r="AAM169" s="159"/>
      <c r="AAN169" s="159"/>
      <c r="AAO169" s="159"/>
      <c r="AAP169" s="159"/>
      <c r="AAQ169" s="159"/>
      <c r="AAR169" s="159"/>
      <c r="AAS169" s="159"/>
      <c r="AAT169" s="159"/>
      <c r="AAU169" s="159"/>
      <c r="AAV169" s="159"/>
      <c r="AAW169" s="159"/>
      <c r="AAX169" s="159"/>
      <c r="AAY169" s="159"/>
      <c r="AAZ169" s="159"/>
      <c r="ABA169" s="159"/>
      <c r="ABB169" s="159"/>
      <c r="ABC169" s="159"/>
      <c r="ABD169" s="159"/>
      <c r="ABE169" s="159"/>
      <c r="ABF169" s="159"/>
      <c r="ABG169" s="159"/>
      <c r="ABH169" s="159"/>
      <c r="ABI169" s="159"/>
      <c r="ABJ169" s="159"/>
      <c r="ABK169" s="159"/>
      <c r="ABL169" s="159"/>
      <c r="ABM169" s="159"/>
      <c r="ABN169" s="159"/>
      <c r="ABO169" s="159"/>
      <c r="ABP169" s="159"/>
      <c r="ABQ169" s="159"/>
      <c r="ABR169" s="159"/>
      <c r="ABS169" s="159"/>
      <c r="ABT169" s="159"/>
      <c r="ABU169" s="159"/>
      <c r="ABV169" s="159"/>
      <c r="ABW169" s="159"/>
      <c r="ABX169" s="159"/>
      <c r="ABY169" s="159"/>
      <c r="ABZ169" s="159"/>
      <c r="ACA169" s="159"/>
      <c r="ACB169" s="159"/>
      <c r="ACC169" s="159"/>
      <c r="ACD169" s="159"/>
      <c r="ACE169" s="159"/>
      <c r="ACF169" s="159"/>
      <c r="ACG169" s="159"/>
      <c r="ACH169" s="159"/>
      <c r="ACI169" s="159"/>
      <c r="ACJ169" s="159"/>
      <c r="ACK169" s="159"/>
      <c r="ACL169" s="159"/>
      <c r="ACM169" s="159"/>
      <c r="ACN169" s="159"/>
      <c r="ACO169" s="159"/>
      <c r="ACP169" s="159"/>
      <c r="ACQ169" s="159"/>
      <c r="ACR169" s="159"/>
      <c r="ACS169" s="159"/>
      <c r="ACT169" s="159"/>
      <c r="ACU169" s="159"/>
      <c r="ACV169" s="159"/>
      <c r="ACW169" s="159"/>
      <c r="ACX169" s="159"/>
      <c r="ACY169" s="159"/>
      <c r="ACZ169" s="159"/>
      <c r="ADA169" s="159"/>
      <c r="ADB169" s="159"/>
      <c r="ADC169" s="159"/>
      <c r="ADD169" s="159"/>
      <c r="ADE169" s="159"/>
      <c r="ADF169" s="159"/>
      <c r="ADG169" s="159"/>
      <c r="ADH169" s="159"/>
      <c r="ADI169" s="159"/>
      <c r="ADJ169" s="159"/>
      <c r="ADK169" s="159"/>
      <c r="ADL169" s="159"/>
      <c r="ADM169" s="159"/>
      <c r="ADN169" s="159"/>
      <c r="ADO169" s="159"/>
      <c r="ADP169" s="159"/>
      <c r="ADQ169" s="159"/>
      <c r="ADR169" s="159"/>
      <c r="ADS169" s="159"/>
      <c r="ADT169" s="159"/>
      <c r="ADU169" s="159"/>
      <c r="ADV169" s="159"/>
      <c r="ADW169" s="159"/>
      <c r="ADX169" s="159"/>
      <c r="ADY169" s="159"/>
      <c r="ADZ169" s="159"/>
      <c r="AEA169" s="159"/>
      <c r="AEB169" s="159"/>
      <c r="AEC169" s="159"/>
      <c r="AED169" s="159"/>
      <c r="AEE169" s="159"/>
      <c r="AEF169" s="159"/>
      <c r="AEG169" s="159"/>
      <c r="AEH169" s="159"/>
      <c r="AEI169" s="159"/>
      <c r="AEJ169" s="159"/>
      <c r="AEK169" s="159"/>
      <c r="AEL169" s="159"/>
      <c r="AEM169" s="159"/>
      <c r="AEN169" s="159"/>
      <c r="AEO169" s="159"/>
      <c r="AEP169" s="159"/>
      <c r="AEQ169" s="159"/>
      <c r="AER169" s="159"/>
      <c r="AES169" s="159"/>
      <c r="AET169" s="159"/>
      <c r="AEU169" s="159"/>
      <c r="AEV169" s="159"/>
      <c r="AEW169" s="159"/>
      <c r="AEX169" s="159"/>
      <c r="AEY169" s="159"/>
      <c r="AEZ169" s="159"/>
      <c r="AFA169" s="159"/>
      <c r="AFB169" s="159"/>
      <c r="AFC169" s="159"/>
      <c r="AFD169" s="159"/>
      <c r="AFE169" s="159"/>
      <c r="AFF169" s="159"/>
      <c r="AFG169" s="159"/>
      <c r="AFH169" s="159"/>
      <c r="AFI169" s="159"/>
      <c r="AFJ169" s="159"/>
      <c r="AFK169" s="159"/>
      <c r="AFL169" s="159"/>
      <c r="AFM169" s="159"/>
      <c r="AFN169" s="159"/>
      <c r="AFO169" s="159"/>
      <c r="AFP169" s="159"/>
      <c r="AFQ169" s="159"/>
      <c r="AFR169" s="159"/>
      <c r="AFS169" s="159"/>
      <c r="AFT169" s="159"/>
      <c r="AFU169" s="159"/>
      <c r="AFV169" s="159"/>
      <c r="AFW169" s="159"/>
      <c r="AFX169" s="159"/>
      <c r="AFY169" s="159"/>
      <c r="AFZ169" s="159"/>
      <c r="AGA169" s="159"/>
      <c r="AGB169" s="159"/>
      <c r="AGC169" s="159"/>
      <c r="AGD169" s="159"/>
      <c r="AGE169" s="159"/>
      <c r="AGF169" s="159"/>
      <c r="AGG169" s="159"/>
      <c r="AGH169" s="159"/>
      <c r="AGI169" s="159"/>
      <c r="AGJ169" s="159"/>
      <c r="AGK169" s="159"/>
      <c r="AGL169" s="159"/>
      <c r="AGM169" s="159"/>
      <c r="AGN169" s="159"/>
      <c r="AGO169" s="159"/>
      <c r="AGP169" s="159"/>
      <c r="AGQ169" s="159"/>
      <c r="AGR169" s="159"/>
      <c r="AGS169" s="159"/>
      <c r="AGT169" s="159"/>
      <c r="AGU169" s="159"/>
      <c r="AGV169" s="159"/>
      <c r="AGW169" s="159"/>
      <c r="AGX169" s="159"/>
      <c r="AGY169" s="159"/>
      <c r="AGZ169" s="159"/>
      <c r="AHA169" s="159"/>
      <c r="AHB169" s="159"/>
      <c r="AHC169" s="159"/>
      <c r="AHD169" s="159"/>
      <c r="AHE169" s="159"/>
      <c r="AHF169" s="159"/>
      <c r="AHG169" s="159"/>
      <c r="AHH169" s="159"/>
      <c r="AHI169" s="159"/>
      <c r="AHJ169" s="159"/>
      <c r="AHK169" s="159"/>
      <c r="AHL169" s="159"/>
      <c r="AHM169" s="159"/>
      <c r="AHN169" s="159"/>
      <c r="AHO169" s="159"/>
      <c r="AHP169" s="159"/>
      <c r="AHQ169" s="159"/>
      <c r="AHR169" s="159"/>
      <c r="AHS169" s="159"/>
      <c r="AHT169" s="159"/>
      <c r="AHU169" s="159"/>
      <c r="AHV169" s="159"/>
      <c r="AHW169" s="159"/>
      <c r="AHX169" s="159"/>
      <c r="AHY169" s="159"/>
      <c r="AHZ169" s="159"/>
      <c r="AIA169" s="159"/>
      <c r="AIB169" s="159"/>
      <c r="AIC169" s="159"/>
      <c r="AID169" s="159"/>
      <c r="AIE169" s="159"/>
      <c r="AIF169" s="159"/>
      <c r="AIG169" s="159"/>
      <c r="AIH169" s="159"/>
      <c r="AII169" s="159"/>
      <c r="AIJ169" s="159"/>
      <c r="AIK169" s="159"/>
      <c r="AIL169" s="159"/>
      <c r="AIM169" s="159"/>
      <c r="AIN169" s="159"/>
      <c r="AIO169" s="159"/>
      <c r="AIP169" s="159"/>
      <c r="AIQ169" s="159"/>
      <c r="AIR169" s="159"/>
      <c r="AIS169" s="159"/>
      <c r="AIT169" s="159"/>
      <c r="AIU169" s="159"/>
      <c r="AIV169" s="159"/>
      <c r="AIW169" s="159"/>
      <c r="AIX169" s="159"/>
      <c r="AIY169" s="159"/>
      <c r="AIZ169" s="159"/>
      <c r="AJA169" s="159"/>
      <c r="AJB169" s="159"/>
      <c r="AJC169" s="159"/>
      <c r="AJD169" s="159"/>
      <c r="AJE169" s="159"/>
      <c r="AJF169" s="159"/>
      <c r="AJG169" s="159"/>
      <c r="AJH169" s="159"/>
      <c r="AJI169" s="159"/>
      <c r="AJJ169" s="159"/>
      <c r="AJK169" s="159"/>
      <c r="AJL169" s="159"/>
      <c r="AJM169" s="159"/>
      <c r="AJN169" s="159"/>
      <c r="AJO169" s="159"/>
      <c r="AJP169" s="159"/>
      <c r="AJQ169" s="159"/>
      <c r="AJR169" s="159"/>
      <c r="AJS169" s="159"/>
      <c r="AJT169" s="159"/>
      <c r="AJU169" s="159"/>
      <c r="AJV169" s="159"/>
      <c r="AJW169" s="159"/>
      <c r="AJX169" s="159"/>
      <c r="AJY169" s="159"/>
      <c r="AJZ169" s="159"/>
      <c r="AKA169" s="159"/>
      <c r="AKB169" s="159"/>
      <c r="AKC169" s="159"/>
      <c r="AKD169" s="159"/>
      <c r="AKE169" s="159"/>
      <c r="AKF169" s="159"/>
      <c r="AKG169" s="159"/>
      <c r="AKH169" s="159"/>
      <c r="AKI169" s="159"/>
      <c r="AKJ169" s="159"/>
      <c r="AKK169" s="159"/>
      <c r="AKL169" s="159"/>
      <c r="AKM169" s="159"/>
      <c r="AKN169" s="159"/>
      <c r="AKO169" s="159"/>
      <c r="AKP169" s="159"/>
      <c r="AKQ169" s="159"/>
      <c r="AKR169" s="159"/>
      <c r="AKS169" s="159"/>
      <c r="AKT169" s="159"/>
      <c r="AKU169" s="159"/>
      <c r="AKV169" s="159"/>
      <c r="AKW169" s="159"/>
      <c r="AKX169" s="159"/>
      <c r="AKY169" s="159"/>
      <c r="AKZ169" s="159"/>
      <c r="ALA169" s="159"/>
      <c r="ALB169" s="159"/>
      <c r="ALC169" s="159"/>
      <c r="ALD169" s="159"/>
      <c r="ALE169" s="159"/>
      <c r="ALF169" s="159"/>
      <c r="ALG169" s="159"/>
      <c r="ALH169" s="159"/>
      <c r="ALI169" s="159"/>
      <c r="ALJ169" s="159"/>
      <c r="ALK169" s="159"/>
      <c r="ALL169" s="159"/>
      <c r="ALM169" s="159"/>
      <c r="ALN169" s="159"/>
      <c r="ALO169" s="159"/>
      <c r="ALP169" s="159"/>
      <c r="ALQ169" s="159"/>
      <c r="ALR169" s="159"/>
      <c r="ALS169" s="159"/>
      <c r="ALT169" s="159"/>
      <c r="ALU169" s="159"/>
      <c r="ALV169" s="159"/>
      <c r="ALW169" s="159"/>
      <c r="ALX169" s="159"/>
      <c r="ALY169" s="159"/>
      <c r="ALZ169" s="159"/>
      <c r="AMA169" s="159"/>
      <c r="AMB169" s="159"/>
      <c r="AMC169" s="159"/>
      <c r="AMD169" s="159"/>
      <c r="AME169" s="159"/>
      <c r="AMF169" s="159"/>
      <c r="AMG169" s="159"/>
      <c r="AMH169" s="159"/>
      <c r="AMI169" s="159"/>
      <c r="AMJ169" s="159"/>
      <c r="AMK169" s="159"/>
      <c r="AML169" s="159"/>
      <c r="AMM169" s="159"/>
      <c r="AMN169" s="159"/>
      <c r="AMO169" s="159"/>
    </row>
    <row r="170" spans="1:1029" s="161" customFormat="1" ht="25.5" x14ac:dyDescent="0.25">
      <c r="A170" s="138">
        <v>46259</v>
      </c>
      <c r="B170" s="99" t="s">
        <v>286</v>
      </c>
      <c r="C170" s="99" t="s">
        <v>12</v>
      </c>
      <c r="D170" s="160" t="s">
        <v>168</v>
      </c>
      <c r="E170" s="118" t="s">
        <v>105</v>
      </c>
      <c r="F170" s="149" t="s">
        <v>30</v>
      </c>
      <c r="G170" s="149" t="s">
        <v>31</v>
      </c>
      <c r="H170" s="141" t="b">
        <f t="shared" si="12"/>
        <v>0</v>
      </c>
      <c r="I170" s="121" t="s">
        <v>14</v>
      </c>
      <c r="J170" s="121" t="s">
        <v>38</v>
      </c>
      <c r="K170" s="121" t="s">
        <v>31</v>
      </c>
      <c r="L170" s="141" t="b">
        <f t="shared" si="13"/>
        <v>0</v>
      </c>
      <c r="M170" s="121" t="s">
        <v>42</v>
      </c>
      <c r="N170" s="121" t="s">
        <v>82</v>
      </c>
      <c r="O170" s="121" t="s">
        <v>168</v>
      </c>
      <c r="P170" s="141">
        <f t="shared" si="14"/>
        <v>0.5</v>
      </c>
      <c r="Q170" s="149" t="s">
        <v>8</v>
      </c>
      <c r="R170" s="99" t="s">
        <v>82</v>
      </c>
      <c r="S170" s="99" t="s">
        <v>168</v>
      </c>
      <c r="T170" s="141">
        <f t="shared" si="15"/>
        <v>0.5</v>
      </c>
      <c r="U170" s="159"/>
      <c r="V170" s="159"/>
      <c r="W170" s="159"/>
      <c r="X170" s="159"/>
      <c r="Y170" s="159"/>
      <c r="Z170" s="159"/>
      <c r="AA170" s="159"/>
      <c r="AB170" s="159"/>
      <c r="AC170" s="159"/>
      <c r="AD170" s="159"/>
      <c r="AE170" s="159"/>
      <c r="AF170" s="159"/>
      <c r="AG170" s="159"/>
      <c r="AH170" s="159"/>
      <c r="AI170" s="159"/>
      <c r="AJ170" s="159"/>
      <c r="AK170" s="159"/>
      <c r="AL170" s="159"/>
      <c r="AM170" s="159"/>
      <c r="AN170" s="159"/>
      <c r="AO170" s="159"/>
      <c r="AP170" s="159"/>
      <c r="AQ170" s="159"/>
      <c r="AR170" s="159"/>
      <c r="AS170" s="159"/>
      <c r="AT170" s="159"/>
      <c r="AU170" s="159"/>
      <c r="AV170" s="159"/>
      <c r="AW170" s="159"/>
      <c r="AX170" s="159"/>
      <c r="AY170" s="159"/>
      <c r="AZ170" s="159"/>
      <c r="BA170" s="159"/>
      <c r="BB170" s="159"/>
      <c r="BC170" s="159"/>
      <c r="BD170" s="159"/>
      <c r="BE170" s="159"/>
      <c r="BF170" s="159"/>
      <c r="BG170" s="159"/>
      <c r="BH170" s="159"/>
      <c r="BI170" s="159"/>
      <c r="BJ170" s="159"/>
      <c r="BK170" s="159"/>
      <c r="BL170" s="159"/>
      <c r="BM170" s="159"/>
      <c r="BN170" s="159"/>
      <c r="BO170" s="159"/>
      <c r="BP170" s="159"/>
      <c r="BQ170" s="159"/>
      <c r="BR170" s="159"/>
      <c r="BS170" s="159"/>
      <c r="BT170" s="159"/>
      <c r="BU170" s="159"/>
      <c r="BV170" s="159"/>
      <c r="BW170" s="159"/>
      <c r="BX170" s="159"/>
      <c r="BY170" s="159"/>
      <c r="BZ170" s="159"/>
      <c r="CA170" s="159"/>
      <c r="CB170" s="159"/>
      <c r="CC170" s="159"/>
      <c r="CD170" s="159"/>
      <c r="CE170" s="159"/>
      <c r="CF170" s="159"/>
      <c r="CG170" s="159"/>
      <c r="CH170" s="159"/>
      <c r="CI170" s="159"/>
      <c r="CJ170" s="159"/>
      <c r="CK170" s="159"/>
      <c r="CL170" s="159"/>
      <c r="CM170" s="159"/>
      <c r="CN170" s="159"/>
      <c r="CO170" s="159"/>
      <c r="CP170" s="159"/>
      <c r="CQ170" s="159"/>
      <c r="CR170" s="159"/>
      <c r="CS170" s="159"/>
      <c r="CT170" s="159"/>
      <c r="CU170" s="159"/>
      <c r="CV170" s="159"/>
      <c r="CW170" s="159"/>
      <c r="CX170" s="159"/>
      <c r="CY170" s="159"/>
      <c r="CZ170" s="159"/>
      <c r="DA170" s="159"/>
      <c r="DB170" s="159"/>
      <c r="DC170" s="159"/>
      <c r="DD170" s="159"/>
      <c r="DE170" s="159"/>
      <c r="DF170" s="159"/>
      <c r="DG170" s="159"/>
      <c r="DH170" s="159"/>
      <c r="DI170" s="159"/>
      <c r="DJ170" s="159"/>
      <c r="DK170" s="159"/>
      <c r="DL170" s="159"/>
      <c r="DM170" s="159"/>
      <c r="DN170" s="159"/>
      <c r="DO170" s="159"/>
      <c r="DP170" s="159"/>
      <c r="DQ170" s="159"/>
      <c r="DR170" s="159"/>
      <c r="DS170" s="159"/>
      <c r="DT170" s="159"/>
      <c r="DU170" s="159"/>
      <c r="DV170" s="159"/>
      <c r="DW170" s="159"/>
      <c r="DX170" s="159"/>
      <c r="DY170" s="159"/>
      <c r="DZ170" s="159"/>
      <c r="EA170" s="159"/>
      <c r="EB170" s="159"/>
      <c r="EC170" s="159"/>
      <c r="ED170" s="159"/>
      <c r="EE170" s="159"/>
      <c r="EF170" s="159"/>
      <c r="EG170" s="159"/>
      <c r="EH170" s="159"/>
      <c r="EI170" s="159"/>
      <c r="EJ170" s="159"/>
      <c r="EK170" s="159"/>
      <c r="EL170" s="159"/>
      <c r="EM170" s="159"/>
      <c r="EN170" s="159"/>
      <c r="EO170" s="159"/>
      <c r="EP170" s="159"/>
      <c r="EQ170" s="159"/>
      <c r="ER170" s="159"/>
      <c r="ES170" s="159"/>
      <c r="ET170" s="159"/>
      <c r="EU170" s="159"/>
      <c r="EV170" s="159"/>
      <c r="EW170" s="159"/>
      <c r="EX170" s="159"/>
      <c r="EY170" s="159"/>
      <c r="EZ170" s="159"/>
      <c r="FA170" s="159"/>
      <c r="FB170" s="159"/>
      <c r="FC170" s="159"/>
      <c r="FD170" s="159"/>
      <c r="FE170" s="159"/>
      <c r="FF170" s="159"/>
      <c r="FG170" s="159"/>
      <c r="FH170" s="159"/>
      <c r="FI170" s="159"/>
      <c r="FJ170" s="159"/>
      <c r="FK170" s="159"/>
      <c r="FL170" s="159"/>
      <c r="FM170" s="159"/>
      <c r="FN170" s="159"/>
      <c r="FO170" s="159"/>
      <c r="FP170" s="159"/>
      <c r="FQ170" s="159"/>
      <c r="FR170" s="159"/>
      <c r="FS170" s="159"/>
      <c r="FT170" s="159"/>
      <c r="FU170" s="159"/>
      <c r="FV170" s="159"/>
      <c r="FW170" s="159"/>
      <c r="FX170" s="159"/>
      <c r="FY170" s="159"/>
      <c r="FZ170" s="159"/>
      <c r="GA170" s="159"/>
      <c r="GB170" s="159"/>
      <c r="GC170" s="159"/>
      <c r="GD170" s="159"/>
      <c r="GE170" s="159"/>
      <c r="GF170" s="159"/>
      <c r="GG170" s="159"/>
      <c r="GH170" s="159"/>
      <c r="GI170" s="159"/>
      <c r="GJ170" s="159"/>
      <c r="GK170" s="159"/>
      <c r="GL170" s="159"/>
      <c r="GM170" s="159"/>
      <c r="GN170" s="159"/>
      <c r="GO170" s="159"/>
      <c r="GP170" s="159"/>
      <c r="GQ170" s="159"/>
      <c r="GR170" s="159"/>
      <c r="GS170" s="159"/>
      <c r="GT170" s="159"/>
      <c r="GU170" s="159"/>
      <c r="GV170" s="159"/>
      <c r="GW170" s="159"/>
      <c r="GX170" s="159"/>
      <c r="GY170" s="159"/>
      <c r="GZ170" s="159"/>
      <c r="HA170" s="159"/>
      <c r="HB170" s="159"/>
      <c r="HC170" s="159"/>
      <c r="HD170" s="159"/>
      <c r="HE170" s="159"/>
      <c r="HF170" s="159"/>
      <c r="HG170" s="159"/>
      <c r="HH170" s="159"/>
      <c r="HI170" s="159"/>
      <c r="HJ170" s="159"/>
      <c r="HK170" s="159"/>
      <c r="HL170" s="159"/>
      <c r="HM170" s="159"/>
      <c r="HN170" s="159"/>
      <c r="HO170" s="159"/>
      <c r="HP170" s="159"/>
      <c r="HQ170" s="159"/>
      <c r="HR170" s="159"/>
      <c r="HS170" s="159"/>
      <c r="HT170" s="159"/>
      <c r="HU170" s="159"/>
      <c r="HV170" s="159"/>
      <c r="HW170" s="159"/>
      <c r="HX170" s="159"/>
      <c r="HY170" s="159"/>
      <c r="HZ170" s="159"/>
      <c r="IA170" s="159"/>
      <c r="IB170" s="159"/>
      <c r="IC170" s="159"/>
      <c r="ID170" s="159"/>
      <c r="IE170" s="159"/>
      <c r="IF170" s="159"/>
      <c r="IG170" s="159"/>
      <c r="IH170" s="159"/>
      <c r="II170" s="159"/>
      <c r="IJ170" s="159"/>
      <c r="IK170" s="159"/>
      <c r="IL170" s="159"/>
      <c r="IM170" s="159"/>
      <c r="IN170" s="159"/>
      <c r="IO170" s="159"/>
      <c r="IP170" s="159"/>
      <c r="IQ170" s="159"/>
      <c r="IR170" s="159"/>
      <c r="IS170" s="159"/>
      <c r="IT170" s="159"/>
      <c r="IU170" s="159"/>
      <c r="IV170" s="159"/>
      <c r="IW170" s="159"/>
      <c r="IX170" s="159"/>
      <c r="IY170" s="159"/>
      <c r="IZ170" s="159"/>
      <c r="JA170" s="159"/>
      <c r="JB170" s="159"/>
      <c r="JC170" s="159"/>
      <c r="JD170" s="159"/>
      <c r="JE170" s="159"/>
      <c r="JF170" s="159"/>
      <c r="JG170" s="159"/>
      <c r="JH170" s="159"/>
      <c r="JI170" s="159"/>
      <c r="JJ170" s="159"/>
      <c r="JK170" s="159"/>
      <c r="JL170" s="159"/>
      <c r="JM170" s="159"/>
      <c r="JN170" s="159"/>
      <c r="JO170" s="159"/>
      <c r="JP170" s="159"/>
      <c r="JQ170" s="159"/>
      <c r="JR170" s="159"/>
      <c r="JS170" s="159"/>
      <c r="JT170" s="159"/>
      <c r="JU170" s="159"/>
      <c r="JV170" s="159"/>
      <c r="JW170" s="159"/>
      <c r="JX170" s="159"/>
      <c r="JY170" s="159"/>
      <c r="JZ170" s="159"/>
      <c r="KA170" s="159"/>
      <c r="KB170" s="159"/>
      <c r="KC170" s="159"/>
      <c r="KD170" s="159"/>
      <c r="KE170" s="159"/>
      <c r="KF170" s="159"/>
      <c r="KG170" s="159"/>
      <c r="KH170" s="159"/>
      <c r="KI170" s="159"/>
      <c r="KJ170" s="159"/>
      <c r="KK170" s="159"/>
      <c r="KL170" s="159"/>
      <c r="KM170" s="159"/>
      <c r="KN170" s="159"/>
      <c r="KO170" s="159"/>
      <c r="KP170" s="159"/>
      <c r="KQ170" s="159"/>
      <c r="KR170" s="159"/>
      <c r="KS170" s="159"/>
      <c r="KT170" s="159"/>
      <c r="KU170" s="159"/>
      <c r="KV170" s="159"/>
      <c r="KW170" s="159"/>
      <c r="KX170" s="159"/>
      <c r="KY170" s="159"/>
      <c r="KZ170" s="159"/>
      <c r="LA170" s="159"/>
      <c r="LB170" s="159"/>
      <c r="LC170" s="159"/>
      <c r="LD170" s="159"/>
      <c r="LE170" s="159"/>
      <c r="LF170" s="159"/>
      <c r="LG170" s="159"/>
      <c r="LH170" s="159"/>
      <c r="LI170" s="159"/>
      <c r="LJ170" s="159"/>
      <c r="LK170" s="159"/>
      <c r="LL170" s="159"/>
      <c r="LM170" s="159"/>
      <c r="LN170" s="159"/>
      <c r="LO170" s="159"/>
      <c r="LP170" s="159"/>
      <c r="LQ170" s="159"/>
      <c r="LR170" s="159"/>
      <c r="LS170" s="159"/>
      <c r="LT170" s="159"/>
      <c r="LU170" s="159"/>
      <c r="LV170" s="159"/>
      <c r="LW170" s="159"/>
      <c r="LX170" s="159"/>
      <c r="LY170" s="159"/>
      <c r="LZ170" s="159"/>
      <c r="MA170" s="159"/>
      <c r="MB170" s="159"/>
      <c r="MC170" s="159"/>
      <c r="MD170" s="159"/>
      <c r="ME170" s="159"/>
      <c r="MF170" s="159"/>
      <c r="MG170" s="159"/>
      <c r="MH170" s="159"/>
      <c r="MI170" s="159"/>
      <c r="MJ170" s="159"/>
      <c r="MK170" s="159"/>
      <c r="ML170" s="159"/>
      <c r="MM170" s="159"/>
      <c r="MN170" s="159"/>
      <c r="MO170" s="159"/>
      <c r="MP170" s="159"/>
      <c r="MQ170" s="159"/>
      <c r="MR170" s="159"/>
      <c r="MS170" s="159"/>
      <c r="MT170" s="159"/>
      <c r="MU170" s="159"/>
      <c r="MV170" s="159"/>
      <c r="MW170" s="159"/>
      <c r="MX170" s="159"/>
      <c r="MY170" s="159"/>
      <c r="MZ170" s="159"/>
      <c r="NA170" s="159"/>
      <c r="NB170" s="159"/>
      <c r="NC170" s="159"/>
      <c r="ND170" s="159"/>
      <c r="NE170" s="159"/>
      <c r="NF170" s="159"/>
      <c r="NG170" s="159"/>
      <c r="NH170" s="159"/>
      <c r="NI170" s="159"/>
      <c r="NJ170" s="159"/>
      <c r="NK170" s="159"/>
      <c r="NL170" s="159"/>
      <c r="NM170" s="159"/>
      <c r="NN170" s="159"/>
      <c r="NO170" s="159"/>
      <c r="NP170" s="159"/>
      <c r="NQ170" s="159"/>
      <c r="NR170" s="159"/>
      <c r="NS170" s="159"/>
      <c r="NT170" s="159"/>
      <c r="NU170" s="159"/>
      <c r="NV170" s="159"/>
      <c r="NW170" s="159"/>
      <c r="NX170" s="159"/>
      <c r="NY170" s="159"/>
      <c r="NZ170" s="159"/>
      <c r="OA170" s="159"/>
      <c r="OB170" s="159"/>
      <c r="OC170" s="159"/>
      <c r="OD170" s="159"/>
      <c r="OE170" s="159"/>
      <c r="OF170" s="159"/>
      <c r="OG170" s="159"/>
      <c r="OH170" s="159"/>
      <c r="OI170" s="159"/>
      <c r="OJ170" s="159"/>
      <c r="OK170" s="159"/>
      <c r="OL170" s="159"/>
      <c r="OM170" s="159"/>
      <c r="ON170" s="159"/>
      <c r="OO170" s="159"/>
      <c r="OP170" s="159"/>
      <c r="OQ170" s="159"/>
      <c r="OR170" s="159"/>
      <c r="OS170" s="159"/>
      <c r="OT170" s="159"/>
      <c r="OU170" s="159"/>
      <c r="OV170" s="159"/>
      <c r="OW170" s="159"/>
      <c r="OX170" s="159"/>
      <c r="OY170" s="159"/>
      <c r="OZ170" s="159"/>
      <c r="PA170" s="159"/>
      <c r="PB170" s="159"/>
      <c r="PC170" s="159"/>
      <c r="PD170" s="159"/>
      <c r="PE170" s="159"/>
      <c r="PF170" s="159"/>
      <c r="PG170" s="159"/>
      <c r="PH170" s="159"/>
      <c r="PI170" s="159"/>
      <c r="PJ170" s="159"/>
      <c r="PK170" s="159"/>
      <c r="PL170" s="159"/>
      <c r="PM170" s="159"/>
      <c r="PN170" s="159"/>
      <c r="PO170" s="159"/>
      <c r="PP170" s="159"/>
      <c r="PQ170" s="159"/>
      <c r="PR170" s="159"/>
      <c r="PS170" s="159"/>
      <c r="PT170" s="159"/>
      <c r="PU170" s="159"/>
      <c r="PV170" s="159"/>
      <c r="PW170" s="159"/>
      <c r="PX170" s="159"/>
      <c r="PY170" s="159"/>
      <c r="PZ170" s="159"/>
      <c r="QA170" s="159"/>
      <c r="QB170" s="159"/>
      <c r="QC170" s="159"/>
      <c r="QD170" s="159"/>
      <c r="QE170" s="159"/>
      <c r="QF170" s="159"/>
      <c r="QG170" s="159"/>
      <c r="QH170" s="159"/>
      <c r="QI170" s="159"/>
      <c r="QJ170" s="159"/>
      <c r="QK170" s="159"/>
      <c r="QL170" s="159"/>
      <c r="QM170" s="159"/>
      <c r="QN170" s="159"/>
      <c r="QO170" s="159"/>
      <c r="QP170" s="159"/>
      <c r="QQ170" s="159"/>
      <c r="QR170" s="159"/>
      <c r="QS170" s="159"/>
      <c r="QT170" s="159"/>
      <c r="QU170" s="159"/>
      <c r="QV170" s="159"/>
      <c r="QW170" s="159"/>
      <c r="QX170" s="159"/>
      <c r="QY170" s="159"/>
      <c r="QZ170" s="159"/>
      <c r="RA170" s="159"/>
      <c r="RB170" s="159"/>
      <c r="RC170" s="159"/>
      <c r="RD170" s="159"/>
      <c r="RE170" s="159"/>
      <c r="RF170" s="159"/>
      <c r="RG170" s="159"/>
      <c r="RH170" s="159"/>
      <c r="RI170" s="159"/>
      <c r="RJ170" s="159"/>
      <c r="RK170" s="159"/>
      <c r="RL170" s="159"/>
      <c r="RM170" s="159"/>
      <c r="RN170" s="159"/>
      <c r="RO170" s="159"/>
      <c r="RP170" s="159"/>
      <c r="RQ170" s="159"/>
      <c r="RR170" s="159"/>
      <c r="RS170" s="159"/>
      <c r="RT170" s="159"/>
      <c r="RU170" s="159"/>
      <c r="RV170" s="159"/>
      <c r="RW170" s="159"/>
      <c r="RX170" s="159"/>
      <c r="RY170" s="159"/>
      <c r="RZ170" s="159"/>
      <c r="SA170" s="159"/>
      <c r="SB170" s="159"/>
      <c r="SC170" s="159"/>
      <c r="SD170" s="159"/>
      <c r="SE170" s="159"/>
      <c r="SF170" s="159"/>
      <c r="SG170" s="159"/>
      <c r="SH170" s="159"/>
      <c r="SI170" s="159"/>
      <c r="SJ170" s="159"/>
      <c r="SK170" s="159"/>
      <c r="SL170" s="159"/>
      <c r="SM170" s="159"/>
      <c r="SN170" s="159"/>
      <c r="SO170" s="159"/>
      <c r="SP170" s="159"/>
      <c r="SQ170" s="159"/>
      <c r="SR170" s="159"/>
      <c r="SS170" s="159"/>
      <c r="ST170" s="159"/>
      <c r="SU170" s="159"/>
      <c r="SV170" s="159"/>
      <c r="SW170" s="159"/>
      <c r="SX170" s="159"/>
      <c r="SY170" s="159"/>
      <c r="SZ170" s="159"/>
      <c r="TA170" s="159"/>
      <c r="TB170" s="159"/>
      <c r="TC170" s="159"/>
      <c r="TD170" s="159"/>
      <c r="TE170" s="159"/>
      <c r="TF170" s="159"/>
      <c r="TG170" s="159"/>
      <c r="TH170" s="159"/>
      <c r="TI170" s="159"/>
      <c r="TJ170" s="159"/>
      <c r="TK170" s="159"/>
      <c r="TL170" s="159"/>
      <c r="TM170" s="159"/>
      <c r="TN170" s="159"/>
      <c r="TO170" s="159"/>
      <c r="TP170" s="159"/>
      <c r="TQ170" s="159"/>
      <c r="TR170" s="159"/>
      <c r="TS170" s="159"/>
      <c r="TT170" s="159"/>
      <c r="TU170" s="159"/>
      <c r="TV170" s="159"/>
      <c r="TW170" s="159"/>
      <c r="TX170" s="159"/>
      <c r="TY170" s="159"/>
      <c r="TZ170" s="159"/>
      <c r="UA170" s="159"/>
      <c r="UB170" s="159"/>
      <c r="UC170" s="159"/>
      <c r="UD170" s="159"/>
      <c r="UE170" s="159"/>
      <c r="UF170" s="159"/>
      <c r="UG170" s="159"/>
      <c r="UH170" s="159"/>
      <c r="UI170" s="159"/>
      <c r="UJ170" s="159"/>
      <c r="UK170" s="159"/>
      <c r="UL170" s="159"/>
      <c r="UM170" s="159"/>
      <c r="UN170" s="159"/>
      <c r="UO170" s="159"/>
      <c r="UP170" s="159"/>
      <c r="UQ170" s="159"/>
      <c r="UR170" s="159"/>
      <c r="US170" s="159"/>
      <c r="UT170" s="159"/>
      <c r="UU170" s="159"/>
      <c r="UV170" s="159"/>
      <c r="UW170" s="159"/>
      <c r="UX170" s="159"/>
      <c r="UY170" s="159"/>
      <c r="UZ170" s="159"/>
      <c r="VA170" s="159"/>
      <c r="VB170" s="159"/>
      <c r="VC170" s="159"/>
      <c r="VD170" s="159"/>
      <c r="VE170" s="159"/>
      <c r="VF170" s="159"/>
      <c r="VG170" s="159"/>
      <c r="VH170" s="159"/>
      <c r="VI170" s="159"/>
      <c r="VJ170" s="159"/>
      <c r="VK170" s="159"/>
      <c r="VL170" s="159"/>
      <c r="VM170" s="159"/>
      <c r="VN170" s="159"/>
      <c r="VO170" s="159"/>
      <c r="VP170" s="159"/>
      <c r="VQ170" s="159"/>
      <c r="VR170" s="159"/>
      <c r="VS170" s="159"/>
      <c r="VT170" s="159"/>
      <c r="VU170" s="159"/>
      <c r="VV170" s="159"/>
      <c r="VW170" s="159"/>
      <c r="VX170" s="159"/>
      <c r="VY170" s="159"/>
      <c r="VZ170" s="159"/>
      <c r="WA170" s="159"/>
      <c r="WB170" s="159"/>
      <c r="WC170" s="159"/>
      <c r="WD170" s="159"/>
      <c r="WE170" s="159"/>
      <c r="WF170" s="159"/>
      <c r="WG170" s="159"/>
      <c r="WH170" s="159"/>
      <c r="WI170" s="159"/>
      <c r="WJ170" s="159"/>
      <c r="WK170" s="159"/>
      <c r="WL170" s="159"/>
      <c r="WM170" s="159"/>
      <c r="WN170" s="159"/>
      <c r="WO170" s="159"/>
      <c r="WP170" s="159"/>
      <c r="WQ170" s="159"/>
      <c r="WR170" s="159"/>
      <c r="WS170" s="159"/>
      <c r="WT170" s="159"/>
      <c r="WU170" s="159"/>
      <c r="WV170" s="159"/>
      <c r="WW170" s="159"/>
      <c r="WX170" s="159"/>
      <c r="WY170" s="159"/>
      <c r="WZ170" s="159"/>
      <c r="XA170" s="159"/>
      <c r="XB170" s="159"/>
      <c r="XC170" s="159"/>
      <c r="XD170" s="159"/>
      <c r="XE170" s="159"/>
      <c r="XF170" s="159"/>
      <c r="XG170" s="159"/>
      <c r="XH170" s="159"/>
      <c r="XI170" s="159"/>
      <c r="XJ170" s="159"/>
      <c r="XK170" s="159"/>
      <c r="XL170" s="159"/>
      <c r="XM170" s="159"/>
      <c r="XN170" s="159"/>
      <c r="XO170" s="159"/>
      <c r="XP170" s="159"/>
      <c r="XQ170" s="159"/>
      <c r="XR170" s="159"/>
      <c r="XS170" s="159"/>
      <c r="XT170" s="159"/>
      <c r="XU170" s="159"/>
      <c r="XV170" s="159"/>
      <c r="XW170" s="159"/>
      <c r="XX170" s="159"/>
      <c r="XY170" s="159"/>
      <c r="XZ170" s="159"/>
      <c r="YA170" s="159"/>
      <c r="YB170" s="159"/>
      <c r="YC170" s="159"/>
      <c r="YD170" s="159"/>
      <c r="YE170" s="159"/>
      <c r="YF170" s="159"/>
      <c r="YG170" s="159"/>
      <c r="YH170" s="159"/>
      <c r="YI170" s="159"/>
      <c r="YJ170" s="159"/>
      <c r="YK170" s="159"/>
      <c r="YL170" s="159"/>
      <c r="YM170" s="159"/>
      <c r="YN170" s="159"/>
      <c r="YO170" s="159"/>
      <c r="YP170" s="159"/>
      <c r="YQ170" s="159"/>
      <c r="YR170" s="159"/>
      <c r="YS170" s="159"/>
      <c r="YT170" s="159"/>
      <c r="YU170" s="159"/>
      <c r="YV170" s="159"/>
      <c r="YW170" s="159"/>
      <c r="YX170" s="159"/>
      <c r="YY170" s="159"/>
      <c r="YZ170" s="159"/>
      <c r="ZA170" s="159"/>
      <c r="ZB170" s="159"/>
      <c r="ZC170" s="159"/>
      <c r="ZD170" s="159"/>
      <c r="ZE170" s="159"/>
      <c r="ZF170" s="159"/>
      <c r="ZG170" s="159"/>
      <c r="ZH170" s="159"/>
      <c r="ZI170" s="159"/>
      <c r="ZJ170" s="159"/>
      <c r="ZK170" s="159"/>
      <c r="ZL170" s="159"/>
      <c r="ZM170" s="159"/>
      <c r="ZN170" s="159"/>
      <c r="ZO170" s="159"/>
      <c r="ZP170" s="159"/>
      <c r="ZQ170" s="159"/>
      <c r="ZR170" s="159"/>
      <c r="ZS170" s="159"/>
      <c r="ZT170" s="159"/>
      <c r="ZU170" s="159"/>
      <c r="ZV170" s="159"/>
      <c r="ZW170" s="159"/>
      <c r="ZX170" s="159"/>
      <c r="ZY170" s="159"/>
      <c r="ZZ170" s="159"/>
      <c r="AAA170" s="159"/>
      <c r="AAB170" s="159"/>
      <c r="AAC170" s="159"/>
      <c r="AAD170" s="159"/>
      <c r="AAE170" s="159"/>
      <c r="AAF170" s="159"/>
      <c r="AAG170" s="159"/>
      <c r="AAH170" s="159"/>
      <c r="AAI170" s="159"/>
      <c r="AAJ170" s="159"/>
      <c r="AAK170" s="159"/>
      <c r="AAL170" s="159"/>
      <c r="AAM170" s="159"/>
      <c r="AAN170" s="159"/>
      <c r="AAO170" s="159"/>
      <c r="AAP170" s="159"/>
      <c r="AAQ170" s="159"/>
      <c r="AAR170" s="159"/>
      <c r="AAS170" s="159"/>
      <c r="AAT170" s="159"/>
      <c r="AAU170" s="159"/>
      <c r="AAV170" s="159"/>
      <c r="AAW170" s="159"/>
      <c r="AAX170" s="159"/>
      <c r="AAY170" s="159"/>
      <c r="AAZ170" s="159"/>
      <c r="ABA170" s="159"/>
      <c r="ABB170" s="159"/>
      <c r="ABC170" s="159"/>
      <c r="ABD170" s="159"/>
      <c r="ABE170" s="159"/>
      <c r="ABF170" s="159"/>
      <c r="ABG170" s="159"/>
      <c r="ABH170" s="159"/>
      <c r="ABI170" s="159"/>
      <c r="ABJ170" s="159"/>
      <c r="ABK170" s="159"/>
      <c r="ABL170" s="159"/>
      <c r="ABM170" s="159"/>
      <c r="ABN170" s="159"/>
      <c r="ABO170" s="159"/>
      <c r="ABP170" s="159"/>
      <c r="ABQ170" s="159"/>
      <c r="ABR170" s="159"/>
      <c r="ABS170" s="159"/>
      <c r="ABT170" s="159"/>
      <c r="ABU170" s="159"/>
      <c r="ABV170" s="159"/>
      <c r="ABW170" s="159"/>
      <c r="ABX170" s="159"/>
      <c r="ABY170" s="159"/>
      <c r="ABZ170" s="159"/>
      <c r="ACA170" s="159"/>
      <c r="ACB170" s="159"/>
      <c r="ACC170" s="159"/>
      <c r="ACD170" s="159"/>
      <c r="ACE170" s="159"/>
      <c r="ACF170" s="159"/>
      <c r="ACG170" s="159"/>
      <c r="ACH170" s="159"/>
      <c r="ACI170" s="159"/>
      <c r="ACJ170" s="159"/>
      <c r="ACK170" s="159"/>
      <c r="ACL170" s="159"/>
      <c r="ACM170" s="159"/>
      <c r="ACN170" s="159"/>
      <c r="ACO170" s="159"/>
      <c r="ACP170" s="159"/>
      <c r="ACQ170" s="159"/>
      <c r="ACR170" s="159"/>
      <c r="ACS170" s="159"/>
      <c r="ACT170" s="159"/>
      <c r="ACU170" s="159"/>
      <c r="ACV170" s="159"/>
      <c r="ACW170" s="159"/>
      <c r="ACX170" s="159"/>
      <c r="ACY170" s="159"/>
      <c r="ACZ170" s="159"/>
      <c r="ADA170" s="159"/>
      <c r="ADB170" s="159"/>
      <c r="ADC170" s="159"/>
      <c r="ADD170" s="159"/>
      <c r="ADE170" s="159"/>
      <c r="ADF170" s="159"/>
      <c r="ADG170" s="159"/>
      <c r="ADH170" s="159"/>
      <c r="ADI170" s="159"/>
      <c r="ADJ170" s="159"/>
      <c r="ADK170" s="159"/>
      <c r="ADL170" s="159"/>
      <c r="ADM170" s="159"/>
      <c r="ADN170" s="159"/>
      <c r="ADO170" s="159"/>
      <c r="ADP170" s="159"/>
      <c r="ADQ170" s="159"/>
      <c r="ADR170" s="159"/>
      <c r="ADS170" s="159"/>
      <c r="ADT170" s="159"/>
      <c r="ADU170" s="159"/>
      <c r="ADV170" s="159"/>
      <c r="ADW170" s="159"/>
      <c r="ADX170" s="159"/>
      <c r="ADY170" s="159"/>
      <c r="ADZ170" s="159"/>
      <c r="AEA170" s="159"/>
      <c r="AEB170" s="159"/>
      <c r="AEC170" s="159"/>
      <c r="AED170" s="159"/>
      <c r="AEE170" s="159"/>
      <c r="AEF170" s="159"/>
      <c r="AEG170" s="159"/>
      <c r="AEH170" s="159"/>
      <c r="AEI170" s="159"/>
      <c r="AEJ170" s="159"/>
      <c r="AEK170" s="159"/>
      <c r="AEL170" s="159"/>
      <c r="AEM170" s="159"/>
      <c r="AEN170" s="159"/>
      <c r="AEO170" s="159"/>
      <c r="AEP170" s="159"/>
      <c r="AEQ170" s="159"/>
      <c r="AER170" s="159"/>
      <c r="AES170" s="159"/>
      <c r="AET170" s="159"/>
      <c r="AEU170" s="159"/>
      <c r="AEV170" s="159"/>
      <c r="AEW170" s="159"/>
      <c r="AEX170" s="159"/>
      <c r="AEY170" s="159"/>
      <c r="AEZ170" s="159"/>
      <c r="AFA170" s="159"/>
      <c r="AFB170" s="159"/>
      <c r="AFC170" s="159"/>
      <c r="AFD170" s="159"/>
      <c r="AFE170" s="159"/>
      <c r="AFF170" s="159"/>
      <c r="AFG170" s="159"/>
      <c r="AFH170" s="159"/>
      <c r="AFI170" s="159"/>
      <c r="AFJ170" s="159"/>
      <c r="AFK170" s="159"/>
      <c r="AFL170" s="159"/>
      <c r="AFM170" s="159"/>
      <c r="AFN170" s="159"/>
      <c r="AFO170" s="159"/>
      <c r="AFP170" s="159"/>
      <c r="AFQ170" s="159"/>
      <c r="AFR170" s="159"/>
      <c r="AFS170" s="159"/>
      <c r="AFT170" s="159"/>
      <c r="AFU170" s="159"/>
      <c r="AFV170" s="159"/>
      <c r="AFW170" s="159"/>
      <c r="AFX170" s="159"/>
      <c r="AFY170" s="159"/>
      <c r="AFZ170" s="159"/>
      <c r="AGA170" s="159"/>
      <c r="AGB170" s="159"/>
      <c r="AGC170" s="159"/>
      <c r="AGD170" s="159"/>
      <c r="AGE170" s="159"/>
      <c r="AGF170" s="159"/>
      <c r="AGG170" s="159"/>
      <c r="AGH170" s="159"/>
      <c r="AGI170" s="159"/>
      <c r="AGJ170" s="159"/>
      <c r="AGK170" s="159"/>
      <c r="AGL170" s="159"/>
      <c r="AGM170" s="159"/>
      <c r="AGN170" s="159"/>
      <c r="AGO170" s="159"/>
      <c r="AGP170" s="159"/>
      <c r="AGQ170" s="159"/>
      <c r="AGR170" s="159"/>
      <c r="AGS170" s="159"/>
      <c r="AGT170" s="159"/>
      <c r="AGU170" s="159"/>
      <c r="AGV170" s="159"/>
      <c r="AGW170" s="159"/>
      <c r="AGX170" s="159"/>
      <c r="AGY170" s="159"/>
      <c r="AGZ170" s="159"/>
      <c r="AHA170" s="159"/>
      <c r="AHB170" s="159"/>
      <c r="AHC170" s="159"/>
      <c r="AHD170" s="159"/>
      <c r="AHE170" s="159"/>
      <c r="AHF170" s="159"/>
      <c r="AHG170" s="159"/>
      <c r="AHH170" s="159"/>
      <c r="AHI170" s="159"/>
      <c r="AHJ170" s="159"/>
      <c r="AHK170" s="159"/>
      <c r="AHL170" s="159"/>
      <c r="AHM170" s="159"/>
      <c r="AHN170" s="159"/>
      <c r="AHO170" s="159"/>
      <c r="AHP170" s="159"/>
      <c r="AHQ170" s="159"/>
      <c r="AHR170" s="159"/>
      <c r="AHS170" s="159"/>
      <c r="AHT170" s="159"/>
      <c r="AHU170" s="159"/>
      <c r="AHV170" s="159"/>
      <c r="AHW170" s="159"/>
      <c r="AHX170" s="159"/>
      <c r="AHY170" s="159"/>
      <c r="AHZ170" s="159"/>
      <c r="AIA170" s="159"/>
      <c r="AIB170" s="159"/>
      <c r="AIC170" s="159"/>
      <c r="AID170" s="159"/>
      <c r="AIE170" s="159"/>
      <c r="AIF170" s="159"/>
      <c r="AIG170" s="159"/>
      <c r="AIH170" s="159"/>
      <c r="AII170" s="159"/>
      <c r="AIJ170" s="159"/>
      <c r="AIK170" s="159"/>
      <c r="AIL170" s="159"/>
      <c r="AIM170" s="159"/>
      <c r="AIN170" s="159"/>
      <c r="AIO170" s="159"/>
      <c r="AIP170" s="159"/>
      <c r="AIQ170" s="159"/>
      <c r="AIR170" s="159"/>
      <c r="AIS170" s="159"/>
      <c r="AIT170" s="159"/>
      <c r="AIU170" s="159"/>
      <c r="AIV170" s="159"/>
      <c r="AIW170" s="159"/>
      <c r="AIX170" s="159"/>
      <c r="AIY170" s="159"/>
      <c r="AIZ170" s="159"/>
      <c r="AJA170" s="159"/>
      <c r="AJB170" s="159"/>
      <c r="AJC170" s="159"/>
      <c r="AJD170" s="159"/>
      <c r="AJE170" s="159"/>
      <c r="AJF170" s="159"/>
      <c r="AJG170" s="159"/>
      <c r="AJH170" s="159"/>
      <c r="AJI170" s="159"/>
      <c r="AJJ170" s="159"/>
      <c r="AJK170" s="159"/>
      <c r="AJL170" s="159"/>
      <c r="AJM170" s="159"/>
      <c r="AJN170" s="159"/>
      <c r="AJO170" s="159"/>
      <c r="AJP170" s="159"/>
      <c r="AJQ170" s="159"/>
      <c r="AJR170" s="159"/>
      <c r="AJS170" s="159"/>
      <c r="AJT170" s="159"/>
      <c r="AJU170" s="159"/>
      <c r="AJV170" s="159"/>
      <c r="AJW170" s="159"/>
      <c r="AJX170" s="159"/>
      <c r="AJY170" s="159"/>
      <c r="AJZ170" s="159"/>
      <c r="AKA170" s="159"/>
      <c r="AKB170" s="159"/>
      <c r="AKC170" s="159"/>
      <c r="AKD170" s="159"/>
      <c r="AKE170" s="159"/>
      <c r="AKF170" s="159"/>
      <c r="AKG170" s="159"/>
      <c r="AKH170" s="159"/>
      <c r="AKI170" s="159"/>
      <c r="AKJ170" s="159"/>
      <c r="AKK170" s="159"/>
      <c r="AKL170" s="159"/>
      <c r="AKM170" s="159"/>
      <c r="AKN170" s="159"/>
      <c r="AKO170" s="159"/>
      <c r="AKP170" s="159"/>
      <c r="AKQ170" s="159"/>
      <c r="AKR170" s="159"/>
      <c r="AKS170" s="159"/>
      <c r="AKT170" s="159"/>
      <c r="AKU170" s="159"/>
      <c r="AKV170" s="159"/>
      <c r="AKW170" s="159"/>
      <c r="AKX170" s="159"/>
      <c r="AKY170" s="159"/>
      <c r="AKZ170" s="159"/>
      <c r="ALA170" s="159"/>
      <c r="ALB170" s="159"/>
      <c r="ALC170" s="159"/>
      <c r="ALD170" s="159"/>
      <c r="ALE170" s="159"/>
      <c r="ALF170" s="159"/>
      <c r="ALG170" s="159"/>
      <c r="ALH170" s="159"/>
      <c r="ALI170" s="159"/>
      <c r="ALJ170" s="159"/>
      <c r="ALK170" s="159"/>
      <c r="ALL170" s="159"/>
      <c r="ALM170" s="159"/>
      <c r="ALN170" s="159"/>
      <c r="ALO170" s="159"/>
      <c r="ALP170" s="159"/>
      <c r="ALQ170" s="159"/>
      <c r="ALR170" s="159"/>
      <c r="ALS170" s="159"/>
      <c r="ALT170" s="159"/>
      <c r="ALU170" s="159"/>
      <c r="ALV170" s="159"/>
      <c r="ALW170" s="159"/>
      <c r="ALX170" s="159"/>
      <c r="ALY170" s="159"/>
      <c r="ALZ170" s="159"/>
      <c r="AMA170" s="159"/>
      <c r="AMB170" s="159"/>
      <c r="AMC170" s="159"/>
      <c r="AMD170" s="159"/>
      <c r="AME170" s="159"/>
      <c r="AMF170" s="159"/>
      <c r="AMG170" s="159"/>
      <c r="AMH170" s="159"/>
      <c r="AMI170" s="159"/>
      <c r="AMJ170" s="159"/>
      <c r="AMK170" s="159"/>
      <c r="AML170" s="159"/>
      <c r="AMM170" s="159"/>
      <c r="AMN170" s="159"/>
      <c r="AMO170" s="159"/>
    </row>
    <row r="171" spans="1:1029" s="161" customFormat="1" x14ac:dyDescent="0.25">
      <c r="A171" s="138">
        <v>46260</v>
      </c>
      <c r="B171" s="99" t="s">
        <v>66</v>
      </c>
      <c r="C171" s="99" t="s">
        <v>125</v>
      </c>
      <c r="D171" s="160" t="s">
        <v>31</v>
      </c>
      <c r="E171" s="118" t="s">
        <v>29</v>
      </c>
      <c r="F171" s="149" t="s">
        <v>38</v>
      </c>
      <c r="G171" s="149" t="s">
        <v>16</v>
      </c>
      <c r="H171" s="141" t="b">
        <f t="shared" si="12"/>
        <v>0</v>
      </c>
      <c r="I171" s="121" t="s">
        <v>8</v>
      </c>
      <c r="J171" s="121" t="s">
        <v>77</v>
      </c>
      <c r="K171" s="121" t="s">
        <v>52</v>
      </c>
      <c r="L171" s="141" t="b">
        <f t="shared" si="13"/>
        <v>0</v>
      </c>
      <c r="M171" s="121" t="s">
        <v>14</v>
      </c>
      <c r="N171" s="121" t="s">
        <v>163</v>
      </c>
      <c r="O171" s="121" t="s">
        <v>13</v>
      </c>
      <c r="P171" s="141" t="b">
        <f t="shared" si="14"/>
        <v>0</v>
      </c>
      <c r="Q171" s="149" t="s">
        <v>29</v>
      </c>
      <c r="R171" s="99" t="s">
        <v>163</v>
      </c>
      <c r="S171" s="99" t="s">
        <v>31</v>
      </c>
      <c r="T171" s="141">
        <f t="shared" si="15"/>
        <v>0.5</v>
      </c>
      <c r="U171" s="159"/>
      <c r="V171" s="159"/>
      <c r="W171" s="159"/>
      <c r="X171" s="159"/>
      <c r="Y171" s="159"/>
      <c r="Z171" s="159"/>
      <c r="AA171" s="159"/>
      <c r="AB171" s="159"/>
      <c r="AC171" s="159"/>
      <c r="AD171" s="159"/>
      <c r="AE171" s="159"/>
      <c r="AF171" s="159"/>
      <c r="AG171" s="159"/>
      <c r="AH171" s="159"/>
      <c r="AI171" s="159"/>
      <c r="AJ171" s="159"/>
      <c r="AK171" s="159"/>
      <c r="AL171" s="159"/>
      <c r="AM171" s="159"/>
      <c r="AN171" s="159"/>
      <c r="AO171" s="159"/>
      <c r="AP171" s="159"/>
      <c r="AQ171" s="159"/>
      <c r="AR171" s="159"/>
      <c r="AS171" s="159"/>
      <c r="AT171" s="159"/>
      <c r="AU171" s="159"/>
      <c r="AV171" s="159"/>
      <c r="AW171" s="159"/>
      <c r="AX171" s="159"/>
      <c r="AY171" s="159"/>
      <c r="AZ171" s="159"/>
      <c r="BA171" s="159"/>
      <c r="BB171" s="159"/>
      <c r="BC171" s="159"/>
      <c r="BD171" s="159"/>
      <c r="BE171" s="159"/>
      <c r="BF171" s="159"/>
      <c r="BG171" s="159"/>
      <c r="BH171" s="159"/>
      <c r="BI171" s="159"/>
      <c r="BJ171" s="159"/>
      <c r="BK171" s="159"/>
      <c r="BL171" s="159"/>
      <c r="BM171" s="159"/>
      <c r="BN171" s="159"/>
      <c r="BO171" s="159"/>
      <c r="BP171" s="159"/>
      <c r="BQ171" s="159"/>
      <c r="BR171" s="159"/>
      <c r="BS171" s="159"/>
      <c r="BT171" s="159"/>
      <c r="BU171" s="159"/>
      <c r="BV171" s="159"/>
      <c r="BW171" s="159"/>
      <c r="BX171" s="159"/>
      <c r="BY171" s="159"/>
      <c r="BZ171" s="159"/>
      <c r="CA171" s="159"/>
      <c r="CB171" s="159"/>
      <c r="CC171" s="159"/>
      <c r="CD171" s="159"/>
      <c r="CE171" s="159"/>
      <c r="CF171" s="159"/>
      <c r="CG171" s="159"/>
      <c r="CH171" s="159"/>
      <c r="CI171" s="159"/>
      <c r="CJ171" s="159"/>
      <c r="CK171" s="159"/>
      <c r="CL171" s="159"/>
      <c r="CM171" s="159"/>
      <c r="CN171" s="159"/>
      <c r="CO171" s="159"/>
      <c r="CP171" s="159"/>
      <c r="CQ171" s="159"/>
      <c r="CR171" s="159"/>
      <c r="CS171" s="159"/>
      <c r="CT171" s="159"/>
      <c r="CU171" s="159"/>
      <c r="CV171" s="159"/>
      <c r="CW171" s="159"/>
      <c r="CX171" s="159"/>
      <c r="CY171" s="159"/>
      <c r="CZ171" s="159"/>
      <c r="DA171" s="159"/>
      <c r="DB171" s="159"/>
      <c r="DC171" s="159"/>
      <c r="DD171" s="159"/>
      <c r="DE171" s="159"/>
      <c r="DF171" s="159"/>
      <c r="DG171" s="159"/>
      <c r="DH171" s="159"/>
      <c r="DI171" s="159"/>
      <c r="DJ171" s="159"/>
      <c r="DK171" s="159"/>
      <c r="DL171" s="159"/>
      <c r="DM171" s="159"/>
      <c r="DN171" s="159"/>
      <c r="DO171" s="159"/>
      <c r="DP171" s="159"/>
      <c r="DQ171" s="159"/>
      <c r="DR171" s="159"/>
      <c r="DS171" s="159"/>
      <c r="DT171" s="159"/>
      <c r="DU171" s="159"/>
      <c r="DV171" s="159"/>
      <c r="DW171" s="159"/>
      <c r="DX171" s="159"/>
      <c r="DY171" s="159"/>
      <c r="DZ171" s="159"/>
      <c r="EA171" s="159"/>
      <c r="EB171" s="159"/>
      <c r="EC171" s="159"/>
      <c r="ED171" s="159"/>
      <c r="EE171" s="159"/>
      <c r="EF171" s="159"/>
      <c r="EG171" s="159"/>
      <c r="EH171" s="159"/>
      <c r="EI171" s="159"/>
      <c r="EJ171" s="159"/>
      <c r="EK171" s="159"/>
      <c r="EL171" s="159"/>
      <c r="EM171" s="159"/>
      <c r="EN171" s="159"/>
      <c r="EO171" s="159"/>
      <c r="EP171" s="159"/>
      <c r="EQ171" s="159"/>
      <c r="ER171" s="159"/>
      <c r="ES171" s="159"/>
      <c r="ET171" s="159"/>
      <c r="EU171" s="159"/>
      <c r="EV171" s="159"/>
      <c r="EW171" s="159"/>
      <c r="EX171" s="159"/>
      <c r="EY171" s="159"/>
      <c r="EZ171" s="159"/>
      <c r="FA171" s="159"/>
      <c r="FB171" s="159"/>
      <c r="FC171" s="159"/>
      <c r="FD171" s="159"/>
      <c r="FE171" s="159"/>
      <c r="FF171" s="159"/>
      <c r="FG171" s="159"/>
      <c r="FH171" s="159"/>
      <c r="FI171" s="159"/>
      <c r="FJ171" s="159"/>
      <c r="FK171" s="159"/>
      <c r="FL171" s="159"/>
      <c r="FM171" s="159"/>
      <c r="FN171" s="159"/>
      <c r="FO171" s="159"/>
      <c r="FP171" s="159"/>
      <c r="FQ171" s="159"/>
      <c r="FR171" s="159"/>
      <c r="FS171" s="159"/>
      <c r="FT171" s="159"/>
      <c r="FU171" s="159"/>
      <c r="FV171" s="159"/>
      <c r="FW171" s="159"/>
      <c r="FX171" s="159"/>
      <c r="FY171" s="159"/>
      <c r="FZ171" s="159"/>
      <c r="GA171" s="159"/>
      <c r="GB171" s="159"/>
      <c r="GC171" s="159"/>
      <c r="GD171" s="159"/>
      <c r="GE171" s="159"/>
      <c r="GF171" s="159"/>
      <c r="GG171" s="159"/>
      <c r="GH171" s="159"/>
      <c r="GI171" s="159"/>
      <c r="GJ171" s="159"/>
      <c r="GK171" s="159"/>
      <c r="GL171" s="159"/>
      <c r="GM171" s="159"/>
      <c r="GN171" s="159"/>
      <c r="GO171" s="159"/>
      <c r="GP171" s="159"/>
      <c r="GQ171" s="159"/>
      <c r="GR171" s="159"/>
      <c r="GS171" s="159"/>
      <c r="GT171" s="159"/>
      <c r="GU171" s="159"/>
      <c r="GV171" s="159"/>
      <c r="GW171" s="159"/>
      <c r="GX171" s="159"/>
      <c r="GY171" s="159"/>
      <c r="GZ171" s="159"/>
      <c r="HA171" s="159"/>
      <c r="HB171" s="159"/>
      <c r="HC171" s="159"/>
      <c r="HD171" s="159"/>
      <c r="HE171" s="159"/>
      <c r="HF171" s="159"/>
      <c r="HG171" s="159"/>
      <c r="HH171" s="159"/>
      <c r="HI171" s="159"/>
      <c r="HJ171" s="159"/>
      <c r="HK171" s="159"/>
      <c r="HL171" s="159"/>
      <c r="HM171" s="159"/>
      <c r="HN171" s="159"/>
      <c r="HO171" s="159"/>
      <c r="HP171" s="159"/>
      <c r="HQ171" s="159"/>
      <c r="HR171" s="159"/>
      <c r="HS171" s="159"/>
      <c r="HT171" s="159"/>
      <c r="HU171" s="159"/>
      <c r="HV171" s="159"/>
      <c r="HW171" s="159"/>
      <c r="HX171" s="159"/>
      <c r="HY171" s="159"/>
      <c r="HZ171" s="159"/>
      <c r="IA171" s="159"/>
      <c r="IB171" s="159"/>
      <c r="IC171" s="159"/>
      <c r="ID171" s="159"/>
      <c r="IE171" s="159"/>
      <c r="IF171" s="159"/>
      <c r="IG171" s="159"/>
      <c r="IH171" s="159"/>
      <c r="II171" s="159"/>
      <c r="IJ171" s="159"/>
      <c r="IK171" s="159"/>
      <c r="IL171" s="159"/>
      <c r="IM171" s="159"/>
      <c r="IN171" s="159"/>
      <c r="IO171" s="159"/>
      <c r="IP171" s="159"/>
      <c r="IQ171" s="159"/>
      <c r="IR171" s="159"/>
      <c r="IS171" s="159"/>
      <c r="IT171" s="159"/>
      <c r="IU171" s="159"/>
      <c r="IV171" s="159"/>
      <c r="IW171" s="159"/>
      <c r="IX171" s="159"/>
      <c r="IY171" s="159"/>
      <c r="IZ171" s="159"/>
      <c r="JA171" s="159"/>
      <c r="JB171" s="159"/>
      <c r="JC171" s="159"/>
      <c r="JD171" s="159"/>
      <c r="JE171" s="159"/>
      <c r="JF171" s="159"/>
      <c r="JG171" s="159"/>
      <c r="JH171" s="159"/>
      <c r="JI171" s="159"/>
      <c r="JJ171" s="159"/>
      <c r="JK171" s="159"/>
      <c r="JL171" s="159"/>
      <c r="JM171" s="159"/>
      <c r="JN171" s="159"/>
      <c r="JO171" s="159"/>
      <c r="JP171" s="159"/>
      <c r="JQ171" s="159"/>
      <c r="JR171" s="159"/>
      <c r="JS171" s="159"/>
      <c r="JT171" s="159"/>
      <c r="JU171" s="159"/>
      <c r="JV171" s="159"/>
      <c r="JW171" s="159"/>
      <c r="JX171" s="159"/>
      <c r="JY171" s="159"/>
      <c r="JZ171" s="159"/>
      <c r="KA171" s="159"/>
      <c r="KB171" s="159"/>
      <c r="KC171" s="159"/>
      <c r="KD171" s="159"/>
      <c r="KE171" s="159"/>
      <c r="KF171" s="159"/>
      <c r="KG171" s="159"/>
      <c r="KH171" s="159"/>
      <c r="KI171" s="159"/>
      <c r="KJ171" s="159"/>
      <c r="KK171" s="159"/>
      <c r="KL171" s="159"/>
      <c r="KM171" s="159"/>
      <c r="KN171" s="159"/>
      <c r="KO171" s="159"/>
      <c r="KP171" s="159"/>
      <c r="KQ171" s="159"/>
      <c r="KR171" s="159"/>
      <c r="KS171" s="159"/>
      <c r="KT171" s="159"/>
      <c r="KU171" s="159"/>
      <c r="KV171" s="159"/>
      <c r="KW171" s="159"/>
      <c r="KX171" s="159"/>
      <c r="KY171" s="159"/>
      <c r="KZ171" s="159"/>
      <c r="LA171" s="159"/>
      <c r="LB171" s="159"/>
      <c r="LC171" s="159"/>
      <c r="LD171" s="159"/>
      <c r="LE171" s="159"/>
      <c r="LF171" s="159"/>
      <c r="LG171" s="159"/>
      <c r="LH171" s="159"/>
      <c r="LI171" s="159"/>
      <c r="LJ171" s="159"/>
      <c r="LK171" s="159"/>
      <c r="LL171" s="159"/>
      <c r="LM171" s="159"/>
      <c r="LN171" s="159"/>
      <c r="LO171" s="159"/>
      <c r="LP171" s="159"/>
      <c r="LQ171" s="159"/>
      <c r="LR171" s="159"/>
      <c r="LS171" s="159"/>
      <c r="LT171" s="159"/>
      <c r="LU171" s="159"/>
      <c r="LV171" s="159"/>
      <c r="LW171" s="159"/>
      <c r="LX171" s="159"/>
      <c r="LY171" s="159"/>
      <c r="LZ171" s="159"/>
      <c r="MA171" s="159"/>
      <c r="MB171" s="159"/>
      <c r="MC171" s="159"/>
      <c r="MD171" s="159"/>
      <c r="ME171" s="159"/>
      <c r="MF171" s="159"/>
      <c r="MG171" s="159"/>
      <c r="MH171" s="159"/>
      <c r="MI171" s="159"/>
      <c r="MJ171" s="159"/>
      <c r="MK171" s="159"/>
      <c r="ML171" s="159"/>
      <c r="MM171" s="159"/>
      <c r="MN171" s="159"/>
      <c r="MO171" s="159"/>
      <c r="MP171" s="159"/>
      <c r="MQ171" s="159"/>
      <c r="MR171" s="159"/>
      <c r="MS171" s="159"/>
      <c r="MT171" s="159"/>
      <c r="MU171" s="159"/>
      <c r="MV171" s="159"/>
      <c r="MW171" s="159"/>
      <c r="MX171" s="159"/>
      <c r="MY171" s="159"/>
      <c r="MZ171" s="159"/>
      <c r="NA171" s="159"/>
      <c r="NB171" s="159"/>
      <c r="NC171" s="159"/>
      <c r="ND171" s="159"/>
      <c r="NE171" s="159"/>
      <c r="NF171" s="159"/>
      <c r="NG171" s="159"/>
      <c r="NH171" s="159"/>
      <c r="NI171" s="159"/>
      <c r="NJ171" s="159"/>
      <c r="NK171" s="159"/>
      <c r="NL171" s="159"/>
      <c r="NM171" s="159"/>
      <c r="NN171" s="159"/>
      <c r="NO171" s="159"/>
      <c r="NP171" s="159"/>
      <c r="NQ171" s="159"/>
      <c r="NR171" s="159"/>
      <c r="NS171" s="159"/>
      <c r="NT171" s="159"/>
      <c r="NU171" s="159"/>
      <c r="NV171" s="159"/>
      <c r="NW171" s="159"/>
      <c r="NX171" s="159"/>
      <c r="NY171" s="159"/>
      <c r="NZ171" s="159"/>
      <c r="OA171" s="159"/>
      <c r="OB171" s="159"/>
      <c r="OC171" s="159"/>
      <c r="OD171" s="159"/>
      <c r="OE171" s="159"/>
      <c r="OF171" s="159"/>
      <c r="OG171" s="159"/>
      <c r="OH171" s="159"/>
      <c r="OI171" s="159"/>
      <c r="OJ171" s="159"/>
      <c r="OK171" s="159"/>
      <c r="OL171" s="159"/>
      <c r="OM171" s="159"/>
      <c r="ON171" s="159"/>
      <c r="OO171" s="159"/>
      <c r="OP171" s="159"/>
      <c r="OQ171" s="159"/>
      <c r="OR171" s="159"/>
      <c r="OS171" s="159"/>
      <c r="OT171" s="159"/>
      <c r="OU171" s="159"/>
      <c r="OV171" s="159"/>
      <c r="OW171" s="159"/>
      <c r="OX171" s="159"/>
      <c r="OY171" s="159"/>
      <c r="OZ171" s="159"/>
      <c r="PA171" s="159"/>
      <c r="PB171" s="159"/>
      <c r="PC171" s="159"/>
      <c r="PD171" s="159"/>
      <c r="PE171" s="159"/>
      <c r="PF171" s="159"/>
      <c r="PG171" s="159"/>
      <c r="PH171" s="159"/>
      <c r="PI171" s="159"/>
      <c r="PJ171" s="159"/>
      <c r="PK171" s="159"/>
      <c r="PL171" s="159"/>
      <c r="PM171" s="159"/>
      <c r="PN171" s="159"/>
      <c r="PO171" s="159"/>
      <c r="PP171" s="159"/>
      <c r="PQ171" s="159"/>
      <c r="PR171" s="159"/>
      <c r="PS171" s="159"/>
      <c r="PT171" s="159"/>
      <c r="PU171" s="159"/>
      <c r="PV171" s="159"/>
      <c r="PW171" s="159"/>
      <c r="PX171" s="159"/>
      <c r="PY171" s="159"/>
      <c r="PZ171" s="159"/>
      <c r="QA171" s="159"/>
      <c r="QB171" s="159"/>
      <c r="QC171" s="159"/>
      <c r="QD171" s="159"/>
      <c r="QE171" s="159"/>
      <c r="QF171" s="159"/>
      <c r="QG171" s="159"/>
      <c r="QH171" s="159"/>
      <c r="QI171" s="159"/>
      <c r="QJ171" s="159"/>
      <c r="QK171" s="159"/>
      <c r="QL171" s="159"/>
      <c r="QM171" s="159"/>
      <c r="QN171" s="159"/>
      <c r="QO171" s="159"/>
      <c r="QP171" s="159"/>
      <c r="QQ171" s="159"/>
      <c r="QR171" s="159"/>
      <c r="QS171" s="159"/>
      <c r="QT171" s="159"/>
      <c r="QU171" s="159"/>
      <c r="QV171" s="159"/>
      <c r="QW171" s="159"/>
      <c r="QX171" s="159"/>
      <c r="QY171" s="159"/>
      <c r="QZ171" s="159"/>
      <c r="RA171" s="159"/>
      <c r="RB171" s="159"/>
      <c r="RC171" s="159"/>
      <c r="RD171" s="159"/>
      <c r="RE171" s="159"/>
      <c r="RF171" s="159"/>
      <c r="RG171" s="159"/>
      <c r="RH171" s="159"/>
      <c r="RI171" s="159"/>
      <c r="RJ171" s="159"/>
      <c r="RK171" s="159"/>
      <c r="RL171" s="159"/>
      <c r="RM171" s="159"/>
      <c r="RN171" s="159"/>
      <c r="RO171" s="159"/>
      <c r="RP171" s="159"/>
      <c r="RQ171" s="159"/>
      <c r="RR171" s="159"/>
      <c r="RS171" s="159"/>
      <c r="RT171" s="159"/>
      <c r="RU171" s="159"/>
      <c r="RV171" s="159"/>
      <c r="RW171" s="159"/>
      <c r="RX171" s="159"/>
      <c r="RY171" s="159"/>
      <c r="RZ171" s="159"/>
      <c r="SA171" s="159"/>
      <c r="SB171" s="159"/>
      <c r="SC171" s="159"/>
      <c r="SD171" s="159"/>
      <c r="SE171" s="159"/>
      <c r="SF171" s="159"/>
      <c r="SG171" s="159"/>
      <c r="SH171" s="159"/>
      <c r="SI171" s="159"/>
      <c r="SJ171" s="159"/>
      <c r="SK171" s="159"/>
      <c r="SL171" s="159"/>
      <c r="SM171" s="159"/>
      <c r="SN171" s="159"/>
      <c r="SO171" s="159"/>
      <c r="SP171" s="159"/>
      <c r="SQ171" s="159"/>
      <c r="SR171" s="159"/>
      <c r="SS171" s="159"/>
      <c r="ST171" s="159"/>
      <c r="SU171" s="159"/>
      <c r="SV171" s="159"/>
      <c r="SW171" s="159"/>
      <c r="SX171" s="159"/>
      <c r="SY171" s="159"/>
      <c r="SZ171" s="159"/>
      <c r="TA171" s="159"/>
      <c r="TB171" s="159"/>
      <c r="TC171" s="159"/>
      <c r="TD171" s="159"/>
      <c r="TE171" s="159"/>
      <c r="TF171" s="159"/>
      <c r="TG171" s="159"/>
      <c r="TH171" s="159"/>
      <c r="TI171" s="159"/>
      <c r="TJ171" s="159"/>
      <c r="TK171" s="159"/>
      <c r="TL171" s="159"/>
      <c r="TM171" s="159"/>
      <c r="TN171" s="159"/>
      <c r="TO171" s="159"/>
      <c r="TP171" s="159"/>
      <c r="TQ171" s="159"/>
      <c r="TR171" s="159"/>
      <c r="TS171" s="159"/>
      <c r="TT171" s="159"/>
      <c r="TU171" s="159"/>
      <c r="TV171" s="159"/>
      <c r="TW171" s="159"/>
      <c r="TX171" s="159"/>
      <c r="TY171" s="159"/>
      <c r="TZ171" s="159"/>
      <c r="UA171" s="159"/>
      <c r="UB171" s="159"/>
      <c r="UC171" s="159"/>
      <c r="UD171" s="159"/>
      <c r="UE171" s="159"/>
      <c r="UF171" s="159"/>
      <c r="UG171" s="159"/>
      <c r="UH171" s="159"/>
      <c r="UI171" s="159"/>
      <c r="UJ171" s="159"/>
      <c r="UK171" s="159"/>
      <c r="UL171" s="159"/>
      <c r="UM171" s="159"/>
      <c r="UN171" s="159"/>
      <c r="UO171" s="159"/>
      <c r="UP171" s="159"/>
      <c r="UQ171" s="159"/>
      <c r="UR171" s="159"/>
      <c r="US171" s="159"/>
      <c r="UT171" s="159"/>
      <c r="UU171" s="159"/>
      <c r="UV171" s="159"/>
      <c r="UW171" s="159"/>
      <c r="UX171" s="159"/>
      <c r="UY171" s="159"/>
      <c r="UZ171" s="159"/>
      <c r="VA171" s="159"/>
      <c r="VB171" s="159"/>
      <c r="VC171" s="159"/>
      <c r="VD171" s="159"/>
      <c r="VE171" s="159"/>
      <c r="VF171" s="159"/>
      <c r="VG171" s="159"/>
      <c r="VH171" s="159"/>
      <c r="VI171" s="159"/>
      <c r="VJ171" s="159"/>
      <c r="VK171" s="159"/>
      <c r="VL171" s="159"/>
      <c r="VM171" s="159"/>
      <c r="VN171" s="159"/>
      <c r="VO171" s="159"/>
      <c r="VP171" s="159"/>
      <c r="VQ171" s="159"/>
      <c r="VR171" s="159"/>
      <c r="VS171" s="159"/>
      <c r="VT171" s="159"/>
      <c r="VU171" s="159"/>
      <c r="VV171" s="159"/>
      <c r="VW171" s="159"/>
      <c r="VX171" s="159"/>
      <c r="VY171" s="159"/>
      <c r="VZ171" s="159"/>
      <c r="WA171" s="159"/>
      <c r="WB171" s="159"/>
      <c r="WC171" s="159"/>
      <c r="WD171" s="159"/>
      <c r="WE171" s="159"/>
      <c r="WF171" s="159"/>
      <c r="WG171" s="159"/>
      <c r="WH171" s="159"/>
      <c r="WI171" s="159"/>
      <c r="WJ171" s="159"/>
      <c r="WK171" s="159"/>
      <c r="WL171" s="159"/>
      <c r="WM171" s="159"/>
      <c r="WN171" s="159"/>
      <c r="WO171" s="159"/>
      <c r="WP171" s="159"/>
      <c r="WQ171" s="159"/>
      <c r="WR171" s="159"/>
      <c r="WS171" s="159"/>
      <c r="WT171" s="159"/>
      <c r="WU171" s="159"/>
      <c r="WV171" s="159"/>
      <c r="WW171" s="159"/>
      <c r="WX171" s="159"/>
      <c r="WY171" s="159"/>
      <c r="WZ171" s="159"/>
      <c r="XA171" s="159"/>
      <c r="XB171" s="159"/>
      <c r="XC171" s="159"/>
      <c r="XD171" s="159"/>
      <c r="XE171" s="159"/>
      <c r="XF171" s="159"/>
      <c r="XG171" s="159"/>
      <c r="XH171" s="159"/>
      <c r="XI171" s="159"/>
      <c r="XJ171" s="159"/>
      <c r="XK171" s="159"/>
      <c r="XL171" s="159"/>
      <c r="XM171" s="159"/>
      <c r="XN171" s="159"/>
      <c r="XO171" s="159"/>
      <c r="XP171" s="159"/>
      <c r="XQ171" s="159"/>
      <c r="XR171" s="159"/>
      <c r="XS171" s="159"/>
      <c r="XT171" s="159"/>
      <c r="XU171" s="159"/>
      <c r="XV171" s="159"/>
      <c r="XW171" s="159"/>
      <c r="XX171" s="159"/>
      <c r="XY171" s="159"/>
      <c r="XZ171" s="159"/>
      <c r="YA171" s="159"/>
      <c r="YB171" s="159"/>
      <c r="YC171" s="159"/>
      <c r="YD171" s="159"/>
      <c r="YE171" s="159"/>
      <c r="YF171" s="159"/>
      <c r="YG171" s="159"/>
      <c r="YH171" s="159"/>
      <c r="YI171" s="159"/>
      <c r="YJ171" s="159"/>
      <c r="YK171" s="159"/>
      <c r="YL171" s="159"/>
      <c r="YM171" s="159"/>
      <c r="YN171" s="159"/>
      <c r="YO171" s="159"/>
      <c r="YP171" s="159"/>
      <c r="YQ171" s="159"/>
      <c r="YR171" s="159"/>
      <c r="YS171" s="159"/>
      <c r="YT171" s="159"/>
      <c r="YU171" s="159"/>
      <c r="YV171" s="159"/>
      <c r="YW171" s="159"/>
      <c r="YX171" s="159"/>
      <c r="YY171" s="159"/>
      <c r="YZ171" s="159"/>
      <c r="ZA171" s="159"/>
      <c r="ZB171" s="159"/>
      <c r="ZC171" s="159"/>
      <c r="ZD171" s="159"/>
      <c r="ZE171" s="159"/>
      <c r="ZF171" s="159"/>
      <c r="ZG171" s="159"/>
      <c r="ZH171" s="159"/>
      <c r="ZI171" s="159"/>
      <c r="ZJ171" s="159"/>
      <c r="ZK171" s="159"/>
      <c r="ZL171" s="159"/>
      <c r="ZM171" s="159"/>
      <c r="ZN171" s="159"/>
      <c r="ZO171" s="159"/>
      <c r="ZP171" s="159"/>
      <c r="ZQ171" s="159"/>
      <c r="ZR171" s="159"/>
      <c r="ZS171" s="159"/>
      <c r="ZT171" s="159"/>
      <c r="ZU171" s="159"/>
      <c r="ZV171" s="159"/>
      <c r="ZW171" s="159"/>
      <c r="ZX171" s="159"/>
      <c r="ZY171" s="159"/>
      <c r="ZZ171" s="159"/>
      <c r="AAA171" s="159"/>
      <c r="AAB171" s="159"/>
      <c r="AAC171" s="159"/>
      <c r="AAD171" s="159"/>
      <c r="AAE171" s="159"/>
      <c r="AAF171" s="159"/>
      <c r="AAG171" s="159"/>
      <c r="AAH171" s="159"/>
      <c r="AAI171" s="159"/>
      <c r="AAJ171" s="159"/>
      <c r="AAK171" s="159"/>
      <c r="AAL171" s="159"/>
      <c r="AAM171" s="159"/>
      <c r="AAN171" s="159"/>
      <c r="AAO171" s="159"/>
      <c r="AAP171" s="159"/>
      <c r="AAQ171" s="159"/>
      <c r="AAR171" s="159"/>
      <c r="AAS171" s="159"/>
      <c r="AAT171" s="159"/>
      <c r="AAU171" s="159"/>
      <c r="AAV171" s="159"/>
      <c r="AAW171" s="159"/>
      <c r="AAX171" s="159"/>
      <c r="AAY171" s="159"/>
      <c r="AAZ171" s="159"/>
      <c r="ABA171" s="159"/>
      <c r="ABB171" s="159"/>
      <c r="ABC171" s="159"/>
      <c r="ABD171" s="159"/>
      <c r="ABE171" s="159"/>
      <c r="ABF171" s="159"/>
      <c r="ABG171" s="159"/>
      <c r="ABH171" s="159"/>
      <c r="ABI171" s="159"/>
      <c r="ABJ171" s="159"/>
      <c r="ABK171" s="159"/>
      <c r="ABL171" s="159"/>
      <c r="ABM171" s="159"/>
      <c r="ABN171" s="159"/>
      <c r="ABO171" s="159"/>
      <c r="ABP171" s="159"/>
      <c r="ABQ171" s="159"/>
      <c r="ABR171" s="159"/>
      <c r="ABS171" s="159"/>
      <c r="ABT171" s="159"/>
      <c r="ABU171" s="159"/>
      <c r="ABV171" s="159"/>
      <c r="ABW171" s="159"/>
      <c r="ABX171" s="159"/>
      <c r="ABY171" s="159"/>
      <c r="ABZ171" s="159"/>
      <c r="ACA171" s="159"/>
      <c r="ACB171" s="159"/>
      <c r="ACC171" s="159"/>
      <c r="ACD171" s="159"/>
      <c r="ACE171" s="159"/>
      <c r="ACF171" s="159"/>
      <c r="ACG171" s="159"/>
      <c r="ACH171" s="159"/>
      <c r="ACI171" s="159"/>
      <c r="ACJ171" s="159"/>
      <c r="ACK171" s="159"/>
      <c r="ACL171" s="159"/>
      <c r="ACM171" s="159"/>
      <c r="ACN171" s="159"/>
      <c r="ACO171" s="159"/>
      <c r="ACP171" s="159"/>
      <c r="ACQ171" s="159"/>
      <c r="ACR171" s="159"/>
      <c r="ACS171" s="159"/>
      <c r="ACT171" s="159"/>
      <c r="ACU171" s="159"/>
      <c r="ACV171" s="159"/>
      <c r="ACW171" s="159"/>
      <c r="ACX171" s="159"/>
      <c r="ACY171" s="159"/>
      <c r="ACZ171" s="159"/>
      <c r="ADA171" s="159"/>
      <c r="ADB171" s="159"/>
      <c r="ADC171" s="159"/>
      <c r="ADD171" s="159"/>
      <c r="ADE171" s="159"/>
      <c r="ADF171" s="159"/>
      <c r="ADG171" s="159"/>
      <c r="ADH171" s="159"/>
      <c r="ADI171" s="159"/>
      <c r="ADJ171" s="159"/>
      <c r="ADK171" s="159"/>
      <c r="ADL171" s="159"/>
      <c r="ADM171" s="159"/>
      <c r="ADN171" s="159"/>
      <c r="ADO171" s="159"/>
      <c r="ADP171" s="159"/>
      <c r="ADQ171" s="159"/>
      <c r="ADR171" s="159"/>
      <c r="ADS171" s="159"/>
      <c r="ADT171" s="159"/>
      <c r="ADU171" s="159"/>
      <c r="ADV171" s="159"/>
      <c r="ADW171" s="159"/>
      <c r="ADX171" s="159"/>
      <c r="ADY171" s="159"/>
      <c r="ADZ171" s="159"/>
      <c r="AEA171" s="159"/>
      <c r="AEB171" s="159"/>
      <c r="AEC171" s="159"/>
      <c r="AED171" s="159"/>
      <c r="AEE171" s="159"/>
      <c r="AEF171" s="159"/>
      <c r="AEG171" s="159"/>
      <c r="AEH171" s="159"/>
      <c r="AEI171" s="159"/>
      <c r="AEJ171" s="159"/>
      <c r="AEK171" s="159"/>
      <c r="AEL171" s="159"/>
      <c r="AEM171" s="159"/>
      <c r="AEN171" s="159"/>
      <c r="AEO171" s="159"/>
      <c r="AEP171" s="159"/>
      <c r="AEQ171" s="159"/>
      <c r="AER171" s="159"/>
      <c r="AES171" s="159"/>
      <c r="AET171" s="159"/>
      <c r="AEU171" s="159"/>
      <c r="AEV171" s="159"/>
      <c r="AEW171" s="159"/>
      <c r="AEX171" s="159"/>
      <c r="AEY171" s="159"/>
      <c r="AEZ171" s="159"/>
      <c r="AFA171" s="159"/>
      <c r="AFB171" s="159"/>
      <c r="AFC171" s="159"/>
      <c r="AFD171" s="159"/>
      <c r="AFE171" s="159"/>
      <c r="AFF171" s="159"/>
      <c r="AFG171" s="159"/>
      <c r="AFH171" s="159"/>
      <c r="AFI171" s="159"/>
      <c r="AFJ171" s="159"/>
      <c r="AFK171" s="159"/>
      <c r="AFL171" s="159"/>
      <c r="AFM171" s="159"/>
      <c r="AFN171" s="159"/>
      <c r="AFO171" s="159"/>
      <c r="AFP171" s="159"/>
      <c r="AFQ171" s="159"/>
      <c r="AFR171" s="159"/>
      <c r="AFS171" s="159"/>
      <c r="AFT171" s="159"/>
      <c r="AFU171" s="159"/>
      <c r="AFV171" s="159"/>
      <c r="AFW171" s="159"/>
      <c r="AFX171" s="159"/>
      <c r="AFY171" s="159"/>
      <c r="AFZ171" s="159"/>
      <c r="AGA171" s="159"/>
      <c r="AGB171" s="159"/>
      <c r="AGC171" s="159"/>
      <c r="AGD171" s="159"/>
      <c r="AGE171" s="159"/>
      <c r="AGF171" s="159"/>
      <c r="AGG171" s="159"/>
      <c r="AGH171" s="159"/>
      <c r="AGI171" s="159"/>
      <c r="AGJ171" s="159"/>
      <c r="AGK171" s="159"/>
      <c r="AGL171" s="159"/>
      <c r="AGM171" s="159"/>
      <c r="AGN171" s="159"/>
      <c r="AGO171" s="159"/>
      <c r="AGP171" s="159"/>
      <c r="AGQ171" s="159"/>
      <c r="AGR171" s="159"/>
      <c r="AGS171" s="159"/>
      <c r="AGT171" s="159"/>
      <c r="AGU171" s="159"/>
      <c r="AGV171" s="159"/>
      <c r="AGW171" s="159"/>
      <c r="AGX171" s="159"/>
      <c r="AGY171" s="159"/>
      <c r="AGZ171" s="159"/>
      <c r="AHA171" s="159"/>
      <c r="AHB171" s="159"/>
      <c r="AHC171" s="159"/>
      <c r="AHD171" s="159"/>
      <c r="AHE171" s="159"/>
      <c r="AHF171" s="159"/>
      <c r="AHG171" s="159"/>
      <c r="AHH171" s="159"/>
      <c r="AHI171" s="159"/>
      <c r="AHJ171" s="159"/>
      <c r="AHK171" s="159"/>
      <c r="AHL171" s="159"/>
      <c r="AHM171" s="159"/>
      <c r="AHN171" s="159"/>
      <c r="AHO171" s="159"/>
      <c r="AHP171" s="159"/>
      <c r="AHQ171" s="159"/>
      <c r="AHR171" s="159"/>
      <c r="AHS171" s="159"/>
      <c r="AHT171" s="159"/>
      <c r="AHU171" s="159"/>
      <c r="AHV171" s="159"/>
      <c r="AHW171" s="159"/>
      <c r="AHX171" s="159"/>
      <c r="AHY171" s="159"/>
      <c r="AHZ171" s="159"/>
      <c r="AIA171" s="159"/>
      <c r="AIB171" s="159"/>
      <c r="AIC171" s="159"/>
      <c r="AID171" s="159"/>
      <c r="AIE171" s="159"/>
      <c r="AIF171" s="159"/>
      <c r="AIG171" s="159"/>
      <c r="AIH171" s="159"/>
      <c r="AII171" s="159"/>
      <c r="AIJ171" s="159"/>
      <c r="AIK171" s="159"/>
      <c r="AIL171" s="159"/>
      <c r="AIM171" s="159"/>
      <c r="AIN171" s="159"/>
      <c r="AIO171" s="159"/>
      <c r="AIP171" s="159"/>
      <c r="AIQ171" s="159"/>
      <c r="AIR171" s="159"/>
      <c r="AIS171" s="159"/>
      <c r="AIT171" s="159"/>
      <c r="AIU171" s="159"/>
      <c r="AIV171" s="159"/>
      <c r="AIW171" s="159"/>
      <c r="AIX171" s="159"/>
      <c r="AIY171" s="159"/>
      <c r="AIZ171" s="159"/>
      <c r="AJA171" s="159"/>
      <c r="AJB171" s="159"/>
      <c r="AJC171" s="159"/>
      <c r="AJD171" s="159"/>
      <c r="AJE171" s="159"/>
      <c r="AJF171" s="159"/>
      <c r="AJG171" s="159"/>
      <c r="AJH171" s="159"/>
      <c r="AJI171" s="159"/>
      <c r="AJJ171" s="159"/>
      <c r="AJK171" s="159"/>
      <c r="AJL171" s="159"/>
      <c r="AJM171" s="159"/>
      <c r="AJN171" s="159"/>
      <c r="AJO171" s="159"/>
      <c r="AJP171" s="159"/>
      <c r="AJQ171" s="159"/>
      <c r="AJR171" s="159"/>
      <c r="AJS171" s="159"/>
      <c r="AJT171" s="159"/>
      <c r="AJU171" s="159"/>
      <c r="AJV171" s="159"/>
      <c r="AJW171" s="159"/>
      <c r="AJX171" s="159"/>
      <c r="AJY171" s="159"/>
      <c r="AJZ171" s="159"/>
      <c r="AKA171" s="159"/>
      <c r="AKB171" s="159"/>
      <c r="AKC171" s="159"/>
      <c r="AKD171" s="159"/>
      <c r="AKE171" s="159"/>
      <c r="AKF171" s="159"/>
      <c r="AKG171" s="159"/>
      <c r="AKH171" s="159"/>
      <c r="AKI171" s="159"/>
      <c r="AKJ171" s="159"/>
      <c r="AKK171" s="159"/>
      <c r="AKL171" s="159"/>
      <c r="AKM171" s="159"/>
      <c r="AKN171" s="159"/>
      <c r="AKO171" s="159"/>
      <c r="AKP171" s="159"/>
      <c r="AKQ171" s="159"/>
      <c r="AKR171" s="159"/>
      <c r="AKS171" s="159"/>
      <c r="AKT171" s="159"/>
      <c r="AKU171" s="159"/>
      <c r="AKV171" s="159"/>
      <c r="AKW171" s="159"/>
      <c r="AKX171" s="159"/>
      <c r="AKY171" s="159"/>
      <c r="AKZ171" s="159"/>
      <c r="ALA171" s="159"/>
      <c r="ALB171" s="159"/>
      <c r="ALC171" s="159"/>
      <c r="ALD171" s="159"/>
      <c r="ALE171" s="159"/>
      <c r="ALF171" s="159"/>
      <c r="ALG171" s="159"/>
      <c r="ALH171" s="159"/>
      <c r="ALI171" s="159"/>
      <c r="ALJ171" s="159"/>
      <c r="ALK171" s="159"/>
      <c r="ALL171" s="159"/>
      <c r="ALM171" s="159"/>
      <c r="ALN171" s="159"/>
      <c r="ALO171" s="159"/>
      <c r="ALP171" s="159"/>
      <c r="ALQ171" s="159"/>
      <c r="ALR171" s="159"/>
      <c r="ALS171" s="159"/>
      <c r="ALT171" s="159"/>
      <c r="ALU171" s="159"/>
      <c r="ALV171" s="159"/>
      <c r="ALW171" s="159"/>
      <c r="ALX171" s="159"/>
      <c r="ALY171" s="159"/>
      <c r="ALZ171" s="159"/>
      <c r="AMA171" s="159"/>
      <c r="AMB171" s="159"/>
      <c r="AMC171" s="159"/>
      <c r="AMD171" s="159"/>
      <c r="AME171" s="159"/>
      <c r="AMF171" s="159"/>
      <c r="AMG171" s="159"/>
      <c r="AMH171" s="159"/>
      <c r="AMI171" s="159"/>
      <c r="AMJ171" s="159"/>
      <c r="AMK171" s="159"/>
      <c r="AML171" s="159"/>
      <c r="AMM171" s="159"/>
      <c r="AMN171" s="159"/>
      <c r="AMO171" s="159"/>
    </row>
    <row r="172" spans="1:1029" s="161" customFormat="1" x14ac:dyDescent="0.25">
      <c r="A172" s="138">
        <v>46261</v>
      </c>
      <c r="B172" s="99" t="s">
        <v>193</v>
      </c>
      <c r="C172" s="99" t="s">
        <v>38</v>
      </c>
      <c r="D172" s="160" t="s">
        <v>16</v>
      </c>
      <c r="E172" s="118" t="s">
        <v>8</v>
      </c>
      <c r="F172" s="149" t="s">
        <v>51</v>
      </c>
      <c r="G172" s="149" t="s">
        <v>52</v>
      </c>
      <c r="H172" s="141" t="b">
        <f t="shared" si="12"/>
        <v>0</v>
      </c>
      <c r="I172" s="121" t="s">
        <v>35</v>
      </c>
      <c r="J172" s="121" t="s">
        <v>163</v>
      </c>
      <c r="K172" s="121" t="s">
        <v>27</v>
      </c>
      <c r="L172" s="141" t="b">
        <f t="shared" si="13"/>
        <v>0</v>
      </c>
      <c r="M172" s="121" t="s">
        <v>193</v>
      </c>
      <c r="N172" s="121" t="s">
        <v>38</v>
      </c>
      <c r="O172" s="121" t="s">
        <v>90</v>
      </c>
      <c r="P172" s="141">
        <f t="shared" si="14"/>
        <v>1.5</v>
      </c>
      <c r="Q172" s="149" t="s">
        <v>47</v>
      </c>
      <c r="R172" s="99" t="s">
        <v>77</v>
      </c>
      <c r="S172" s="99" t="s">
        <v>90</v>
      </c>
      <c r="T172" s="141" t="b">
        <f t="shared" si="15"/>
        <v>0</v>
      </c>
      <c r="U172" s="159"/>
      <c r="V172" s="159"/>
      <c r="W172" s="159"/>
      <c r="X172" s="159"/>
      <c r="Y172" s="159"/>
      <c r="Z172" s="159"/>
      <c r="AA172" s="159"/>
      <c r="AB172" s="159"/>
      <c r="AC172" s="159"/>
      <c r="AD172" s="159"/>
      <c r="AE172" s="159"/>
      <c r="AF172" s="159"/>
      <c r="AG172" s="159"/>
      <c r="AH172" s="159"/>
      <c r="AI172" s="159"/>
      <c r="AJ172" s="159"/>
      <c r="AK172" s="159"/>
      <c r="AL172" s="159"/>
      <c r="AM172" s="159"/>
      <c r="AN172" s="159"/>
      <c r="AO172" s="159"/>
      <c r="AP172" s="159"/>
      <c r="AQ172" s="159"/>
      <c r="AR172" s="159"/>
      <c r="AS172" s="159"/>
      <c r="AT172" s="159"/>
      <c r="AU172" s="159"/>
      <c r="AV172" s="159"/>
      <c r="AW172" s="159"/>
      <c r="AX172" s="159"/>
      <c r="AY172" s="159"/>
      <c r="AZ172" s="159"/>
      <c r="BA172" s="159"/>
      <c r="BB172" s="159"/>
      <c r="BC172" s="159"/>
      <c r="BD172" s="159"/>
      <c r="BE172" s="159"/>
      <c r="BF172" s="159"/>
      <c r="BG172" s="159"/>
      <c r="BH172" s="159"/>
      <c r="BI172" s="159"/>
      <c r="BJ172" s="159"/>
      <c r="BK172" s="159"/>
      <c r="BL172" s="159"/>
      <c r="BM172" s="159"/>
      <c r="BN172" s="159"/>
      <c r="BO172" s="159"/>
      <c r="BP172" s="159"/>
      <c r="BQ172" s="159"/>
      <c r="BR172" s="159"/>
      <c r="BS172" s="159"/>
      <c r="BT172" s="159"/>
      <c r="BU172" s="159"/>
      <c r="BV172" s="159"/>
      <c r="BW172" s="159"/>
      <c r="BX172" s="159"/>
      <c r="BY172" s="159"/>
      <c r="BZ172" s="159"/>
      <c r="CA172" s="159"/>
      <c r="CB172" s="159"/>
      <c r="CC172" s="159"/>
      <c r="CD172" s="159"/>
      <c r="CE172" s="159"/>
      <c r="CF172" s="159"/>
      <c r="CG172" s="159"/>
      <c r="CH172" s="159"/>
      <c r="CI172" s="159"/>
      <c r="CJ172" s="159"/>
      <c r="CK172" s="159"/>
      <c r="CL172" s="159"/>
      <c r="CM172" s="159"/>
      <c r="CN172" s="159"/>
      <c r="CO172" s="159"/>
      <c r="CP172" s="159"/>
      <c r="CQ172" s="159"/>
      <c r="CR172" s="159"/>
      <c r="CS172" s="159"/>
      <c r="CT172" s="159"/>
      <c r="CU172" s="159"/>
      <c r="CV172" s="159"/>
      <c r="CW172" s="159"/>
      <c r="CX172" s="159"/>
      <c r="CY172" s="159"/>
      <c r="CZ172" s="159"/>
      <c r="DA172" s="159"/>
      <c r="DB172" s="159"/>
      <c r="DC172" s="159"/>
      <c r="DD172" s="159"/>
      <c r="DE172" s="159"/>
      <c r="DF172" s="159"/>
      <c r="DG172" s="159"/>
      <c r="DH172" s="159"/>
      <c r="DI172" s="159"/>
      <c r="DJ172" s="159"/>
      <c r="DK172" s="159"/>
      <c r="DL172" s="159"/>
      <c r="DM172" s="159"/>
      <c r="DN172" s="159"/>
      <c r="DO172" s="159"/>
      <c r="DP172" s="159"/>
      <c r="DQ172" s="159"/>
      <c r="DR172" s="159"/>
      <c r="DS172" s="159"/>
      <c r="DT172" s="159"/>
      <c r="DU172" s="159"/>
      <c r="DV172" s="159"/>
      <c r="DW172" s="159"/>
      <c r="DX172" s="159"/>
      <c r="DY172" s="159"/>
      <c r="DZ172" s="159"/>
      <c r="EA172" s="159"/>
      <c r="EB172" s="159"/>
      <c r="EC172" s="159"/>
      <c r="ED172" s="159"/>
      <c r="EE172" s="159"/>
      <c r="EF172" s="159"/>
      <c r="EG172" s="159"/>
      <c r="EH172" s="159"/>
      <c r="EI172" s="159"/>
      <c r="EJ172" s="159"/>
      <c r="EK172" s="159"/>
      <c r="EL172" s="159"/>
      <c r="EM172" s="159"/>
      <c r="EN172" s="159"/>
      <c r="EO172" s="159"/>
      <c r="EP172" s="159"/>
      <c r="EQ172" s="159"/>
      <c r="ER172" s="159"/>
      <c r="ES172" s="159"/>
      <c r="ET172" s="159"/>
      <c r="EU172" s="159"/>
      <c r="EV172" s="159"/>
      <c r="EW172" s="159"/>
      <c r="EX172" s="159"/>
      <c r="EY172" s="159"/>
      <c r="EZ172" s="159"/>
      <c r="FA172" s="159"/>
      <c r="FB172" s="159"/>
      <c r="FC172" s="159"/>
      <c r="FD172" s="159"/>
      <c r="FE172" s="159"/>
      <c r="FF172" s="159"/>
      <c r="FG172" s="159"/>
      <c r="FH172" s="159"/>
      <c r="FI172" s="159"/>
      <c r="FJ172" s="159"/>
      <c r="FK172" s="159"/>
      <c r="FL172" s="159"/>
      <c r="FM172" s="159"/>
      <c r="FN172" s="159"/>
      <c r="FO172" s="159"/>
      <c r="FP172" s="159"/>
      <c r="FQ172" s="159"/>
      <c r="FR172" s="159"/>
      <c r="FS172" s="159"/>
      <c r="FT172" s="159"/>
      <c r="FU172" s="159"/>
      <c r="FV172" s="159"/>
      <c r="FW172" s="159"/>
      <c r="FX172" s="159"/>
      <c r="FY172" s="159"/>
      <c r="FZ172" s="159"/>
      <c r="GA172" s="159"/>
      <c r="GB172" s="159"/>
      <c r="GC172" s="159"/>
      <c r="GD172" s="159"/>
      <c r="GE172" s="159"/>
      <c r="GF172" s="159"/>
      <c r="GG172" s="159"/>
      <c r="GH172" s="159"/>
      <c r="GI172" s="159"/>
      <c r="GJ172" s="159"/>
      <c r="GK172" s="159"/>
      <c r="GL172" s="159"/>
      <c r="GM172" s="159"/>
      <c r="GN172" s="159"/>
      <c r="GO172" s="159"/>
      <c r="GP172" s="159"/>
      <c r="GQ172" s="159"/>
      <c r="GR172" s="159"/>
      <c r="GS172" s="159"/>
      <c r="GT172" s="159"/>
      <c r="GU172" s="159"/>
      <c r="GV172" s="159"/>
      <c r="GW172" s="159"/>
      <c r="GX172" s="159"/>
      <c r="GY172" s="159"/>
      <c r="GZ172" s="159"/>
      <c r="HA172" s="159"/>
      <c r="HB172" s="159"/>
      <c r="HC172" s="159"/>
      <c r="HD172" s="159"/>
      <c r="HE172" s="159"/>
      <c r="HF172" s="159"/>
      <c r="HG172" s="159"/>
      <c r="HH172" s="159"/>
      <c r="HI172" s="159"/>
      <c r="HJ172" s="159"/>
      <c r="HK172" s="159"/>
      <c r="HL172" s="159"/>
      <c r="HM172" s="159"/>
      <c r="HN172" s="159"/>
      <c r="HO172" s="159"/>
      <c r="HP172" s="159"/>
      <c r="HQ172" s="159"/>
      <c r="HR172" s="159"/>
      <c r="HS172" s="159"/>
      <c r="HT172" s="159"/>
      <c r="HU172" s="159"/>
      <c r="HV172" s="159"/>
      <c r="HW172" s="159"/>
      <c r="HX172" s="159"/>
      <c r="HY172" s="159"/>
      <c r="HZ172" s="159"/>
      <c r="IA172" s="159"/>
      <c r="IB172" s="159"/>
      <c r="IC172" s="159"/>
      <c r="ID172" s="159"/>
      <c r="IE172" s="159"/>
      <c r="IF172" s="159"/>
      <c r="IG172" s="159"/>
      <c r="IH172" s="159"/>
      <c r="II172" s="159"/>
      <c r="IJ172" s="159"/>
      <c r="IK172" s="159"/>
      <c r="IL172" s="159"/>
      <c r="IM172" s="159"/>
      <c r="IN172" s="159"/>
      <c r="IO172" s="159"/>
      <c r="IP172" s="159"/>
      <c r="IQ172" s="159"/>
      <c r="IR172" s="159"/>
      <c r="IS172" s="159"/>
      <c r="IT172" s="159"/>
      <c r="IU172" s="159"/>
      <c r="IV172" s="159"/>
      <c r="IW172" s="159"/>
      <c r="IX172" s="159"/>
      <c r="IY172" s="159"/>
      <c r="IZ172" s="159"/>
      <c r="JA172" s="159"/>
      <c r="JB172" s="159"/>
      <c r="JC172" s="159"/>
      <c r="JD172" s="159"/>
      <c r="JE172" s="159"/>
      <c r="JF172" s="159"/>
      <c r="JG172" s="159"/>
      <c r="JH172" s="159"/>
      <c r="JI172" s="159"/>
      <c r="JJ172" s="159"/>
      <c r="JK172" s="159"/>
      <c r="JL172" s="159"/>
      <c r="JM172" s="159"/>
      <c r="JN172" s="159"/>
      <c r="JO172" s="159"/>
      <c r="JP172" s="159"/>
      <c r="JQ172" s="159"/>
      <c r="JR172" s="159"/>
      <c r="JS172" s="159"/>
      <c r="JT172" s="159"/>
      <c r="JU172" s="159"/>
      <c r="JV172" s="159"/>
      <c r="JW172" s="159"/>
      <c r="JX172" s="159"/>
      <c r="JY172" s="159"/>
      <c r="JZ172" s="159"/>
      <c r="KA172" s="159"/>
      <c r="KB172" s="159"/>
      <c r="KC172" s="159"/>
      <c r="KD172" s="159"/>
      <c r="KE172" s="159"/>
      <c r="KF172" s="159"/>
      <c r="KG172" s="159"/>
      <c r="KH172" s="159"/>
      <c r="KI172" s="159"/>
      <c r="KJ172" s="159"/>
      <c r="KK172" s="159"/>
      <c r="KL172" s="159"/>
      <c r="KM172" s="159"/>
      <c r="KN172" s="159"/>
      <c r="KO172" s="159"/>
      <c r="KP172" s="159"/>
      <c r="KQ172" s="159"/>
      <c r="KR172" s="159"/>
      <c r="KS172" s="159"/>
      <c r="KT172" s="159"/>
      <c r="KU172" s="159"/>
      <c r="KV172" s="159"/>
      <c r="KW172" s="159"/>
      <c r="KX172" s="159"/>
      <c r="KY172" s="159"/>
      <c r="KZ172" s="159"/>
      <c r="LA172" s="159"/>
      <c r="LB172" s="159"/>
      <c r="LC172" s="159"/>
      <c r="LD172" s="159"/>
      <c r="LE172" s="159"/>
      <c r="LF172" s="159"/>
      <c r="LG172" s="159"/>
      <c r="LH172" s="159"/>
      <c r="LI172" s="159"/>
      <c r="LJ172" s="159"/>
      <c r="LK172" s="159"/>
      <c r="LL172" s="159"/>
      <c r="LM172" s="159"/>
      <c r="LN172" s="159"/>
      <c r="LO172" s="159"/>
      <c r="LP172" s="159"/>
      <c r="LQ172" s="159"/>
      <c r="LR172" s="159"/>
      <c r="LS172" s="159"/>
      <c r="LT172" s="159"/>
      <c r="LU172" s="159"/>
      <c r="LV172" s="159"/>
      <c r="LW172" s="159"/>
      <c r="LX172" s="159"/>
      <c r="LY172" s="159"/>
      <c r="LZ172" s="159"/>
      <c r="MA172" s="159"/>
      <c r="MB172" s="159"/>
      <c r="MC172" s="159"/>
      <c r="MD172" s="159"/>
      <c r="ME172" s="159"/>
      <c r="MF172" s="159"/>
      <c r="MG172" s="159"/>
      <c r="MH172" s="159"/>
      <c r="MI172" s="159"/>
      <c r="MJ172" s="159"/>
      <c r="MK172" s="159"/>
      <c r="ML172" s="159"/>
      <c r="MM172" s="159"/>
      <c r="MN172" s="159"/>
      <c r="MO172" s="159"/>
      <c r="MP172" s="159"/>
      <c r="MQ172" s="159"/>
      <c r="MR172" s="159"/>
      <c r="MS172" s="159"/>
      <c r="MT172" s="159"/>
      <c r="MU172" s="159"/>
      <c r="MV172" s="159"/>
      <c r="MW172" s="159"/>
      <c r="MX172" s="159"/>
      <c r="MY172" s="159"/>
      <c r="MZ172" s="159"/>
      <c r="NA172" s="159"/>
      <c r="NB172" s="159"/>
      <c r="NC172" s="159"/>
      <c r="ND172" s="159"/>
      <c r="NE172" s="159"/>
      <c r="NF172" s="159"/>
      <c r="NG172" s="159"/>
      <c r="NH172" s="159"/>
      <c r="NI172" s="159"/>
      <c r="NJ172" s="159"/>
      <c r="NK172" s="159"/>
      <c r="NL172" s="159"/>
      <c r="NM172" s="159"/>
      <c r="NN172" s="159"/>
      <c r="NO172" s="159"/>
      <c r="NP172" s="159"/>
      <c r="NQ172" s="159"/>
      <c r="NR172" s="159"/>
      <c r="NS172" s="159"/>
      <c r="NT172" s="159"/>
      <c r="NU172" s="159"/>
      <c r="NV172" s="159"/>
      <c r="NW172" s="159"/>
      <c r="NX172" s="159"/>
      <c r="NY172" s="159"/>
      <c r="NZ172" s="159"/>
      <c r="OA172" s="159"/>
      <c r="OB172" s="159"/>
      <c r="OC172" s="159"/>
      <c r="OD172" s="159"/>
      <c r="OE172" s="159"/>
      <c r="OF172" s="159"/>
      <c r="OG172" s="159"/>
      <c r="OH172" s="159"/>
      <c r="OI172" s="159"/>
      <c r="OJ172" s="159"/>
      <c r="OK172" s="159"/>
      <c r="OL172" s="159"/>
      <c r="OM172" s="159"/>
      <c r="ON172" s="159"/>
      <c r="OO172" s="159"/>
      <c r="OP172" s="159"/>
      <c r="OQ172" s="159"/>
      <c r="OR172" s="159"/>
      <c r="OS172" s="159"/>
      <c r="OT172" s="159"/>
      <c r="OU172" s="159"/>
      <c r="OV172" s="159"/>
      <c r="OW172" s="159"/>
      <c r="OX172" s="159"/>
      <c r="OY172" s="159"/>
      <c r="OZ172" s="159"/>
      <c r="PA172" s="159"/>
      <c r="PB172" s="159"/>
      <c r="PC172" s="159"/>
      <c r="PD172" s="159"/>
      <c r="PE172" s="159"/>
      <c r="PF172" s="159"/>
      <c r="PG172" s="159"/>
      <c r="PH172" s="159"/>
      <c r="PI172" s="159"/>
      <c r="PJ172" s="159"/>
      <c r="PK172" s="159"/>
      <c r="PL172" s="159"/>
      <c r="PM172" s="159"/>
      <c r="PN172" s="159"/>
      <c r="PO172" s="159"/>
      <c r="PP172" s="159"/>
      <c r="PQ172" s="159"/>
      <c r="PR172" s="159"/>
      <c r="PS172" s="159"/>
      <c r="PT172" s="159"/>
      <c r="PU172" s="159"/>
      <c r="PV172" s="159"/>
      <c r="PW172" s="159"/>
      <c r="PX172" s="159"/>
      <c r="PY172" s="159"/>
      <c r="PZ172" s="159"/>
      <c r="QA172" s="159"/>
      <c r="QB172" s="159"/>
      <c r="QC172" s="159"/>
      <c r="QD172" s="159"/>
      <c r="QE172" s="159"/>
      <c r="QF172" s="159"/>
      <c r="QG172" s="159"/>
      <c r="QH172" s="159"/>
      <c r="QI172" s="159"/>
      <c r="QJ172" s="159"/>
      <c r="QK172" s="159"/>
      <c r="QL172" s="159"/>
      <c r="QM172" s="159"/>
      <c r="QN172" s="159"/>
      <c r="QO172" s="159"/>
      <c r="QP172" s="159"/>
      <c r="QQ172" s="159"/>
      <c r="QR172" s="159"/>
      <c r="QS172" s="159"/>
      <c r="QT172" s="159"/>
      <c r="QU172" s="159"/>
      <c r="QV172" s="159"/>
      <c r="QW172" s="159"/>
      <c r="QX172" s="159"/>
      <c r="QY172" s="159"/>
      <c r="QZ172" s="159"/>
      <c r="RA172" s="159"/>
      <c r="RB172" s="159"/>
      <c r="RC172" s="159"/>
      <c r="RD172" s="159"/>
      <c r="RE172" s="159"/>
      <c r="RF172" s="159"/>
      <c r="RG172" s="159"/>
      <c r="RH172" s="159"/>
      <c r="RI172" s="159"/>
      <c r="RJ172" s="159"/>
      <c r="RK172" s="159"/>
      <c r="RL172" s="159"/>
      <c r="RM172" s="159"/>
      <c r="RN172" s="159"/>
      <c r="RO172" s="159"/>
      <c r="RP172" s="159"/>
      <c r="RQ172" s="159"/>
      <c r="RR172" s="159"/>
      <c r="RS172" s="159"/>
      <c r="RT172" s="159"/>
      <c r="RU172" s="159"/>
      <c r="RV172" s="159"/>
      <c r="RW172" s="159"/>
      <c r="RX172" s="159"/>
      <c r="RY172" s="159"/>
      <c r="RZ172" s="159"/>
      <c r="SA172" s="159"/>
      <c r="SB172" s="159"/>
      <c r="SC172" s="159"/>
      <c r="SD172" s="159"/>
      <c r="SE172" s="159"/>
      <c r="SF172" s="159"/>
      <c r="SG172" s="159"/>
      <c r="SH172" s="159"/>
      <c r="SI172" s="159"/>
      <c r="SJ172" s="159"/>
      <c r="SK172" s="159"/>
      <c r="SL172" s="159"/>
      <c r="SM172" s="159"/>
      <c r="SN172" s="159"/>
      <c r="SO172" s="159"/>
      <c r="SP172" s="159"/>
      <c r="SQ172" s="159"/>
      <c r="SR172" s="159"/>
      <c r="SS172" s="159"/>
      <c r="ST172" s="159"/>
      <c r="SU172" s="159"/>
      <c r="SV172" s="159"/>
      <c r="SW172" s="159"/>
      <c r="SX172" s="159"/>
      <c r="SY172" s="159"/>
      <c r="SZ172" s="159"/>
      <c r="TA172" s="159"/>
      <c r="TB172" s="159"/>
      <c r="TC172" s="159"/>
      <c r="TD172" s="159"/>
      <c r="TE172" s="159"/>
      <c r="TF172" s="159"/>
      <c r="TG172" s="159"/>
      <c r="TH172" s="159"/>
      <c r="TI172" s="159"/>
      <c r="TJ172" s="159"/>
      <c r="TK172" s="159"/>
      <c r="TL172" s="159"/>
      <c r="TM172" s="159"/>
      <c r="TN172" s="159"/>
      <c r="TO172" s="159"/>
      <c r="TP172" s="159"/>
      <c r="TQ172" s="159"/>
      <c r="TR172" s="159"/>
      <c r="TS172" s="159"/>
      <c r="TT172" s="159"/>
      <c r="TU172" s="159"/>
      <c r="TV172" s="159"/>
      <c r="TW172" s="159"/>
      <c r="TX172" s="159"/>
      <c r="TY172" s="159"/>
      <c r="TZ172" s="159"/>
      <c r="UA172" s="159"/>
      <c r="UB172" s="159"/>
      <c r="UC172" s="159"/>
      <c r="UD172" s="159"/>
      <c r="UE172" s="159"/>
      <c r="UF172" s="159"/>
      <c r="UG172" s="159"/>
      <c r="UH172" s="159"/>
      <c r="UI172" s="159"/>
      <c r="UJ172" s="159"/>
      <c r="UK172" s="159"/>
      <c r="UL172" s="159"/>
      <c r="UM172" s="159"/>
      <c r="UN172" s="159"/>
      <c r="UO172" s="159"/>
      <c r="UP172" s="159"/>
      <c r="UQ172" s="159"/>
      <c r="UR172" s="159"/>
      <c r="US172" s="159"/>
      <c r="UT172" s="159"/>
      <c r="UU172" s="159"/>
      <c r="UV172" s="159"/>
      <c r="UW172" s="159"/>
      <c r="UX172" s="159"/>
      <c r="UY172" s="159"/>
      <c r="UZ172" s="159"/>
      <c r="VA172" s="159"/>
      <c r="VB172" s="159"/>
      <c r="VC172" s="159"/>
      <c r="VD172" s="159"/>
      <c r="VE172" s="159"/>
      <c r="VF172" s="159"/>
      <c r="VG172" s="159"/>
      <c r="VH172" s="159"/>
      <c r="VI172" s="159"/>
      <c r="VJ172" s="159"/>
      <c r="VK172" s="159"/>
      <c r="VL172" s="159"/>
      <c r="VM172" s="159"/>
      <c r="VN172" s="159"/>
      <c r="VO172" s="159"/>
      <c r="VP172" s="159"/>
      <c r="VQ172" s="159"/>
      <c r="VR172" s="159"/>
      <c r="VS172" s="159"/>
      <c r="VT172" s="159"/>
      <c r="VU172" s="159"/>
      <c r="VV172" s="159"/>
      <c r="VW172" s="159"/>
      <c r="VX172" s="159"/>
      <c r="VY172" s="159"/>
      <c r="VZ172" s="159"/>
      <c r="WA172" s="159"/>
      <c r="WB172" s="159"/>
      <c r="WC172" s="159"/>
      <c r="WD172" s="159"/>
      <c r="WE172" s="159"/>
      <c r="WF172" s="159"/>
      <c r="WG172" s="159"/>
      <c r="WH172" s="159"/>
      <c r="WI172" s="159"/>
      <c r="WJ172" s="159"/>
      <c r="WK172" s="159"/>
      <c r="WL172" s="159"/>
      <c r="WM172" s="159"/>
      <c r="WN172" s="159"/>
      <c r="WO172" s="159"/>
      <c r="WP172" s="159"/>
      <c r="WQ172" s="159"/>
      <c r="WR172" s="159"/>
      <c r="WS172" s="159"/>
      <c r="WT172" s="159"/>
      <c r="WU172" s="159"/>
      <c r="WV172" s="159"/>
      <c r="WW172" s="159"/>
      <c r="WX172" s="159"/>
      <c r="WY172" s="159"/>
      <c r="WZ172" s="159"/>
      <c r="XA172" s="159"/>
      <c r="XB172" s="159"/>
      <c r="XC172" s="159"/>
      <c r="XD172" s="159"/>
      <c r="XE172" s="159"/>
      <c r="XF172" s="159"/>
      <c r="XG172" s="159"/>
      <c r="XH172" s="159"/>
      <c r="XI172" s="159"/>
      <c r="XJ172" s="159"/>
      <c r="XK172" s="159"/>
      <c r="XL172" s="159"/>
      <c r="XM172" s="159"/>
      <c r="XN172" s="159"/>
      <c r="XO172" s="159"/>
      <c r="XP172" s="159"/>
      <c r="XQ172" s="159"/>
      <c r="XR172" s="159"/>
      <c r="XS172" s="159"/>
      <c r="XT172" s="159"/>
      <c r="XU172" s="159"/>
      <c r="XV172" s="159"/>
      <c r="XW172" s="159"/>
      <c r="XX172" s="159"/>
      <c r="XY172" s="159"/>
      <c r="XZ172" s="159"/>
      <c r="YA172" s="159"/>
      <c r="YB172" s="159"/>
      <c r="YC172" s="159"/>
      <c r="YD172" s="159"/>
      <c r="YE172" s="159"/>
      <c r="YF172" s="159"/>
      <c r="YG172" s="159"/>
      <c r="YH172" s="159"/>
      <c r="YI172" s="159"/>
      <c r="YJ172" s="159"/>
      <c r="YK172" s="159"/>
      <c r="YL172" s="159"/>
      <c r="YM172" s="159"/>
      <c r="YN172" s="159"/>
      <c r="YO172" s="159"/>
      <c r="YP172" s="159"/>
      <c r="YQ172" s="159"/>
      <c r="YR172" s="159"/>
      <c r="YS172" s="159"/>
      <c r="YT172" s="159"/>
      <c r="YU172" s="159"/>
      <c r="YV172" s="159"/>
      <c r="YW172" s="159"/>
      <c r="YX172" s="159"/>
      <c r="YY172" s="159"/>
      <c r="YZ172" s="159"/>
      <c r="ZA172" s="159"/>
      <c r="ZB172" s="159"/>
      <c r="ZC172" s="159"/>
      <c r="ZD172" s="159"/>
      <c r="ZE172" s="159"/>
      <c r="ZF172" s="159"/>
      <c r="ZG172" s="159"/>
      <c r="ZH172" s="159"/>
      <c r="ZI172" s="159"/>
      <c r="ZJ172" s="159"/>
      <c r="ZK172" s="159"/>
      <c r="ZL172" s="159"/>
      <c r="ZM172" s="159"/>
      <c r="ZN172" s="159"/>
      <c r="ZO172" s="159"/>
      <c r="ZP172" s="159"/>
      <c r="ZQ172" s="159"/>
      <c r="ZR172" s="159"/>
      <c r="ZS172" s="159"/>
      <c r="ZT172" s="159"/>
      <c r="ZU172" s="159"/>
      <c r="ZV172" s="159"/>
      <c r="ZW172" s="159"/>
      <c r="ZX172" s="159"/>
      <c r="ZY172" s="159"/>
      <c r="ZZ172" s="159"/>
      <c r="AAA172" s="159"/>
      <c r="AAB172" s="159"/>
      <c r="AAC172" s="159"/>
      <c r="AAD172" s="159"/>
      <c r="AAE172" s="159"/>
      <c r="AAF172" s="159"/>
      <c r="AAG172" s="159"/>
      <c r="AAH172" s="159"/>
      <c r="AAI172" s="159"/>
      <c r="AAJ172" s="159"/>
      <c r="AAK172" s="159"/>
      <c r="AAL172" s="159"/>
      <c r="AAM172" s="159"/>
      <c r="AAN172" s="159"/>
      <c r="AAO172" s="159"/>
      <c r="AAP172" s="159"/>
      <c r="AAQ172" s="159"/>
      <c r="AAR172" s="159"/>
      <c r="AAS172" s="159"/>
      <c r="AAT172" s="159"/>
      <c r="AAU172" s="159"/>
      <c r="AAV172" s="159"/>
      <c r="AAW172" s="159"/>
      <c r="AAX172" s="159"/>
      <c r="AAY172" s="159"/>
      <c r="AAZ172" s="159"/>
      <c r="ABA172" s="159"/>
      <c r="ABB172" s="159"/>
      <c r="ABC172" s="159"/>
      <c r="ABD172" s="159"/>
      <c r="ABE172" s="159"/>
      <c r="ABF172" s="159"/>
      <c r="ABG172" s="159"/>
      <c r="ABH172" s="159"/>
      <c r="ABI172" s="159"/>
      <c r="ABJ172" s="159"/>
      <c r="ABK172" s="159"/>
      <c r="ABL172" s="159"/>
      <c r="ABM172" s="159"/>
      <c r="ABN172" s="159"/>
      <c r="ABO172" s="159"/>
      <c r="ABP172" s="159"/>
      <c r="ABQ172" s="159"/>
      <c r="ABR172" s="159"/>
      <c r="ABS172" s="159"/>
      <c r="ABT172" s="159"/>
      <c r="ABU172" s="159"/>
      <c r="ABV172" s="159"/>
      <c r="ABW172" s="159"/>
      <c r="ABX172" s="159"/>
      <c r="ABY172" s="159"/>
      <c r="ABZ172" s="159"/>
      <c r="ACA172" s="159"/>
      <c r="ACB172" s="159"/>
      <c r="ACC172" s="159"/>
      <c r="ACD172" s="159"/>
      <c r="ACE172" s="159"/>
      <c r="ACF172" s="159"/>
      <c r="ACG172" s="159"/>
      <c r="ACH172" s="159"/>
      <c r="ACI172" s="159"/>
      <c r="ACJ172" s="159"/>
      <c r="ACK172" s="159"/>
      <c r="ACL172" s="159"/>
      <c r="ACM172" s="159"/>
      <c r="ACN172" s="159"/>
      <c r="ACO172" s="159"/>
      <c r="ACP172" s="159"/>
      <c r="ACQ172" s="159"/>
      <c r="ACR172" s="159"/>
      <c r="ACS172" s="159"/>
      <c r="ACT172" s="159"/>
      <c r="ACU172" s="159"/>
      <c r="ACV172" s="159"/>
      <c r="ACW172" s="159"/>
      <c r="ACX172" s="159"/>
      <c r="ACY172" s="159"/>
      <c r="ACZ172" s="159"/>
      <c r="ADA172" s="159"/>
      <c r="ADB172" s="159"/>
      <c r="ADC172" s="159"/>
      <c r="ADD172" s="159"/>
      <c r="ADE172" s="159"/>
      <c r="ADF172" s="159"/>
      <c r="ADG172" s="159"/>
      <c r="ADH172" s="159"/>
      <c r="ADI172" s="159"/>
      <c r="ADJ172" s="159"/>
      <c r="ADK172" s="159"/>
      <c r="ADL172" s="159"/>
      <c r="ADM172" s="159"/>
      <c r="ADN172" s="159"/>
      <c r="ADO172" s="159"/>
      <c r="ADP172" s="159"/>
      <c r="ADQ172" s="159"/>
      <c r="ADR172" s="159"/>
      <c r="ADS172" s="159"/>
      <c r="ADT172" s="159"/>
      <c r="ADU172" s="159"/>
      <c r="ADV172" s="159"/>
      <c r="ADW172" s="159"/>
      <c r="ADX172" s="159"/>
      <c r="ADY172" s="159"/>
      <c r="ADZ172" s="159"/>
      <c r="AEA172" s="159"/>
      <c r="AEB172" s="159"/>
      <c r="AEC172" s="159"/>
      <c r="AED172" s="159"/>
      <c r="AEE172" s="159"/>
      <c r="AEF172" s="159"/>
      <c r="AEG172" s="159"/>
      <c r="AEH172" s="159"/>
      <c r="AEI172" s="159"/>
      <c r="AEJ172" s="159"/>
      <c r="AEK172" s="159"/>
      <c r="AEL172" s="159"/>
      <c r="AEM172" s="159"/>
      <c r="AEN172" s="159"/>
      <c r="AEO172" s="159"/>
      <c r="AEP172" s="159"/>
      <c r="AEQ172" s="159"/>
      <c r="AER172" s="159"/>
      <c r="AES172" s="159"/>
      <c r="AET172" s="159"/>
      <c r="AEU172" s="159"/>
      <c r="AEV172" s="159"/>
      <c r="AEW172" s="159"/>
      <c r="AEX172" s="159"/>
      <c r="AEY172" s="159"/>
      <c r="AEZ172" s="159"/>
      <c r="AFA172" s="159"/>
      <c r="AFB172" s="159"/>
      <c r="AFC172" s="159"/>
      <c r="AFD172" s="159"/>
      <c r="AFE172" s="159"/>
      <c r="AFF172" s="159"/>
      <c r="AFG172" s="159"/>
      <c r="AFH172" s="159"/>
      <c r="AFI172" s="159"/>
      <c r="AFJ172" s="159"/>
      <c r="AFK172" s="159"/>
      <c r="AFL172" s="159"/>
      <c r="AFM172" s="159"/>
      <c r="AFN172" s="159"/>
      <c r="AFO172" s="159"/>
      <c r="AFP172" s="159"/>
      <c r="AFQ172" s="159"/>
      <c r="AFR172" s="159"/>
      <c r="AFS172" s="159"/>
      <c r="AFT172" s="159"/>
      <c r="AFU172" s="159"/>
      <c r="AFV172" s="159"/>
      <c r="AFW172" s="159"/>
      <c r="AFX172" s="159"/>
      <c r="AFY172" s="159"/>
      <c r="AFZ172" s="159"/>
      <c r="AGA172" s="159"/>
      <c r="AGB172" s="159"/>
      <c r="AGC172" s="159"/>
      <c r="AGD172" s="159"/>
      <c r="AGE172" s="159"/>
      <c r="AGF172" s="159"/>
      <c r="AGG172" s="159"/>
      <c r="AGH172" s="159"/>
      <c r="AGI172" s="159"/>
      <c r="AGJ172" s="159"/>
      <c r="AGK172" s="159"/>
      <c r="AGL172" s="159"/>
      <c r="AGM172" s="159"/>
      <c r="AGN172" s="159"/>
      <c r="AGO172" s="159"/>
      <c r="AGP172" s="159"/>
      <c r="AGQ172" s="159"/>
      <c r="AGR172" s="159"/>
      <c r="AGS172" s="159"/>
      <c r="AGT172" s="159"/>
      <c r="AGU172" s="159"/>
      <c r="AGV172" s="159"/>
      <c r="AGW172" s="159"/>
      <c r="AGX172" s="159"/>
      <c r="AGY172" s="159"/>
      <c r="AGZ172" s="159"/>
      <c r="AHA172" s="159"/>
      <c r="AHB172" s="159"/>
      <c r="AHC172" s="159"/>
      <c r="AHD172" s="159"/>
      <c r="AHE172" s="159"/>
      <c r="AHF172" s="159"/>
      <c r="AHG172" s="159"/>
      <c r="AHH172" s="159"/>
      <c r="AHI172" s="159"/>
      <c r="AHJ172" s="159"/>
      <c r="AHK172" s="159"/>
      <c r="AHL172" s="159"/>
      <c r="AHM172" s="159"/>
      <c r="AHN172" s="159"/>
      <c r="AHO172" s="159"/>
      <c r="AHP172" s="159"/>
      <c r="AHQ172" s="159"/>
      <c r="AHR172" s="159"/>
      <c r="AHS172" s="159"/>
      <c r="AHT172" s="159"/>
      <c r="AHU172" s="159"/>
      <c r="AHV172" s="159"/>
      <c r="AHW172" s="159"/>
      <c r="AHX172" s="159"/>
      <c r="AHY172" s="159"/>
      <c r="AHZ172" s="159"/>
      <c r="AIA172" s="159"/>
      <c r="AIB172" s="159"/>
      <c r="AIC172" s="159"/>
      <c r="AID172" s="159"/>
      <c r="AIE172" s="159"/>
      <c r="AIF172" s="159"/>
      <c r="AIG172" s="159"/>
      <c r="AIH172" s="159"/>
      <c r="AII172" s="159"/>
      <c r="AIJ172" s="159"/>
      <c r="AIK172" s="159"/>
      <c r="AIL172" s="159"/>
      <c r="AIM172" s="159"/>
      <c r="AIN172" s="159"/>
      <c r="AIO172" s="159"/>
      <c r="AIP172" s="159"/>
      <c r="AIQ172" s="159"/>
      <c r="AIR172" s="159"/>
      <c r="AIS172" s="159"/>
      <c r="AIT172" s="159"/>
      <c r="AIU172" s="159"/>
      <c r="AIV172" s="159"/>
      <c r="AIW172" s="159"/>
      <c r="AIX172" s="159"/>
      <c r="AIY172" s="159"/>
      <c r="AIZ172" s="159"/>
      <c r="AJA172" s="159"/>
      <c r="AJB172" s="159"/>
      <c r="AJC172" s="159"/>
      <c r="AJD172" s="159"/>
      <c r="AJE172" s="159"/>
      <c r="AJF172" s="159"/>
      <c r="AJG172" s="159"/>
      <c r="AJH172" s="159"/>
      <c r="AJI172" s="159"/>
      <c r="AJJ172" s="159"/>
      <c r="AJK172" s="159"/>
      <c r="AJL172" s="159"/>
      <c r="AJM172" s="159"/>
      <c r="AJN172" s="159"/>
      <c r="AJO172" s="159"/>
      <c r="AJP172" s="159"/>
      <c r="AJQ172" s="159"/>
      <c r="AJR172" s="159"/>
      <c r="AJS172" s="159"/>
      <c r="AJT172" s="159"/>
      <c r="AJU172" s="159"/>
      <c r="AJV172" s="159"/>
      <c r="AJW172" s="159"/>
      <c r="AJX172" s="159"/>
      <c r="AJY172" s="159"/>
      <c r="AJZ172" s="159"/>
      <c r="AKA172" s="159"/>
      <c r="AKB172" s="159"/>
      <c r="AKC172" s="159"/>
      <c r="AKD172" s="159"/>
      <c r="AKE172" s="159"/>
      <c r="AKF172" s="159"/>
      <c r="AKG172" s="159"/>
      <c r="AKH172" s="159"/>
      <c r="AKI172" s="159"/>
      <c r="AKJ172" s="159"/>
      <c r="AKK172" s="159"/>
      <c r="AKL172" s="159"/>
      <c r="AKM172" s="159"/>
      <c r="AKN172" s="159"/>
      <c r="AKO172" s="159"/>
      <c r="AKP172" s="159"/>
      <c r="AKQ172" s="159"/>
      <c r="AKR172" s="159"/>
      <c r="AKS172" s="159"/>
      <c r="AKT172" s="159"/>
      <c r="AKU172" s="159"/>
      <c r="AKV172" s="159"/>
      <c r="AKW172" s="159"/>
      <c r="AKX172" s="159"/>
      <c r="AKY172" s="159"/>
      <c r="AKZ172" s="159"/>
      <c r="ALA172" s="159"/>
      <c r="ALB172" s="159"/>
      <c r="ALC172" s="159"/>
      <c r="ALD172" s="159"/>
      <c r="ALE172" s="159"/>
      <c r="ALF172" s="159"/>
      <c r="ALG172" s="159"/>
      <c r="ALH172" s="159"/>
      <c r="ALI172" s="159"/>
      <c r="ALJ172" s="159"/>
      <c r="ALK172" s="159"/>
      <c r="ALL172" s="159"/>
      <c r="ALM172" s="159"/>
      <c r="ALN172" s="159"/>
      <c r="ALO172" s="159"/>
      <c r="ALP172" s="159"/>
      <c r="ALQ172" s="159"/>
      <c r="ALR172" s="159"/>
      <c r="ALS172" s="159"/>
      <c r="ALT172" s="159"/>
      <c r="ALU172" s="159"/>
      <c r="ALV172" s="159"/>
      <c r="ALW172" s="159"/>
      <c r="ALX172" s="159"/>
      <c r="ALY172" s="159"/>
      <c r="ALZ172" s="159"/>
      <c r="AMA172" s="159"/>
      <c r="AMB172" s="159"/>
      <c r="AMC172" s="159"/>
      <c r="AMD172" s="159"/>
      <c r="AME172" s="159"/>
      <c r="AMF172" s="159"/>
      <c r="AMG172" s="159"/>
      <c r="AMH172" s="159"/>
      <c r="AMI172" s="159"/>
      <c r="AMJ172" s="159"/>
      <c r="AMK172" s="159"/>
      <c r="AML172" s="159"/>
      <c r="AMM172" s="159"/>
      <c r="AMN172" s="159"/>
      <c r="AMO172" s="159"/>
    </row>
    <row r="173" spans="1:1029" s="161" customFormat="1" ht="26.25" thickBot="1" x14ac:dyDescent="0.3">
      <c r="A173" s="163">
        <v>46262</v>
      </c>
      <c r="B173" s="155" t="s">
        <v>42</v>
      </c>
      <c r="C173" s="155" t="s">
        <v>96</v>
      </c>
      <c r="D173" s="164" t="s">
        <v>13</v>
      </c>
      <c r="E173" s="154" t="s">
        <v>42</v>
      </c>
      <c r="F173" s="156" t="s">
        <v>82</v>
      </c>
      <c r="G173" s="156" t="s">
        <v>90</v>
      </c>
      <c r="H173" s="147">
        <f t="shared" si="12"/>
        <v>1</v>
      </c>
      <c r="I173" s="135" t="s">
        <v>8</v>
      </c>
      <c r="J173" s="135" t="s">
        <v>51</v>
      </c>
      <c r="K173" s="135" t="s">
        <v>13</v>
      </c>
      <c r="L173" s="147">
        <f t="shared" si="13"/>
        <v>0.5</v>
      </c>
      <c r="M173" s="135" t="s">
        <v>42</v>
      </c>
      <c r="N173" s="135" t="s">
        <v>163</v>
      </c>
      <c r="O173" s="135" t="s">
        <v>13</v>
      </c>
      <c r="P173" s="147">
        <f t="shared" si="14"/>
        <v>1.5</v>
      </c>
      <c r="Q173" s="156" t="s">
        <v>73</v>
      </c>
      <c r="R173" s="155" t="s">
        <v>36</v>
      </c>
      <c r="S173" s="155" t="s">
        <v>13</v>
      </c>
      <c r="T173" s="147">
        <f t="shared" si="15"/>
        <v>0.5</v>
      </c>
      <c r="U173" s="159"/>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59"/>
      <c r="AT173" s="159"/>
      <c r="AU173" s="159"/>
      <c r="AV173" s="159"/>
      <c r="AW173" s="159"/>
      <c r="AX173" s="159"/>
      <c r="AY173" s="159"/>
      <c r="AZ173" s="159"/>
      <c r="BA173" s="159"/>
      <c r="BB173" s="159"/>
      <c r="BC173" s="159"/>
      <c r="BD173" s="159"/>
      <c r="BE173" s="159"/>
      <c r="BF173" s="159"/>
      <c r="BG173" s="159"/>
      <c r="BH173" s="159"/>
      <c r="BI173" s="159"/>
      <c r="BJ173" s="159"/>
      <c r="BK173" s="159"/>
      <c r="BL173" s="159"/>
      <c r="BM173" s="159"/>
      <c r="BN173" s="159"/>
      <c r="BO173" s="159"/>
      <c r="BP173" s="159"/>
      <c r="BQ173" s="159"/>
      <c r="BR173" s="159"/>
      <c r="BS173" s="159"/>
      <c r="BT173" s="159"/>
      <c r="BU173" s="159"/>
      <c r="BV173" s="159"/>
      <c r="BW173" s="159"/>
      <c r="BX173" s="159"/>
      <c r="BY173" s="159"/>
      <c r="BZ173" s="159"/>
      <c r="CA173" s="159"/>
      <c r="CB173" s="159"/>
      <c r="CC173" s="159"/>
      <c r="CD173" s="159"/>
      <c r="CE173" s="159"/>
      <c r="CF173" s="159"/>
      <c r="CG173" s="159"/>
      <c r="CH173" s="159"/>
      <c r="CI173" s="159"/>
      <c r="CJ173" s="159"/>
      <c r="CK173" s="159"/>
      <c r="CL173" s="159"/>
      <c r="CM173" s="159"/>
      <c r="CN173" s="159"/>
      <c r="CO173" s="159"/>
      <c r="CP173" s="159"/>
      <c r="CQ173" s="159"/>
      <c r="CR173" s="159"/>
      <c r="CS173" s="159"/>
      <c r="CT173" s="159"/>
      <c r="CU173" s="159"/>
      <c r="CV173" s="159"/>
      <c r="CW173" s="159"/>
      <c r="CX173" s="159"/>
      <c r="CY173" s="159"/>
      <c r="CZ173" s="159"/>
      <c r="DA173" s="159"/>
      <c r="DB173" s="159"/>
      <c r="DC173" s="159"/>
      <c r="DD173" s="159"/>
      <c r="DE173" s="159"/>
      <c r="DF173" s="159"/>
      <c r="DG173" s="159"/>
      <c r="DH173" s="159"/>
      <c r="DI173" s="159"/>
      <c r="DJ173" s="159"/>
      <c r="DK173" s="159"/>
      <c r="DL173" s="159"/>
      <c r="DM173" s="159"/>
      <c r="DN173" s="159"/>
      <c r="DO173" s="159"/>
      <c r="DP173" s="159"/>
      <c r="DQ173" s="159"/>
      <c r="DR173" s="159"/>
      <c r="DS173" s="159"/>
      <c r="DT173" s="159"/>
      <c r="DU173" s="159"/>
      <c r="DV173" s="159"/>
      <c r="DW173" s="159"/>
      <c r="DX173" s="159"/>
      <c r="DY173" s="159"/>
      <c r="DZ173" s="159"/>
      <c r="EA173" s="159"/>
      <c r="EB173" s="159"/>
      <c r="EC173" s="159"/>
      <c r="ED173" s="159"/>
      <c r="EE173" s="159"/>
      <c r="EF173" s="159"/>
      <c r="EG173" s="159"/>
      <c r="EH173" s="159"/>
      <c r="EI173" s="159"/>
      <c r="EJ173" s="159"/>
      <c r="EK173" s="159"/>
      <c r="EL173" s="159"/>
      <c r="EM173" s="159"/>
      <c r="EN173" s="159"/>
      <c r="EO173" s="159"/>
      <c r="EP173" s="159"/>
      <c r="EQ173" s="159"/>
      <c r="ER173" s="159"/>
      <c r="ES173" s="159"/>
      <c r="ET173" s="159"/>
      <c r="EU173" s="159"/>
      <c r="EV173" s="159"/>
      <c r="EW173" s="159"/>
      <c r="EX173" s="159"/>
      <c r="EY173" s="159"/>
      <c r="EZ173" s="159"/>
      <c r="FA173" s="159"/>
      <c r="FB173" s="159"/>
      <c r="FC173" s="159"/>
      <c r="FD173" s="159"/>
      <c r="FE173" s="159"/>
      <c r="FF173" s="159"/>
      <c r="FG173" s="159"/>
      <c r="FH173" s="159"/>
      <c r="FI173" s="159"/>
      <c r="FJ173" s="159"/>
      <c r="FK173" s="159"/>
      <c r="FL173" s="159"/>
      <c r="FM173" s="159"/>
      <c r="FN173" s="159"/>
      <c r="FO173" s="159"/>
      <c r="FP173" s="159"/>
      <c r="FQ173" s="159"/>
      <c r="FR173" s="159"/>
      <c r="FS173" s="159"/>
      <c r="FT173" s="159"/>
      <c r="FU173" s="159"/>
      <c r="FV173" s="159"/>
      <c r="FW173" s="159"/>
      <c r="FX173" s="159"/>
      <c r="FY173" s="159"/>
      <c r="FZ173" s="159"/>
      <c r="GA173" s="159"/>
      <c r="GB173" s="159"/>
      <c r="GC173" s="159"/>
      <c r="GD173" s="159"/>
      <c r="GE173" s="159"/>
      <c r="GF173" s="159"/>
      <c r="GG173" s="159"/>
      <c r="GH173" s="159"/>
      <c r="GI173" s="159"/>
      <c r="GJ173" s="159"/>
      <c r="GK173" s="159"/>
      <c r="GL173" s="159"/>
      <c r="GM173" s="159"/>
      <c r="GN173" s="159"/>
      <c r="GO173" s="159"/>
      <c r="GP173" s="159"/>
      <c r="GQ173" s="159"/>
      <c r="GR173" s="159"/>
      <c r="GS173" s="159"/>
      <c r="GT173" s="159"/>
      <c r="GU173" s="159"/>
      <c r="GV173" s="159"/>
      <c r="GW173" s="159"/>
      <c r="GX173" s="159"/>
      <c r="GY173" s="159"/>
      <c r="GZ173" s="159"/>
      <c r="HA173" s="159"/>
      <c r="HB173" s="159"/>
      <c r="HC173" s="159"/>
      <c r="HD173" s="159"/>
      <c r="HE173" s="159"/>
      <c r="HF173" s="159"/>
      <c r="HG173" s="159"/>
      <c r="HH173" s="159"/>
      <c r="HI173" s="159"/>
      <c r="HJ173" s="159"/>
      <c r="HK173" s="159"/>
      <c r="HL173" s="159"/>
      <c r="HM173" s="159"/>
      <c r="HN173" s="159"/>
      <c r="HO173" s="159"/>
      <c r="HP173" s="159"/>
      <c r="HQ173" s="159"/>
      <c r="HR173" s="159"/>
      <c r="HS173" s="159"/>
      <c r="HT173" s="159"/>
      <c r="HU173" s="159"/>
      <c r="HV173" s="159"/>
      <c r="HW173" s="159"/>
      <c r="HX173" s="159"/>
      <c r="HY173" s="159"/>
      <c r="HZ173" s="159"/>
      <c r="IA173" s="159"/>
      <c r="IB173" s="159"/>
      <c r="IC173" s="159"/>
      <c r="ID173" s="159"/>
      <c r="IE173" s="159"/>
      <c r="IF173" s="159"/>
      <c r="IG173" s="159"/>
      <c r="IH173" s="159"/>
      <c r="II173" s="159"/>
      <c r="IJ173" s="159"/>
      <c r="IK173" s="159"/>
      <c r="IL173" s="159"/>
      <c r="IM173" s="159"/>
      <c r="IN173" s="159"/>
      <c r="IO173" s="159"/>
      <c r="IP173" s="159"/>
      <c r="IQ173" s="159"/>
      <c r="IR173" s="159"/>
      <c r="IS173" s="159"/>
      <c r="IT173" s="159"/>
      <c r="IU173" s="159"/>
      <c r="IV173" s="159"/>
      <c r="IW173" s="159"/>
      <c r="IX173" s="159"/>
      <c r="IY173" s="159"/>
      <c r="IZ173" s="159"/>
      <c r="JA173" s="159"/>
      <c r="JB173" s="159"/>
      <c r="JC173" s="159"/>
      <c r="JD173" s="159"/>
      <c r="JE173" s="159"/>
      <c r="JF173" s="159"/>
      <c r="JG173" s="159"/>
      <c r="JH173" s="159"/>
      <c r="JI173" s="159"/>
      <c r="JJ173" s="159"/>
      <c r="JK173" s="159"/>
      <c r="JL173" s="159"/>
      <c r="JM173" s="159"/>
      <c r="JN173" s="159"/>
      <c r="JO173" s="159"/>
      <c r="JP173" s="159"/>
      <c r="JQ173" s="159"/>
      <c r="JR173" s="159"/>
      <c r="JS173" s="159"/>
      <c r="JT173" s="159"/>
      <c r="JU173" s="159"/>
      <c r="JV173" s="159"/>
      <c r="JW173" s="159"/>
      <c r="JX173" s="159"/>
      <c r="JY173" s="159"/>
      <c r="JZ173" s="159"/>
      <c r="KA173" s="159"/>
      <c r="KB173" s="159"/>
      <c r="KC173" s="159"/>
      <c r="KD173" s="159"/>
      <c r="KE173" s="159"/>
      <c r="KF173" s="159"/>
      <c r="KG173" s="159"/>
      <c r="KH173" s="159"/>
      <c r="KI173" s="159"/>
      <c r="KJ173" s="159"/>
      <c r="KK173" s="159"/>
      <c r="KL173" s="159"/>
      <c r="KM173" s="159"/>
      <c r="KN173" s="159"/>
      <c r="KO173" s="159"/>
      <c r="KP173" s="159"/>
      <c r="KQ173" s="159"/>
      <c r="KR173" s="159"/>
      <c r="KS173" s="159"/>
      <c r="KT173" s="159"/>
      <c r="KU173" s="159"/>
      <c r="KV173" s="159"/>
      <c r="KW173" s="159"/>
      <c r="KX173" s="159"/>
      <c r="KY173" s="159"/>
      <c r="KZ173" s="159"/>
      <c r="LA173" s="159"/>
      <c r="LB173" s="159"/>
      <c r="LC173" s="159"/>
      <c r="LD173" s="159"/>
      <c r="LE173" s="159"/>
      <c r="LF173" s="159"/>
      <c r="LG173" s="159"/>
      <c r="LH173" s="159"/>
      <c r="LI173" s="159"/>
      <c r="LJ173" s="159"/>
      <c r="LK173" s="159"/>
      <c r="LL173" s="159"/>
      <c r="LM173" s="159"/>
      <c r="LN173" s="159"/>
      <c r="LO173" s="159"/>
      <c r="LP173" s="159"/>
      <c r="LQ173" s="159"/>
      <c r="LR173" s="159"/>
      <c r="LS173" s="159"/>
      <c r="LT173" s="159"/>
      <c r="LU173" s="159"/>
      <c r="LV173" s="159"/>
      <c r="LW173" s="159"/>
      <c r="LX173" s="159"/>
      <c r="LY173" s="159"/>
      <c r="LZ173" s="159"/>
      <c r="MA173" s="159"/>
      <c r="MB173" s="159"/>
      <c r="MC173" s="159"/>
      <c r="MD173" s="159"/>
      <c r="ME173" s="159"/>
      <c r="MF173" s="159"/>
      <c r="MG173" s="159"/>
      <c r="MH173" s="159"/>
      <c r="MI173" s="159"/>
      <c r="MJ173" s="159"/>
      <c r="MK173" s="159"/>
      <c r="ML173" s="159"/>
      <c r="MM173" s="159"/>
      <c r="MN173" s="159"/>
      <c r="MO173" s="159"/>
      <c r="MP173" s="159"/>
      <c r="MQ173" s="159"/>
      <c r="MR173" s="159"/>
      <c r="MS173" s="159"/>
      <c r="MT173" s="159"/>
      <c r="MU173" s="159"/>
      <c r="MV173" s="159"/>
      <c r="MW173" s="159"/>
      <c r="MX173" s="159"/>
      <c r="MY173" s="159"/>
      <c r="MZ173" s="159"/>
      <c r="NA173" s="159"/>
      <c r="NB173" s="159"/>
      <c r="NC173" s="159"/>
      <c r="ND173" s="159"/>
      <c r="NE173" s="159"/>
      <c r="NF173" s="159"/>
      <c r="NG173" s="159"/>
      <c r="NH173" s="159"/>
      <c r="NI173" s="159"/>
      <c r="NJ173" s="159"/>
      <c r="NK173" s="159"/>
      <c r="NL173" s="159"/>
      <c r="NM173" s="159"/>
      <c r="NN173" s="159"/>
      <c r="NO173" s="159"/>
      <c r="NP173" s="159"/>
      <c r="NQ173" s="159"/>
      <c r="NR173" s="159"/>
      <c r="NS173" s="159"/>
      <c r="NT173" s="159"/>
      <c r="NU173" s="159"/>
      <c r="NV173" s="159"/>
      <c r="NW173" s="159"/>
      <c r="NX173" s="159"/>
      <c r="NY173" s="159"/>
      <c r="NZ173" s="159"/>
      <c r="OA173" s="159"/>
      <c r="OB173" s="159"/>
      <c r="OC173" s="159"/>
      <c r="OD173" s="159"/>
      <c r="OE173" s="159"/>
      <c r="OF173" s="159"/>
      <c r="OG173" s="159"/>
      <c r="OH173" s="159"/>
      <c r="OI173" s="159"/>
      <c r="OJ173" s="159"/>
      <c r="OK173" s="159"/>
      <c r="OL173" s="159"/>
      <c r="OM173" s="159"/>
      <c r="ON173" s="159"/>
      <c r="OO173" s="159"/>
      <c r="OP173" s="159"/>
      <c r="OQ173" s="159"/>
      <c r="OR173" s="159"/>
      <c r="OS173" s="159"/>
      <c r="OT173" s="159"/>
      <c r="OU173" s="159"/>
      <c r="OV173" s="159"/>
      <c r="OW173" s="159"/>
      <c r="OX173" s="159"/>
      <c r="OY173" s="159"/>
      <c r="OZ173" s="159"/>
      <c r="PA173" s="159"/>
      <c r="PB173" s="159"/>
      <c r="PC173" s="159"/>
      <c r="PD173" s="159"/>
      <c r="PE173" s="159"/>
      <c r="PF173" s="159"/>
      <c r="PG173" s="159"/>
      <c r="PH173" s="159"/>
      <c r="PI173" s="159"/>
      <c r="PJ173" s="159"/>
      <c r="PK173" s="159"/>
      <c r="PL173" s="159"/>
      <c r="PM173" s="159"/>
      <c r="PN173" s="159"/>
      <c r="PO173" s="159"/>
      <c r="PP173" s="159"/>
      <c r="PQ173" s="159"/>
      <c r="PR173" s="159"/>
      <c r="PS173" s="159"/>
      <c r="PT173" s="159"/>
      <c r="PU173" s="159"/>
      <c r="PV173" s="159"/>
      <c r="PW173" s="159"/>
      <c r="PX173" s="159"/>
      <c r="PY173" s="159"/>
      <c r="PZ173" s="159"/>
      <c r="QA173" s="159"/>
      <c r="QB173" s="159"/>
      <c r="QC173" s="159"/>
      <c r="QD173" s="159"/>
      <c r="QE173" s="159"/>
      <c r="QF173" s="159"/>
      <c r="QG173" s="159"/>
      <c r="QH173" s="159"/>
      <c r="QI173" s="159"/>
      <c r="QJ173" s="159"/>
      <c r="QK173" s="159"/>
      <c r="QL173" s="159"/>
      <c r="QM173" s="159"/>
      <c r="QN173" s="159"/>
      <c r="QO173" s="159"/>
      <c r="QP173" s="159"/>
      <c r="QQ173" s="159"/>
      <c r="QR173" s="159"/>
      <c r="QS173" s="159"/>
      <c r="QT173" s="159"/>
      <c r="QU173" s="159"/>
      <c r="QV173" s="159"/>
      <c r="QW173" s="159"/>
      <c r="QX173" s="159"/>
      <c r="QY173" s="159"/>
      <c r="QZ173" s="159"/>
      <c r="RA173" s="159"/>
      <c r="RB173" s="159"/>
      <c r="RC173" s="159"/>
      <c r="RD173" s="159"/>
      <c r="RE173" s="159"/>
      <c r="RF173" s="159"/>
      <c r="RG173" s="159"/>
      <c r="RH173" s="159"/>
      <c r="RI173" s="159"/>
      <c r="RJ173" s="159"/>
      <c r="RK173" s="159"/>
      <c r="RL173" s="159"/>
      <c r="RM173" s="159"/>
      <c r="RN173" s="159"/>
      <c r="RO173" s="159"/>
      <c r="RP173" s="159"/>
      <c r="RQ173" s="159"/>
      <c r="RR173" s="159"/>
      <c r="RS173" s="159"/>
      <c r="RT173" s="159"/>
      <c r="RU173" s="159"/>
      <c r="RV173" s="159"/>
      <c r="RW173" s="159"/>
      <c r="RX173" s="159"/>
      <c r="RY173" s="159"/>
      <c r="RZ173" s="159"/>
      <c r="SA173" s="159"/>
      <c r="SB173" s="159"/>
      <c r="SC173" s="159"/>
      <c r="SD173" s="159"/>
      <c r="SE173" s="159"/>
      <c r="SF173" s="159"/>
      <c r="SG173" s="159"/>
      <c r="SH173" s="159"/>
      <c r="SI173" s="159"/>
      <c r="SJ173" s="159"/>
      <c r="SK173" s="159"/>
      <c r="SL173" s="159"/>
      <c r="SM173" s="159"/>
      <c r="SN173" s="159"/>
      <c r="SO173" s="159"/>
      <c r="SP173" s="159"/>
      <c r="SQ173" s="159"/>
      <c r="SR173" s="159"/>
      <c r="SS173" s="159"/>
      <c r="ST173" s="159"/>
      <c r="SU173" s="159"/>
      <c r="SV173" s="159"/>
      <c r="SW173" s="159"/>
      <c r="SX173" s="159"/>
      <c r="SY173" s="159"/>
      <c r="SZ173" s="159"/>
      <c r="TA173" s="159"/>
      <c r="TB173" s="159"/>
      <c r="TC173" s="159"/>
      <c r="TD173" s="159"/>
      <c r="TE173" s="159"/>
      <c r="TF173" s="159"/>
      <c r="TG173" s="159"/>
      <c r="TH173" s="159"/>
      <c r="TI173" s="159"/>
      <c r="TJ173" s="159"/>
      <c r="TK173" s="159"/>
      <c r="TL173" s="159"/>
      <c r="TM173" s="159"/>
      <c r="TN173" s="159"/>
      <c r="TO173" s="159"/>
      <c r="TP173" s="159"/>
      <c r="TQ173" s="159"/>
      <c r="TR173" s="159"/>
      <c r="TS173" s="159"/>
      <c r="TT173" s="159"/>
      <c r="TU173" s="159"/>
      <c r="TV173" s="159"/>
      <c r="TW173" s="159"/>
      <c r="TX173" s="159"/>
      <c r="TY173" s="159"/>
      <c r="TZ173" s="159"/>
      <c r="UA173" s="159"/>
      <c r="UB173" s="159"/>
      <c r="UC173" s="159"/>
      <c r="UD173" s="159"/>
      <c r="UE173" s="159"/>
      <c r="UF173" s="159"/>
      <c r="UG173" s="159"/>
      <c r="UH173" s="159"/>
      <c r="UI173" s="159"/>
      <c r="UJ173" s="159"/>
      <c r="UK173" s="159"/>
      <c r="UL173" s="159"/>
      <c r="UM173" s="159"/>
      <c r="UN173" s="159"/>
      <c r="UO173" s="159"/>
      <c r="UP173" s="159"/>
      <c r="UQ173" s="159"/>
      <c r="UR173" s="159"/>
      <c r="US173" s="159"/>
      <c r="UT173" s="159"/>
      <c r="UU173" s="159"/>
      <c r="UV173" s="159"/>
      <c r="UW173" s="159"/>
      <c r="UX173" s="159"/>
      <c r="UY173" s="159"/>
      <c r="UZ173" s="159"/>
      <c r="VA173" s="159"/>
      <c r="VB173" s="159"/>
      <c r="VC173" s="159"/>
      <c r="VD173" s="159"/>
      <c r="VE173" s="159"/>
      <c r="VF173" s="159"/>
      <c r="VG173" s="159"/>
      <c r="VH173" s="159"/>
      <c r="VI173" s="159"/>
      <c r="VJ173" s="159"/>
      <c r="VK173" s="159"/>
      <c r="VL173" s="159"/>
      <c r="VM173" s="159"/>
      <c r="VN173" s="159"/>
      <c r="VO173" s="159"/>
      <c r="VP173" s="159"/>
      <c r="VQ173" s="159"/>
      <c r="VR173" s="159"/>
      <c r="VS173" s="159"/>
      <c r="VT173" s="159"/>
      <c r="VU173" s="159"/>
      <c r="VV173" s="159"/>
      <c r="VW173" s="159"/>
      <c r="VX173" s="159"/>
      <c r="VY173" s="159"/>
      <c r="VZ173" s="159"/>
      <c r="WA173" s="159"/>
      <c r="WB173" s="159"/>
      <c r="WC173" s="159"/>
      <c r="WD173" s="159"/>
      <c r="WE173" s="159"/>
      <c r="WF173" s="159"/>
      <c r="WG173" s="159"/>
      <c r="WH173" s="159"/>
      <c r="WI173" s="159"/>
      <c r="WJ173" s="159"/>
      <c r="WK173" s="159"/>
      <c r="WL173" s="159"/>
      <c r="WM173" s="159"/>
      <c r="WN173" s="159"/>
      <c r="WO173" s="159"/>
      <c r="WP173" s="159"/>
      <c r="WQ173" s="159"/>
      <c r="WR173" s="159"/>
      <c r="WS173" s="159"/>
      <c r="WT173" s="159"/>
      <c r="WU173" s="159"/>
      <c r="WV173" s="159"/>
      <c r="WW173" s="159"/>
      <c r="WX173" s="159"/>
      <c r="WY173" s="159"/>
      <c r="WZ173" s="159"/>
      <c r="XA173" s="159"/>
      <c r="XB173" s="159"/>
      <c r="XC173" s="159"/>
      <c r="XD173" s="159"/>
      <c r="XE173" s="159"/>
      <c r="XF173" s="159"/>
      <c r="XG173" s="159"/>
      <c r="XH173" s="159"/>
      <c r="XI173" s="159"/>
      <c r="XJ173" s="159"/>
      <c r="XK173" s="159"/>
      <c r="XL173" s="159"/>
      <c r="XM173" s="159"/>
      <c r="XN173" s="159"/>
      <c r="XO173" s="159"/>
      <c r="XP173" s="159"/>
      <c r="XQ173" s="159"/>
      <c r="XR173" s="159"/>
      <c r="XS173" s="159"/>
      <c r="XT173" s="159"/>
      <c r="XU173" s="159"/>
      <c r="XV173" s="159"/>
      <c r="XW173" s="159"/>
      <c r="XX173" s="159"/>
      <c r="XY173" s="159"/>
      <c r="XZ173" s="159"/>
      <c r="YA173" s="159"/>
      <c r="YB173" s="159"/>
      <c r="YC173" s="159"/>
      <c r="YD173" s="159"/>
      <c r="YE173" s="159"/>
      <c r="YF173" s="159"/>
      <c r="YG173" s="159"/>
      <c r="YH173" s="159"/>
      <c r="YI173" s="159"/>
      <c r="YJ173" s="159"/>
      <c r="YK173" s="159"/>
      <c r="YL173" s="159"/>
      <c r="YM173" s="159"/>
      <c r="YN173" s="159"/>
      <c r="YO173" s="159"/>
      <c r="YP173" s="159"/>
      <c r="YQ173" s="159"/>
      <c r="YR173" s="159"/>
      <c r="YS173" s="159"/>
      <c r="YT173" s="159"/>
      <c r="YU173" s="159"/>
      <c r="YV173" s="159"/>
      <c r="YW173" s="159"/>
      <c r="YX173" s="159"/>
      <c r="YY173" s="159"/>
      <c r="YZ173" s="159"/>
      <c r="ZA173" s="159"/>
      <c r="ZB173" s="159"/>
      <c r="ZC173" s="159"/>
      <c r="ZD173" s="159"/>
      <c r="ZE173" s="159"/>
      <c r="ZF173" s="159"/>
      <c r="ZG173" s="159"/>
      <c r="ZH173" s="159"/>
      <c r="ZI173" s="159"/>
      <c r="ZJ173" s="159"/>
      <c r="ZK173" s="159"/>
      <c r="ZL173" s="159"/>
      <c r="ZM173" s="159"/>
      <c r="ZN173" s="159"/>
      <c r="ZO173" s="159"/>
      <c r="ZP173" s="159"/>
      <c r="ZQ173" s="159"/>
      <c r="ZR173" s="159"/>
      <c r="ZS173" s="159"/>
      <c r="ZT173" s="159"/>
      <c r="ZU173" s="159"/>
      <c r="ZV173" s="159"/>
      <c r="ZW173" s="159"/>
      <c r="ZX173" s="159"/>
      <c r="ZY173" s="159"/>
      <c r="ZZ173" s="159"/>
      <c r="AAA173" s="159"/>
      <c r="AAB173" s="159"/>
      <c r="AAC173" s="159"/>
      <c r="AAD173" s="159"/>
      <c r="AAE173" s="159"/>
      <c r="AAF173" s="159"/>
      <c r="AAG173" s="159"/>
      <c r="AAH173" s="159"/>
      <c r="AAI173" s="159"/>
      <c r="AAJ173" s="159"/>
      <c r="AAK173" s="159"/>
      <c r="AAL173" s="159"/>
      <c r="AAM173" s="159"/>
      <c r="AAN173" s="159"/>
      <c r="AAO173" s="159"/>
      <c r="AAP173" s="159"/>
      <c r="AAQ173" s="159"/>
      <c r="AAR173" s="159"/>
      <c r="AAS173" s="159"/>
      <c r="AAT173" s="159"/>
      <c r="AAU173" s="159"/>
      <c r="AAV173" s="159"/>
      <c r="AAW173" s="159"/>
      <c r="AAX173" s="159"/>
      <c r="AAY173" s="159"/>
      <c r="AAZ173" s="159"/>
      <c r="ABA173" s="159"/>
      <c r="ABB173" s="159"/>
      <c r="ABC173" s="159"/>
      <c r="ABD173" s="159"/>
      <c r="ABE173" s="159"/>
      <c r="ABF173" s="159"/>
      <c r="ABG173" s="159"/>
      <c r="ABH173" s="159"/>
      <c r="ABI173" s="159"/>
      <c r="ABJ173" s="159"/>
      <c r="ABK173" s="159"/>
      <c r="ABL173" s="159"/>
      <c r="ABM173" s="159"/>
      <c r="ABN173" s="159"/>
      <c r="ABO173" s="159"/>
      <c r="ABP173" s="159"/>
      <c r="ABQ173" s="159"/>
      <c r="ABR173" s="159"/>
      <c r="ABS173" s="159"/>
      <c r="ABT173" s="159"/>
      <c r="ABU173" s="159"/>
      <c r="ABV173" s="159"/>
      <c r="ABW173" s="159"/>
      <c r="ABX173" s="159"/>
      <c r="ABY173" s="159"/>
      <c r="ABZ173" s="159"/>
      <c r="ACA173" s="159"/>
      <c r="ACB173" s="159"/>
      <c r="ACC173" s="159"/>
      <c r="ACD173" s="159"/>
      <c r="ACE173" s="159"/>
      <c r="ACF173" s="159"/>
      <c r="ACG173" s="159"/>
      <c r="ACH173" s="159"/>
      <c r="ACI173" s="159"/>
      <c r="ACJ173" s="159"/>
      <c r="ACK173" s="159"/>
      <c r="ACL173" s="159"/>
      <c r="ACM173" s="159"/>
      <c r="ACN173" s="159"/>
      <c r="ACO173" s="159"/>
      <c r="ACP173" s="159"/>
      <c r="ACQ173" s="159"/>
      <c r="ACR173" s="159"/>
      <c r="ACS173" s="159"/>
      <c r="ACT173" s="159"/>
      <c r="ACU173" s="159"/>
      <c r="ACV173" s="159"/>
      <c r="ACW173" s="159"/>
      <c r="ACX173" s="159"/>
      <c r="ACY173" s="159"/>
      <c r="ACZ173" s="159"/>
      <c r="ADA173" s="159"/>
      <c r="ADB173" s="159"/>
      <c r="ADC173" s="159"/>
      <c r="ADD173" s="159"/>
      <c r="ADE173" s="159"/>
      <c r="ADF173" s="159"/>
      <c r="ADG173" s="159"/>
      <c r="ADH173" s="159"/>
      <c r="ADI173" s="159"/>
      <c r="ADJ173" s="159"/>
      <c r="ADK173" s="159"/>
      <c r="ADL173" s="159"/>
      <c r="ADM173" s="159"/>
      <c r="ADN173" s="159"/>
      <c r="ADO173" s="159"/>
      <c r="ADP173" s="159"/>
      <c r="ADQ173" s="159"/>
      <c r="ADR173" s="159"/>
      <c r="ADS173" s="159"/>
      <c r="ADT173" s="159"/>
      <c r="ADU173" s="159"/>
      <c r="ADV173" s="159"/>
      <c r="ADW173" s="159"/>
      <c r="ADX173" s="159"/>
      <c r="ADY173" s="159"/>
      <c r="ADZ173" s="159"/>
      <c r="AEA173" s="159"/>
      <c r="AEB173" s="159"/>
      <c r="AEC173" s="159"/>
      <c r="AED173" s="159"/>
      <c r="AEE173" s="159"/>
      <c r="AEF173" s="159"/>
      <c r="AEG173" s="159"/>
      <c r="AEH173" s="159"/>
      <c r="AEI173" s="159"/>
      <c r="AEJ173" s="159"/>
      <c r="AEK173" s="159"/>
      <c r="AEL173" s="159"/>
      <c r="AEM173" s="159"/>
      <c r="AEN173" s="159"/>
      <c r="AEO173" s="159"/>
      <c r="AEP173" s="159"/>
      <c r="AEQ173" s="159"/>
      <c r="AER173" s="159"/>
      <c r="AES173" s="159"/>
      <c r="AET173" s="159"/>
      <c r="AEU173" s="159"/>
      <c r="AEV173" s="159"/>
      <c r="AEW173" s="159"/>
      <c r="AEX173" s="159"/>
      <c r="AEY173" s="159"/>
      <c r="AEZ173" s="159"/>
      <c r="AFA173" s="159"/>
      <c r="AFB173" s="159"/>
      <c r="AFC173" s="159"/>
      <c r="AFD173" s="159"/>
      <c r="AFE173" s="159"/>
      <c r="AFF173" s="159"/>
      <c r="AFG173" s="159"/>
      <c r="AFH173" s="159"/>
      <c r="AFI173" s="159"/>
      <c r="AFJ173" s="159"/>
      <c r="AFK173" s="159"/>
      <c r="AFL173" s="159"/>
      <c r="AFM173" s="159"/>
      <c r="AFN173" s="159"/>
      <c r="AFO173" s="159"/>
      <c r="AFP173" s="159"/>
      <c r="AFQ173" s="159"/>
      <c r="AFR173" s="159"/>
      <c r="AFS173" s="159"/>
      <c r="AFT173" s="159"/>
      <c r="AFU173" s="159"/>
      <c r="AFV173" s="159"/>
      <c r="AFW173" s="159"/>
      <c r="AFX173" s="159"/>
      <c r="AFY173" s="159"/>
      <c r="AFZ173" s="159"/>
      <c r="AGA173" s="159"/>
      <c r="AGB173" s="159"/>
      <c r="AGC173" s="159"/>
      <c r="AGD173" s="159"/>
      <c r="AGE173" s="159"/>
      <c r="AGF173" s="159"/>
      <c r="AGG173" s="159"/>
      <c r="AGH173" s="159"/>
      <c r="AGI173" s="159"/>
      <c r="AGJ173" s="159"/>
      <c r="AGK173" s="159"/>
      <c r="AGL173" s="159"/>
      <c r="AGM173" s="159"/>
      <c r="AGN173" s="159"/>
      <c r="AGO173" s="159"/>
      <c r="AGP173" s="159"/>
      <c r="AGQ173" s="159"/>
      <c r="AGR173" s="159"/>
      <c r="AGS173" s="159"/>
      <c r="AGT173" s="159"/>
      <c r="AGU173" s="159"/>
      <c r="AGV173" s="159"/>
      <c r="AGW173" s="159"/>
      <c r="AGX173" s="159"/>
      <c r="AGY173" s="159"/>
      <c r="AGZ173" s="159"/>
      <c r="AHA173" s="159"/>
      <c r="AHB173" s="159"/>
      <c r="AHC173" s="159"/>
      <c r="AHD173" s="159"/>
      <c r="AHE173" s="159"/>
      <c r="AHF173" s="159"/>
      <c r="AHG173" s="159"/>
      <c r="AHH173" s="159"/>
      <c r="AHI173" s="159"/>
      <c r="AHJ173" s="159"/>
      <c r="AHK173" s="159"/>
      <c r="AHL173" s="159"/>
      <c r="AHM173" s="159"/>
      <c r="AHN173" s="159"/>
      <c r="AHO173" s="159"/>
      <c r="AHP173" s="159"/>
      <c r="AHQ173" s="159"/>
      <c r="AHR173" s="159"/>
      <c r="AHS173" s="159"/>
      <c r="AHT173" s="159"/>
      <c r="AHU173" s="159"/>
      <c r="AHV173" s="159"/>
      <c r="AHW173" s="159"/>
      <c r="AHX173" s="159"/>
      <c r="AHY173" s="159"/>
      <c r="AHZ173" s="159"/>
      <c r="AIA173" s="159"/>
      <c r="AIB173" s="159"/>
      <c r="AIC173" s="159"/>
      <c r="AID173" s="159"/>
      <c r="AIE173" s="159"/>
      <c r="AIF173" s="159"/>
      <c r="AIG173" s="159"/>
      <c r="AIH173" s="159"/>
      <c r="AII173" s="159"/>
      <c r="AIJ173" s="159"/>
      <c r="AIK173" s="159"/>
      <c r="AIL173" s="159"/>
      <c r="AIM173" s="159"/>
      <c r="AIN173" s="159"/>
      <c r="AIO173" s="159"/>
      <c r="AIP173" s="159"/>
      <c r="AIQ173" s="159"/>
      <c r="AIR173" s="159"/>
      <c r="AIS173" s="159"/>
      <c r="AIT173" s="159"/>
      <c r="AIU173" s="159"/>
      <c r="AIV173" s="159"/>
      <c r="AIW173" s="159"/>
      <c r="AIX173" s="159"/>
      <c r="AIY173" s="159"/>
      <c r="AIZ173" s="159"/>
      <c r="AJA173" s="159"/>
      <c r="AJB173" s="159"/>
      <c r="AJC173" s="159"/>
      <c r="AJD173" s="159"/>
      <c r="AJE173" s="159"/>
      <c r="AJF173" s="159"/>
      <c r="AJG173" s="159"/>
      <c r="AJH173" s="159"/>
      <c r="AJI173" s="159"/>
      <c r="AJJ173" s="159"/>
      <c r="AJK173" s="159"/>
      <c r="AJL173" s="159"/>
      <c r="AJM173" s="159"/>
      <c r="AJN173" s="159"/>
      <c r="AJO173" s="159"/>
      <c r="AJP173" s="159"/>
      <c r="AJQ173" s="159"/>
      <c r="AJR173" s="159"/>
      <c r="AJS173" s="159"/>
      <c r="AJT173" s="159"/>
      <c r="AJU173" s="159"/>
      <c r="AJV173" s="159"/>
      <c r="AJW173" s="159"/>
      <c r="AJX173" s="159"/>
      <c r="AJY173" s="159"/>
      <c r="AJZ173" s="159"/>
      <c r="AKA173" s="159"/>
      <c r="AKB173" s="159"/>
      <c r="AKC173" s="159"/>
      <c r="AKD173" s="159"/>
      <c r="AKE173" s="159"/>
      <c r="AKF173" s="159"/>
      <c r="AKG173" s="159"/>
      <c r="AKH173" s="159"/>
      <c r="AKI173" s="159"/>
      <c r="AKJ173" s="159"/>
      <c r="AKK173" s="159"/>
      <c r="AKL173" s="159"/>
      <c r="AKM173" s="159"/>
      <c r="AKN173" s="159"/>
      <c r="AKO173" s="159"/>
      <c r="AKP173" s="159"/>
      <c r="AKQ173" s="159"/>
      <c r="AKR173" s="159"/>
      <c r="AKS173" s="159"/>
      <c r="AKT173" s="159"/>
      <c r="AKU173" s="159"/>
      <c r="AKV173" s="159"/>
      <c r="AKW173" s="159"/>
      <c r="AKX173" s="159"/>
      <c r="AKY173" s="159"/>
      <c r="AKZ173" s="159"/>
      <c r="ALA173" s="159"/>
      <c r="ALB173" s="159"/>
      <c r="ALC173" s="159"/>
      <c r="ALD173" s="159"/>
      <c r="ALE173" s="159"/>
      <c r="ALF173" s="159"/>
      <c r="ALG173" s="159"/>
      <c r="ALH173" s="159"/>
      <c r="ALI173" s="159"/>
      <c r="ALJ173" s="159"/>
      <c r="ALK173" s="159"/>
      <c r="ALL173" s="159"/>
      <c r="ALM173" s="159"/>
      <c r="ALN173" s="159"/>
      <c r="ALO173" s="159"/>
      <c r="ALP173" s="159"/>
      <c r="ALQ173" s="159"/>
      <c r="ALR173" s="159"/>
      <c r="ALS173" s="159"/>
      <c r="ALT173" s="159"/>
      <c r="ALU173" s="159"/>
      <c r="ALV173" s="159"/>
      <c r="ALW173" s="159"/>
      <c r="ALX173" s="159"/>
      <c r="ALY173" s="159"/>
      <c r="ALZ173" s="159"/>
      <c r="AMA173" s="159"/>
      <c r="AMB173" s="159"/>
      <c r="AMC173" s="159"/>
      <c r="AMD173" s="159"/>
      <c r="AME173" s="159"/>
      <c r="AMF173" s="159"/>
      <c r="AMG173" s="159"/>
      <c r="AMH173" s="159"/>
      <c r="AMI173" s="159"/>
      <c r="AMJ173" s="159"/>
      <c r="AMK173" s="159"/>
      <c r="AML173" s="159"/>
      <c r="AMM173" s="159"/>
      <c r="AMN173" s="159"/>
      <c r="AMO173" s="159"/>
    </row>
    <row r="174" spans="1:1029" s="161" customFormat="1" ht="26.25" thickTop="1" x14ac:dyDescent="0.25">
      <c r="A174" s="170">
        <v>46265</v>
      </c>
      <c r="B174" s="100" t="s">
        <v>113</v>
      </c>
      <c r="C174" s="100" t="s">
        <v>130</v>
      </c>
      <c r="D174" s="171" t="s">
        <v>21</v>
      </c>
      <c r="E174" s="122" t="s">
        <v>105</v>
      </c>
      <c r="F174" s="123" t="s">
        <v>130</v>
      </c>
      <c r="G174" s="123" t="s">
        <v>13</v>
      </c>
      <c r="H174" s="143">
        <f t="shared" si="12"/>
        <v>0.5</v>
      </c>
      <c r="I174" s="122" t="s">
        <v>19</v>
      </c>
      <c r="J174" s="123" t="s">
        <v>130</v>
      </c>
      <c r="K174" s="123" t="s">
        <v>21</v>
      </c>
      <c r="L174" s="143">
        <f t="shared" si="13"/>
        <v>1</v>
      </c>
      <c r="M174" s="123" t="s">
        <v>19</v>
      </c>
      <c r="N174" s="123" t="s">
        <v>130</v>
      </c>
      <c r="O174" s="123" t="s">
        <v>21</v>
      </c>
      <c r="P174" s="143">
        <f t="shared" si="14"/>
        <v>1</v>
      </c>
      <c r="Q174" s="123" t="s">
        <v>113</v>
      </c>
      <c r="R174" s="100" t="s">
        <v>281</v>
      </c>
      <c r="S174" s="100" t="s">
        <v>21</v>
      </c>
      <c r="T174" s="143">
        <f t="shared" si="15"/>
        <v>1.5</v>
      </c>
      <c r="U174" s="159"/>
      <c r="V174" s="159"/>
      <c r="W174" s="159"/>
      <c r="X174" s="159"/>
      <c r="Y174" s="159"/>
      <c r="Z174" s="159"/>
      <c r="AA174" s="159"/>
      <c r="AB174" s="159"/>
      <c r="AC174" s="159"/>
      <c r="AD174" s="159"/>
      <c r="AE174" s="159"/>
      <c r="AF174" s="159"/>
      <c r="AG174" s="159"/>
      <c r="AH174" s="159"/>
      <c r="AI174" s="159"/>
      <c r="AJ174" s="159"/>
      <c r="AK174" s="159"/>
      <c r="AL174" s="159"/>
      <c r="AM174" s="159"/>
      <c r="AN174" s="159"/>
      <c r="AO174" s="159"/>
      <c r="AP174" s="159"/>
      <c r="AQ174" s="159"/>
      <c r="AR174" s="159"/>
      <c r="AS174" s="159"/>
      <c r="AT174" s="159"/>
      <c r="AU174" s="159"/>
      <c r="AV174" s="159"/>
      <c r="AW174" s="159"/>
      <c r="AX174" s="159"/>
      <c r="AY174" s="159"/>
      <c r="AZ174" s="159"/>
      <c r="BA174" s="159"/>
      <c r="BB174" s="159"/>
      <c r="BC174" s="159"/>
      <c r="BD174" s="159"/>
      <c r="BE174" s="159"/>
      <c r="BF174" s="159"/>
      <c r="BG174" s="159"/>
      <c r="BH174" s="159"/>
      <c r="BI174" s="159"/>
      <c r="BJ174" s="159"/>
      <c r="BK174" s="159"/>
      <c r="BL174" s="159"/>
      <c r="BM174" s="159"/>
      <c r="BN174" s="159"/>
      <c r="BO174" s="159"/>
      <c r="BP174" s="159"/>
      <c r="BQ174" s="159"/>
      <c r="BR174" s="159"/>
      <c r="BS174" s="159"/>
      <c r="BT174" s="159"/>
      <c r="BU174" s="159"/>
      <c r="BV174" s="159"/>
      <c r="BW174" s="159"/>
      <c r="BX174" s="159"/>
      <c r="BY174" s="159"/>
      <c r="BZ174" s="159"/>
      <c r="CA174" s="159"/>
      <c r="CB174" s="159"/>
      <c r="CC174" s="159"/>
      <c r="CD174" s="159"/>
      <c r="CE174" s="159"/>
      <c r="CF174" s="159"/>
      <c r="CG174" s="159"/>
      <c r="CH174" s="159"/>
      <c r="CI174" s="159"/>
      <c r="CJ174" s="159"/>
      <c r="CK174" s="159"/>
      <c r="CL174" s="159"/>
      <c r="CM174" s="159"/>
      <c r="CN174" s="159"/>
      <c r="CO174" s="159"/>
      <c r="CP174" s="159"/>
      <c r="CQ174" s="159"/>
      <c r="CR174" s="159"/>
      <c r="CS174" s="159"/>
      <c r="CT174" s="159"/>
      <c r="CU174" s="159"/>
      <c r="CV174" s="159"/>
      <c r="CW174" s="159"/>
      <c r="CX174" s="159"/>
      <c r="CY174" s="159"/>
      <c r="CZ174" s="159"/>
      <c r="DA174" s="159"/>
      <c r="DB174" s="159"/>
      <c r="DC174" s="159"/>
      <c r="DD174" s="159"/>
      <c r="DE174" s="159"/>
      <c r="DF174" s="159"/>
      <c r="DG174" s="159"/>
      <c r="DH174" s="159"/>
      <c r="DI174" s="159"/>
      <c r="DJ174" s="159"/>
      <c r="DK174" s="159"/>
      <c r="DL174" s="159"/>
      <c r="DM174" s="159"/>
      <c r="DN174" s="159"/>
      <c r="DO174" s="159"/>
      <c r="DP174" s="159"/>
      <c r="DQ174" s="159"/>
      <c r="DR174" s="159"/>
      <c r="DS174" s="159"/>
      <c r="DT174" s="159"/>
      <c r="DU174" s="159"/>
      <c r="DV174" s="159"/>
      <c r="DW174" s="159"/>
      <c r="DX174" s="159"/>
      <c r="DY174" s="159"/>
      <c r="DZ174" s="159"/>
      <c r="EA174" s="159"/>
      <c r="EB174" s="159"/>
      <c r="EC174" s="159"/>
      <c r="ED174" s="159"/>
      <c r="EE174" s="159"/>
      <c r="EF174" s="159"/>
      <c r="EG174" s="159"/>
      <c r="EH174" s="159"/>
      <c r="EI174" s="159"/>
      <c r="EJ174" s="159"/>
      <c r="EK174" s="159"/>
      <c r="EL174" s="159"/>
      <c r="EM174" s="159"/>
      <c r="EN174" s="159"/>
      <c r="EO174" s="159"/>
      <c r="EP174" s="159"/>
      <c r="EQ174" s="159"/>
      <c r="ER174" s="159"/>
      <c r="ES174" s="159"/>
      <c r="ET174" s="159"/>
      <c r="EU174" s="159"/>
      <c r="EV174" s="159"/>
      <c r="EW174" s="159"/>
      <c r="EX174" s="159"/>
      <c r="EY174" s="159"/>
      <c r="EZ174" s="159"/>
      <c r="FA174" s="159"/>
      <c r="FB174" s="159"/>
      <c r="FC174" s="159"/>
      <c r="FD174" s="159"/>
      <c r="FE174" s="159"/>
      <c r="FF174" s="159"/>
      <c r="FG174" s="159"/>
      <c r="FH174" s="159"/>
      <c r="FI174" s="159"/>
      <c r="FJ174" s="159"/>
      <c r="FK174" s="159"/>
      <c r="FL174" s="159"/>
      <c r="FM174" s="159"/>
      <c r="FN174" s="159"/>
      <c r="FO174" s="159"/>
      <c r="FP174" s="159"/>
      <c r="FQ174" s="159"/>
      <c r="FR174" s="159"/>
      <c r="FS174" s="159"/>
      <c r="FT174" s="159"/>
      <c r="FU174" s="159"/>
      <c r="FV174" s="159"/>
      <c r="FW174" s="159"/>
      <c r="FX174" s="159"/>
      <c r="FY174" s="159"/>
      <c r="FZ174" s="159"/>
      <c r="GA174" s="159"/>
      <c r="GB174" s="159"/>
      <c r="GC174" s="159"/>
      <c r="GD174" s="159"/>
      <c r="GE174" s="159"/>
      <c r="GF174" s="159"/>
      <c r="GG174" s="159"/>
      <c r="GH174" s="159"/>
      <c r="GI174" s="159"/>
      <c r="GJ174" s="159"/>
      <c r="GK174" s="159"/>
      <c r="GL174" s="159"/>
      <c r="GM174" s="159"/>
      <c r="GN174" s="159"/>
      <c r="GO174" s="159"/>
      <c r="GP174" s="159"/>
      <c r="GQ174" s="159"/>
      <c r="GR174" s="159"/>
      <c r="GS174" s="159"/>
      <c r="GT174" s="159"/>
      <c r="GU174" s="159"/>
      <c r="GV174" s="159"/>
      <c r="GW174" s="159"/>
      <c r="GX174" s="159"/>
      <c r="GY174" s="159"/>
      <c r="GZ174" s="159"/>
      <c r="HA174" s="159"/>
      <c r="HB174" s="159"/>
      <c r="HC174" s="159"/>
      <c r="HD174" s="159"/>
      <c r="HE174" s="159"/>
      <c r="HF174" s="159"/>
      <c r="HG174" s="159"/>
      <c r="HH174" s="159"/>
      <c r="HI174" s="159"/>
      <c r="HJ174" s="159"/>
      <c r="HK174" s="159"/>
      <c r="HL174" s="159"/>
      <c r="HM174" s="159"/>
      <c r="HN174" s="159"/>
      <c r="HO174" s="159"/>
      <c r="HP174" s="159"/>
      <c r="HQ174" s="159"/>
      <c r="HR174" s="159"/>
      <c r="HS174" s="159"/>
      <c r="HT174" s="159"/>
      <c r="HU174" s="159"/>
      <c r="HV174" s="159"/>
      <c r="HW174" s="159"/>
      <c r="HX174" s="159"/>
      <c r="HY174" s="159"/>
      <c r="HZ174" s="159"/>
      <c r="IA174" s="159"/>
      <c r="IB174" s="159"/>
      <c r="IC174" s="159"/>
      <c r="ID174" s="159"/>
      <c r="IE174" s="159"/>
      <c r="IF174" s="159"/>
      <c r="IG174" s="159"/>
      <c r="IH174" s="159"/>
      <c r="II174" s="159"/>
      <c r="IJ174" s="159"/>
      <c r="IK174" s="159"/>
      <c r="IL174" s="159"/>
      <c r="IM174" s="159"/>
      <c r="IN174" s="159"/>
      <c r="IO174" s="159"/>
      <c r="IP174" s="159"/>
      <c r="IQ174" s="159"/>
      <c r="IR174" s="159"/>
      <c r="IS174" s="159"/>
      <c r="IT174" s="159"/>
      <c r="IU174" s="159"/>
      <c r="IV174" s="159"/>
      <c r="IW174" s="159"/>
      <c r="IX174" s="159"/>
      <c r="IY174" s="159"/>
      <c r="IZ174" s="159"/>
      <c r="JA174" s="159"/>
      <c r="JB174" s="159"/>
      <c r="JC174" s="159"/>
      <c r="JD174" s="159"/>
      <c r="JE174" s="159"/>
      <c r="JF174" s="159"/>
      <c r="JG174" s="159"/>
      <c r="JH174" s="159"/>
      <c r="JI174" s="159"/>
      <c r="JJ174" s="159"/>
      <c r="JK174" s="159"/>
      <c r="JL174" s="159"/>
      <c r="JM174" s="159"/>
      <c r="JN174" s="159"/>
      <c r="JO174" s="159"/>
      <c r="JP174" s="159"/>
      <c r="JQ174" s="159"/>
      <c r="JR174" s="159"/>
      <c r="JS174" s="159"/>
      <c r="JT174" s="159"/>
      <c r="JU174" s="159"/>
      <c r="JV174" s="159"/>
      <c r="JW174" s="159"/>
      <c r="JX174" s="159"/>
      <c r="JY174" s="159"/>
      <c r="JZ174" s="159"/>
      <c r="KA174" s="159"/>
      <c r="KB174" s="159"/>
      <c r="KC174" s="159"/>
      <c r="KD174" s="159"/>
      <c r="KE174" s="159"/>
      <c r="KF174" s="159"/>
      <c r="KG174" s="159"/>
      <c r="KH174" s="159"/>
      <c r="KI174" s="159"/>
      <c r="KJ174" s="159"/>
      <c r="KK174" s="159"/>
      <c r="KL174" s="159"/>
      <c r="KM174" s="159"/>
      <c r="KN174" s="159"/>
      <c r="KO174" s="159"/>
      <c r="KP174" s="159"/>
      <c r="KQ174" s="159"/>
      <c r="KR174" s="159"/>
      <c r="KS174" s="159"/>
      <c r="KT174" s="159"/>
      <c r="KU174" s="159"/>
      <c r="KV174" s="159"/>
      <c r="KW174" s="159"/>
      <c r="KX174" s="159"/>
      <c r="KY174" s="159"/>
      <c r="KZ174" s="159"/>
      <c r="LA174" s="159"/>
      <c r="LB174" s="159"/>
      <c r="LC174" s="159"/>
      <c r="LD174" s="159"/>
      <c r="LE174" s="159"/>
      <c r="LF174" s="159"/>
      <c r="LG174" s="159"/>
      <c r="LH174" s="159"/>
      <c r="LI174" s="159"/>
      <c r="LJ174" s="159"/>
      <c r="LK174" s="159"/>
      <c r="LL174" s="159"/>
      <c r="LM174" s="159"/>
      <c r="LN174" s="159"/>
      <c r="LO174" s="159"/>
      <c r="LP174" s="159"/>
      <c r="LQ174" s="159"/>
      <c r="LR174" s="159"/>
      <c r="LS174" s="159"/>
      <c r="LT174" s="159"/>
      <c r="LU174" s="159"/>
      <c r="LV174" s="159"/>
      <c r="LW174" s="159"/>
      <c r="LX174" s="159"/>
      <c r="LY174" s="159"/>
      <c r="LZ174" s="159"/>
      <c r="MA174" s="159"/>
      <c r="MB174" s="159"/>
      <c r="MC174" s="159"/>
      <c r="MD174" s="159"/>
      <c r="ME174" s="159"/>
      <c r="MF174" s="159"/>
      <c r="MG174" s="159"/>
      <c r="MH174" s="159"/>
      <c r="MI174" s="159"/>
      <c r="MJ174" s="159"/>
      <c r="MK174" s="159"/>
      <c r="ML174" s="159"/>
      <c r="MM174" s="159"/>
      <c r="MN174" s="159"/>
      <c r="MO174" s="159"/>
      <c r="MP174" s="159"/>
      <c r="MQ174" s="159"/>
      <c r="MR174" s="159"/>
      <c r="MS174" s="159"/>
      <c r="MT174" s="159"/>
      <c r="MU174" s="159"/>
      <c r="MV174" s="159"/>
      <c r="MW174" s="159"/>
      <c r="MX174" s="159"/>
      <c r="MY174" s="159"/>
      <c r="MZ174" s="159"/>
      <c r="NA174" s="159"/>
      <c r="NB174" s="159"/>
      <c r="NC174" s="159"/>
      <c r="ND174" s="159"/>
      <c r="NE174" s="159"/>
      <c r="NF174" s="159"/>
      <c r="NG174" s="159"/>
      <c r="NH174" s="159"/>
      <c r="NI174" s="159"/>
      <c r="NJ174" s="159"/>
      <c r="NK174" s="159"/>
      <c r="NL174" s="159"/>
      <c r="NM174" s="159"/>
      <c r="NN174" s="159"/>
      <c r="NO174" s="159"/>
      <c r="NP174" s="159"/>
      <c r="NQ174" s="159"/>
      <c r="NR174" s="159"/>
      <c r="NS174" s="159"/>
      <c r="NT174" s="159"/>
      <c r="NU174" s="159"/>
      <c r="NV174" s="159"/>
      <c r="NW174" s="159"/>
      <c r="NX174" s="159"/>
      <c r="NY174" s="159"/>
      <c r="NZ174" s="159"/>
      <c r="OA174" s="159"/>
      <c r="OB174" s="159"/>
      <c r="OC174" s="159"/>
      <c r="OD174" s="159"/>
      <c r="OE174" s="159"/>
      <c r="OF174" s="159"/>
      <c r="OG174" s="159"/>
      <c r="OH174" s="159"/>
      <c r="OI174" s="159"/>
      <c r="OJ174" s="159"/>
      <c r="OK174" s="159"/>
      <c r="OL174" s="159"/>
      <c r="OM174" s="159"/>
      <c r="ON174" s="159"/>
      <c r="OO174" s="159"/>
      <c r="OP174" s="159"/>
      <c r="OQ174" s="159"/>
      <c r="OR174" s="159"/>
      <c r="OS174" s="159"/>
      <c r="OT174" s="159"/>
      <c r="OU174" s="159"/>
      <c r="OV174" s="159"/>
      <c r="OW174" s="159"/>
      <c r="OX174" s="159"/>
      <c r="OY174" s="159"/>
      <c r="OZ174" s="159"/>
      <c r="PA174" s="159"/>
      <c r="PB174" s="159"/>
      <c r="PC174" s="159"/>
      <c r="PD174" s="159"/>
      <c r="PE174" s="159"/>
      <c r="PF174" s="159"/>
      <c r="PG174" s="159"/>
      <c r="PH174" s="159"/>
      <c r="PI174" s="159"/>
      <c r="PJ174" s="159"/>
      <c r="PK174" s="159"/>
      <c r="PL174" s="159"/>
      <c r="PM174" s="159"/>
      <c r="PN174" s="159"/>
      <c r="PO174" s="159"/>
      <c r="PP174" s="159"/>
      <c r="PQ174" s="159"/>
      <c r="PR174" s="159"/>
      <c r="PS174" s="159"/>
      <c r="PT174" s="159"/>
      <c r="PU174" s="159"/>
      <c r="PV174" s="159"/>
      <c r="PW174" s="159"/>
      <c r="PX174" s="159"/>
      <c r="PY174" s="159"/>
      <c r="PZ174" s="159"/>
      <c r="QA174" s="159"/>
      <c r="QB174" s="159"/>
      <c r="QC174" s="159"/>
      <c r="QD174" s="159"/>
      <c r="QE174" s="159"/>
      <c r="QF174" s="159"/>
      <c r="QG174" s="159"/>
      <c r="QH174" s="159"/>
      <c r="QI174" s="159"/>
      <c r="QJ174" s="159"/>
      <c r="QK174" s="159"/>
      <c r="QL174" s="159"/>
      <c r="QM174" s="159"/>
      <c r="QN174" s="159"/>
      <c r="QO174" s="159"/>
      <c r="QP174" s="159"/>
      <c r="QQ174" s="159"/>
      <c r="QR174" s="159"/>
      <c r="QS174" s="159"/>
      <c r="QT174" s="159"/>
      <c r="QU174" s="159"/>
      <c r="QV174" s="159"/>
      <c r="QW174" s="159"/>
      <c r="QX174" s="159"/>
      <c r="QY174" s="159"/>
      <c r="QZ174" s="159"/>
      <c r="RA174" s="159"/>
      <c r="RB174" s="159"/>
      <c r="RC174" s="159"/>
      <c r="RD174" s="159"/>
      <c r="RE174" s="159"/>
      <c r="RF174" s="159"/>
      <c r="RG174" s="159"/>
      <c r="RH174" s="159"/>
      <c r="RI174" s="159"/>
      <c r="RJ174" s="159"/>
      <c r="RK174" s="159"/>
      <c r="RL174" s="159"/>
      <c r="RM174" s="159"/>
      <c r="RN174" s="159"/>
      <c r="RO174" s="159"/>
      <c r="RP174" s="159"/>
      <c r="RQ174" s="159"/>
      <c r="RR174" s="159"/>
      <c r="RS174" s="159"/>
      <c r="RT174" s="159"/>
      <c r="RU174" s="159"/>
      <c r="RV174" s="159"/>
      <c r="RW174" s="159"/>
      <c r="RX174" s="159"/>
      <c r="RY174" s="159"/>
      <c r="RZ174" s="159"/>
      <c r="SA174" s="159"/>
      <c r="SB174" s="159"/>
      <c r="SC174" s="159"/>
      <c r="SD174" s="159"/>
      <c r="SE174" s="159"/>
      <c r="SF174" s="159"/>
      <c r="SG174" s="159"/>
      <c r="SH174" s="159"/>
      <c r="SI174" s="159"/>
      <c r="SJ174" s="159"/>
      <c r="SK174" s="159"/>
      <c r="SL174" s="159"/>
      <c r="SM174" s="159"/>
      <c r="SN174" s="159"/>
      <c r="SO174" s="159"/>
      <c r="SP174" s="159"/>
      <c r="SQ174" s="159"/>
      <c r="SR174" s="159"/>
      <c r="SS174" s="159"/>
      <c r="ST174" s="159"/>
      <c r="SU174" s="159"/>
      <c r="SV174" s="159"/>
      <c r="SW174" s="159"/>
      <c r="SX174" s="159"/>
      <c r="SY174" s="159"/>
      <c r="SZ174" s="159"/>
      <c r="TA174" s="159"/>
      <c r="TB174" s="159"/>
      <c r="TC174" s="159"/>
      <c r="TD174" s="159"/>
      <c r="TE174" s="159"/>
      <c r="TF174" s="159"/>
      <c r="TG174" s="159"/>
      <c r="TH174" s="159"/>
      <c r="TI174" s="159"/>
      <c r="TJ174" s="159"/>
      <c r="TK174" s="159"/>
      <c r="TL174" s="159"/>
      <c r="TM174" s="159"/>
      <c r="TN174" s="159"/>
      <c r="TO174" s="159"/>
      <c r="TP174" s="159"/>
      <c r="TQ174" s="159"/>
      <c r="TR174" s="159"/>
      <c r="TS174" s="159"/>
      <c r="TT174" s="159"/>
      <c r="TU174" s="159"/>
      <c r="TV174" s="159"/>
      <c r="TW174" s="159"/>
      <c r="TX174" s="159"/>
      <c r="TY174" s="159"/>
      <c r="TZ174" s="159"/>
      <c r="UA174" s="159"/>
      <c r="UB174" s="159"/>
      <c r="UC174" s="159"/>
      <c r="UD174" s="159"/>
      <c r="UE174" s="159"/>
      <c r="UF174" s="159"/>
      <c r="UG174" s="159"/>
      <c r="UH174" s="159"/>
      <c r="UI174" s="159"/>
      <c r="UJ174" s="159"/>
      <c r="UK174" s="159"/>
      <c r="UL174" s="159"/>
      <c r="UM174" s="159"/>
      <c r="UN174" s="159"/>
      <c r="UO174" s="159"/>
      <c r="UP174" s="159"/>
      <c r="UQ174" s="159"/>
      <c r="UR174" s="159"/>
      <c r="US174" s="159"/>
      <c r="UT174" s="159"/>
      <c r="UU174" s="159"/>
      <c r="UV174" s="159"/>
      <c r="UW174" s="159"/>
      <c r="UX174" s="159"/>
      <c r="UY174" s="159"/>
      <c r="UZ174" s="159"/>
      <c r="VA174" s="159"/>
      <c r="VB174" s="159"/>
      <c r="VC174" s="159"/>
      <c r="VD174" s="159"/>
      <c r="VE174" s="159"/>
      <c r="VF174" s="159"/>
      <c r="VG174" s="159"/>
      <c r="VH174" s="159"/>
      <c r="VI174" s="159"/>
      <c r="VJ174" s="159"/>
      <c r="VK174" s="159"/>
      <c r="VL174" s="159"/>
      <c r="VM174" s="159"/>
      <c r="VN174" s="159"/>
      <c r="VO174" s="159"/>
      <c r="VP174" s="159"/>
      <c r="VQ174" s="159"/>
      <c r="VR174" s="159"/>
      <c r="VS174" s="159"/>
      <c r="VT174" s="159"/>
      <c r="VU174" s="159"/>
      <c r="VV174" s="159"/>
      <c r="VW174" s="159"/>
      <c r="VX174" s="159"/>
      <c r="VY174" s="159"/>
      <c r="VZ174" s="159"/>
      <c r="WA174" s="159"/>
      <c r="WB174" s="159"/>
      <c r="WC174" s="159"/>
      <c r="WD174" s="159"/>
      <c r="WE174" s="159"/>
      <c r="WF174" s="159"/>
      <c r="WG174" s="159"/>
      <c r="WH174" s="159"/>
      <c r="WI174" s="159"/>
      <c r="WJ174" s="159"/>
      <c r="WK174" s="159"/>
      <c r="WL174" s="159"/>
      <c r="WM174" s="159"/>
      <c r="WN174" s="159"/>
      <c r="WO174" s="159"/>
      <c r="WP174" s="159"/>
      <c r="WQ174" s="159"/>
      <c r="WR174" s="159"/>
      <c r="WS174" s="159"/>
      <c r="WT174" s="159"/>
      <c r="WU174" s="159"/>
      <c r="WV174" s="159"/>
      <c r="WW174" s="159"/>
      <c r="WX174" s="159"/>
      <c r="WY174" s="159"/>
      <c r="WZ174" s="159"/>
      <c r="XA174" s="159"/>
      <c r="XB174" s="159"/>
      <c r="XC174" s="159"/>
      <c r="XD174" s="159"/>
      <c r="XE174" s="159"/>
      <c r="XF174" s="159"/>
      <c r="XG174" s="159"/>
      <c r="XH174" s="159"/>
      <c r="XI174" s="159"/>
      <c r="XJ174" s="159"/>
      <c r="XK174" s="159"/>
      <c r="XL174" s="159"/>
      <c r="XM174" s="159"/>
      <c r="XN174" s="159"/>
      <c r="XO174" s="159"/>
      <c r="XP174" s="159"/>
      <c r="XQ174" s="159"/>
      <c r="XR174" s="159"/>
      <c r="XS174" s="159"/>
      <c r="XT174" s="159"/>
      <c r="XU174" s="159"/>
      <c r="XV174" s="159"/>
      <c r="XW174" s="159"/>
      <c r="XX174" s="159"/>
      <c r="XY174" s="159"/>
      <c r="XZ174" s="159"/>
      <c r="YA174" s="159"/>
      <c r="YB174" s="159"/>
      <c r="YC174" s="159"/>
      <c r="YD174" s="159"/>
      <c r="YE174" s="159"/>
      <c r="YF174" s="159"/>
      <c r="YG174" s="159"/>
      <c r="YH174" s="159"/>
      <c r="YI174" s="159"/>
      <c r="YJ174" s="159"/>
      <c r="YK174" s="159"/>
      <c r="YL174" s="159"/>
      <c r="YM174" s="159"/>
      <c r="YN174" s="159"/>
      <c r="YO174" s="159"/>
      <c r="YP174" s="159"/>
      <c r="YQ174" s="159"/>
      <c r="YR174" s="159"/>
      <c r="YS174" s="159"/>
      <c r="YT174" s="159"/>
      <c r="YU174" s="159"/>
      <c r="YV174" s="159"/>
      <c r="YW174" s="159"/>
      <c r="YX174" s="159"/>
      <c r="YY174" s="159"/>
      <c r="YZ174" s="159"/>
      <c r="ZA174" s="159"/>
      <c r="ZB174" s="159"/>
      <c r="ZC174" s="159"/>
      <c r="ZD174" s="159"/>
      <c r="ZE174" s="159"/>
      <c r="ZF174" s="159"/>
      <c r="ZG174" s="159"/>
      <c r="ZH174" s="159"/>
      <c r="ZI174" s="159"/>
      <c r="ZJ174" s="159"/>
      <c r="ZK174" s="159"/>
      <c r="ZL174" s="159"/>
      <c r="ZM174" s="159"/>
      <c r="ZN174" s="159"/>
      <c r="ZO174" s="159"/>
      <c r="ZP174" s="159"/>
      <c r="ZQ174" s="159"/>
      <c r="ZR174" s="159"/>
      <c r="ZS174" s="159"/>
      <c r="ZT174" s="159"/>
      <c r="ZU174" s="159"/>
      <c r="ZV174" s="159"/>
      <c r="ZW174" s="159"/>
      <c r="ZX174" s="159"/>
      <c r="ZY174" s="159"/>
      <c r="ZZ174" s="159"/>
      <c r="AAA174" s="159"/>
      <c r="AAB174" s="159"/>
      <c r="AAC174" s="159"/>
      <c r="AAD174" s="159"/>
      <c r="AAE174" s="159"/>
      <c r="AAF174" s="159"/>
      <c r="AAG174" s="159"/>
      <c r="AAH174" s="159"/>
      <c r="AAI174" s="159"/>
      <c r="AAJ174" s="159"/>
      <c r="AAK174" s="159"/>
      <c r="AAL174" s="159"/>
      <c r="AAM174" s="159"/>
      <c r="AAN174" s="159"/>
      <c r="AAO174" s="159"/>
      <c r="AAP174" s="159"/>
      <c r="AAQ174" s="159"/>
      <c r="AAR174" s="159"/>
      <c r="AAS174" s="159"/>
      <c r="AAT174" s="159"/>
      <c r="AAU174" s="159"/>
      <c r="AAV174" s="159"/>
      <c r="AAW174" s="159"/>
      <c r="AAX174" s="159"/>
      <c r="AAY174" s="159"/>
      <c r="AAZ174" s="159"/>
      <c r="ABA174" s="159"/>
      <c r="ABB174" s="159"/>
      <c r="ABC174" s="159"/>
      <c r="ABD174" s="159"/>
      <c r="ABE174" s="159"/>
      <c r="ABF174" s="159"/>
      <c r="ABG174" s="159"/>
      <c r="ABH174" s="159"/>
      <c r="ABI174" s="159"/>
      <c r="ABJ174" s="159"/>
      <c r="ABK174" s="159"/>
      <c r="ABL174" s="159"/>
      <c r="ABM174" s="159"/>
      <c r="ABN174" s="159"/>
      <c r="ABO174" s="159"/>
      <c r="ABP174" s="159"/>
      <c r="ABQ174" s="159"/>
      <c r="ABR174" s="159"/>
      <c r="ABS174" s="159"/>
      <c r="ABT174" s="159"/>
      <c r="ABU174" s="159"/>
      <c r="ABV174" s="159"/>
      <c r="ABW174" s="159"/>
      <c r="ABX174" s="159"/>
      <c r="ABY174" s="159"/>
      <c r="ABZ174" s="159"/>
      <c r="ACA174" s="159"/>
      <c r="ACB174" s="159"/>
      <c r="ACC174" s="159"/>
      <c r="ACD174" s="159"/>
      <c r="ACE174" s="159"/>
      <c r="ACF174" s="159"/>
      <c r="ACG174" s="159"/>
      <c r="ACH174" s="159"/>
      <c r="ACI174" s="159"/>
      <c r="ACJ174" s="159"/>
      <c r="ACK174" s="159"/>
      <c r="ACL174" s="159"/>
      <c r="ACM174" s="159"/>
      <c r="ACN174" s="159"/>
      <c r="ACO174" s="159"/>
      <c r="ACP174" s="159"/>
      <c r="ACQ174" s="159"/>
      <c r="ACR174" s="159"/>
      <c r="ACS174" s="159"/>
      <c r="ACT174" s="159"/>
      <c r="ACU174" s="159"/>
      <c r="ACV174" s="159"/>
      <c r="ACW174" s="159"/>
      <c r="ACX174" s="159"/>
      <c r="ACY174" s="159"/>
      <c r="ACZ174" s="159"/>
      <c r="ADA174" s="159"/>
      <c r="ADB174" s="159"/>
      <c r="ADC174" s="159"/>
      <c r="ADD174" s="159"/>
      <c r="ADE174" s="159"/>
      <c r="ADF174" s="159"/>
      <c r="ADG174" s="159"/>
      <c r="ADH174" s="159"/>
      <c r="ADI174" s="159"/>
      <c r="ADJ174" s="159"/>
      <c r="ADK174" s="159"/>
      <c r="ADL174" s="159"/>
      <c r="ADM174" s="159"/>
      <c r="ADN174" s="159"/>
      <c r="ADO174" s="159"/>
      <c r="ADP174" s="159"/>
      <c r="ADQ174" s="159"/>
      <c r="ADR174" s="159"/>
      <c r="ADS174" s="159"/>
      <c r="ADT174" s="159"/>
      <c r="ADU174" s="159"/>
      <c r="ADV174" s="159"/>
      <c r="ADW174" s="159"/>
      <c r="ADX174" s="159"/>
      <c r="ADY174" s="159"/>
      <c r="ADZ174" s="159"/>
      <c r="AEA174" s="159"/>
      <c r="AEB174" s="159"/>
      <c r="AEC174" s="159"/>
      <c r="AED174" s="159"/>
      <c r="AEE174" s="159"/>
      <c r="AEF174" s="159"/>
      <c r="AEG174" s="159"/>
      <c r="AEH174" s="159"/>
      <c r="AEI174" s="159"/>
      <c r="AEJ174" s="159"/>
      <c r="AEK174" s="159"/>
      <c r="AEL174" s="159"/>
      <c r="AEM174" s="159"/>
      <c r="AEN174" s="159"/>
      <c r="AEO174" s="159"/>
      <c r="AEP174" s="159"/>
      <c r="AEQ174" s="159"/>
      <c r="AER174" s="159"/>
      <c r="AES174" s="159"/>
      <c r="AET174" s="159"/>
      <c r="AEU174" s="159"/>
      <c r="AEV174" s="159"/>
      <c r="AEW174" s="159"/>
      <c r="AEX174" s="159"/>
      <c r="AEY174" s="159"/>
      <c r="AEZ174" s="159"/>
      <c r="AFA174" s="159"/>
      <c r="AFB174" s="159"/>
      <c r="AFC174" s="159"/>
      <c r="AFD174" s="159"/>
      <c r="AFE174" s="159"/>
      <c r="AFF174" s="159"/>
      <c r="AFG174" s="159"/>
      <c r="AFH174" s="159"/>
      <c r="AFI174" s="159"/>
      <c r="AFJ174" s="159"/>
      <c r="AFK174" s="159"/>
      <c r="AFL174" s="159"/>
      <c r="AFM174" s="159"/>
      <c r="AFN174" s="159"/>
      <c r="AFO174" s="159"/>
      <c r="AFP174" s="159"/>
      <c r="AFQ174" s="159"/>
      <c r="AFR174" s="159"/>
      <c r="AFS174" s="159"/>
      <c r="AFT174" s="159"/>
      <c r="AFU174" s="159"/>
      <c r="AFV174" s="159"/>
      <c r="AFW174" s="159"/>
      <c r="AFX174" s="159"/>
      <c r="AFY174" s="159"/>
      <c r="AFZ174" s="159"/>
      <c r="AGA174" s="159"/>
      <c r="AGB174" s="159"/>
      <c r="AGC174" s="159"/>
      <c r="AGD174" s="159"/>
      <c r="AGE174" s="159"/>
      <c r="AGF174" s="159"/>
      <c r="AGG174" s="159"/>
      <c r="AGH174" s="159"/>
      <c r="AGI174" s="159"/>
      <c r="AGJ174" s="159"/>
      <c r="AGK174" s="159"/>
      <c r="AGL174" s="159"/>
      <c r="AGM174" s="159"/>
      <c r="AGN174" s="159"/>
      <c r="AGO174" s="159"/>
      <c r="AGP174" s="159"/>
      <c r="AGQ174" s="159"/>
      <c r="AGR174" s="159"/>
      <c r="AGS174" s="159"/>
      <c r="AGT174" s="159"/>
      <c r="AGU174" s="159"/>
      <c r="AGV174" s="159"/>
      <c r="AGW174" s="159"/>
      <c r="AGX174" s="159"/>
      <c r="AGY174" s="159"/>
      <c r="AGZ174" s="159"/>
      <c r="AHA174" s="159"/>
      <c r="AHB174" s="159"/>
      <c r="AHC174" s="159"/>
      <c r="AHD174" s="159"/>
      <c r="AHE174" s="159"/>
      <c r="AHF174" s="159"/>
      <c r="AHG174" s="159"/>
      <c r="AHH174" s="159"/>
      <c r="AHI174" s="159"/>
      <c r="AHJ174" s="159"/>
      <c r="AHK174" s="159"/>
      <c r="AHL174" s="159"/>
      <c r="AHM174" s="159"/>
      <c r="AHN174" s="159"/>
      <c r="AHO174" s="159"/>
      <c r="AHP174" s="159"/>
      <c r="AHQ174" s="159"/>
      <c r="AHR174" s="159"/>
      <c r="AHS174" s="159"/>
      <c r="AHT174" s="159"/>
      <c r="AHU174" s="159"/>
      <c r="AHV174" s="159"/>
      <c r="AHW174" s="159"/>
      <c r="AHX174" s="159"/>
      <c r="AHY174" s="159"/>
      <c r="AHZ174" s="159"/>
      <c r="AIA174" s="159"/>
      <c r="AIB174" s="159"/>
      <c r="AIC174" s="159"/>
      <c r="AID174" s="159"/>
      <c r="AIE174" s="159"/>
      <c r="AIF174" s="159"/>
      <c r="AIG174" s="159"/>
      <c r="AIH174" s="159"/>
      <c r="AII174" s="159"/>
      <c r="AIJ174" s="159"/>
      <c r="AIK174" s="159"/>
      <c r="AIL174" s="159"/>
      <c r="AIM174" s="159"/>
      <c r="AIN174" s="159"/>
      <c r="AIO174" s="159"/>
      <c r="AIP174" s="159"/>
      <c r="AIQ174" s="159"/>
      <c r="AIR174" s="159"/>
      <c r="AIS174" s="159"/>
      <c r="AIT174" s="159"/>
      <c r="AIU174" s="159"/>
      <c r="AIV174" s="159"/>
      <c r="AIW174" s="159"/>
      <c r="AIX174" s="159"/>
      <c r="AIY174" s="159"/>
      <c r="AIZ174" s="159"/>
      <c r="AJA174" s="159"/>
      <c r="AJB174" s="159"/>
      <c r="AJC174" s="159"/>
      <c r="AJD174" s="159"/>
      <c r="AJE174" s="159"/>
      <c r="AJF174" s="159"/>
      <c r="AJG174" s="159"/>
      <c r="AJH174" s="159"/>
      <c r="AJI174" s="159"/>
      <c r="AJJ174" s="159"/>
      <c r="AJK174" s="159"/>
      <c r="AJL174" s="159"/>
      <c r="AJM174" s="159"/>
      <c r="AJN174" s="159"/>
      <c r="AJO174" s="159"/>
      <c r="AJP174" s="159"/>
      <c r="AJQ174" s="159"/>
      <c r="AJR174" s="159"/>
      <c r="AJS174" s="159"/>
      <c r="AJT174" s="159"/>
      <c r="AJU174" s="159"/>
      <c r="AJV174" s="159"/>
      <c r="AJW174" s="159"/>
      <c r="AJX174" s="159"/>
      <c r="AJY174" s="159"/>
      <c r="AJZ174" s="159"/>
      <c r="AKA174" s="159"/>
      <c r="AKB174" s="159"/>
      <c r="AKC174" s="159"/>
      <c r="AKD174" s="159"/>
      <c r="AKE174" s="159"/>
      <c r="AKF174" s="159"/>
      <c r="AKG174" s="159"/>
      <c r="AKH174" s="159"/>
      <c r="AKI174" s="159"/>
      <c r="AKJ174" s="159"/>
      <c r="AKK174" s="159"/>
      <c r="AKL174" s="159"/>
      <c r="AKM174" s="159"/>
      <c r="AKN174" s="159"/>
      <c r="AKO174" s="159"/>
      <c r="AKP174" s="159"/>
      <c r="AKQ174" s="159"/>
      <c r="AKR174" s="159"/>
      <c r="AKS174" s="159"/>
      <c r="AKT174" s="159"/>
      <c r="AKU174" s="159"/>
      <c r="AKV174" s="159"/>
      <c r="AKW174" s="159"/>
      <c r="AKX174" s="159"/>
      <c r="AKY174" s="159"/>
      <c r="AKZ174" s="159"/>
      <c r="ALA174" s="159"/>
      <c r="ALB174" s="159"/>
      <c r="ALC174" s="159"/>
      <c r="ALD174" s="159"/>
      <c r="ALE174" s="159"/>
      <c r="ALF174" s="159"/>
      <c r="ALG174" s="159"/>
      <c r="ALH174" s="159"/>
      <c r="ALI174" s="159"/>
      <c r="ALJ174" s="159"/>
      <c r="ALK174" s="159"/>
      <c r="ALL174" s="159"/>
      <c r="ALM174" s="159"/>
      <c r="ALN174" s="159"/>
      <c r="ALO174" s="159"/>
      <c r="ALP174" s="159"/>
      <c r="ALQ174" s="159"/>
      <c r="ALR174" s="159"/>
      <c r="ALS174" s="159"/>
      <c r="ALT174" s="159"/>
      <c r="ALU174" s="159"/>
      <c r="ALV174" s="159"/>
      <c r="ALW174" s="159"/>
      <c r="ALX174" s="159"/>
      <c r="ALY174" s="159"/>
      <c r="ALZ174" s="159"/>
      <c r="AMA174" s="159"/>
      <c r="AMB174" s="159"/>
      <c r="AMC174" s="159"/>
      <c r="AMD174" s="159"/>
      <c r="AME174" s="159"/>
      <c r="AMF174" s="159"/>
      <c r="AMG174" s="159"/>
      <c r="AMH174" s="159"/>
      <c r="AMI174" s="159"/>
      <c r="AMJ174" s="159"/>
      <c r="AMK174" s="159"/>
      <c r="AML174" s="159"/>
      <c r="AMM174" s="159"/>
      <c r="AMN174" s="159"/>
      <c r="AMO174" s="159"/>
    </row>
    <row r="175" spans="1:1029" s="161" customFormat="1" ht="25.5" x14ac:dyDescent="0.25">
      <c r="A175" s="138">
        <v>46266</v>
      </c>
      <c r="B175" s="99" t="s">
        <v>105</v>
      </c>
      <c r="C175" s="99" t="s">
        <v>77</v>
      </c>
      <c r="D175" s="160" t="s">
        <v>27</v>
      </c>
      <c r="E175" s="118" t="s">
        <v>14</v>
      </c>
      <c r="F175" s="149" t="s">
        <v>30</v>
      </c>
      <c r="G175" s="149" t="s">
        <v>31</v>
      </c>
      <c r="H175" s="141" t="b">
        <f t="shared" si="12"/>
        <v>0</v>
      </c>
      <c r="I175" s="120" t="s">
        <v>144</v>
      </c>
      <c r="J175" s="121" t="s">
        <v>30</v>
      </c>
      <c r="K175" s="121" t="s">
        <v>31</v>
      </c>
      <c r="L175" s="141" t="b">
        <f t="shared" si="13"/>
        <v>0</v>
      </c>
      <c r="M175" s="121" t="s">
        <v>35</v>
      </c>
      <c r="N175" s="121" t="s">
        <v>82</v>
      </c>
      <c r="O175" s="121" t="s">
        <v>168</v>
      </c>
      <c r="P175" s="141" t="b">
        <f t="shared" si="14"/>
        <v>0</v>
      </c>
      <c r="Q175" s="149" t="s">
        <v>105</v>
      </c>
      <c r="R175" s="99" t="s">
        <v>77</v>
      </c>
      <c r="S175" s="99" t="s">
        <v>168</v>
      </c>
      <c r="T175" s="141">
        <f t="shared" si="15"/>
        <v>1.5</v>
      </c>
      <c r="U175" s="159"/>
      <c r="V175" s="159"/>
      <c r="W175" s="159"/>
      <c r="X175" s="159"/>
      <c r="Y175" s="159"/>
      <c r="Z175" s="159"/>
      <c r="AA175" s="159"/>
      <c r="AB175" s="159"/>
      <c r="AC175" s="159"/>
      <c r="AD175" s="159"/>
      <c r="AE175" s="159"/>
      <c r="AF175" s="159"/>
      <c r="AG175" s="159"/>
      <c r="AH175" s="159"/>
      <c r="AI175" s="159"/>
      <c r="AJ175" s="159"/>
      <c r="AK175" s="159"/>
      <c r="AL175" s="159"/>
      <c r="AM175" s="159"/>
      <c r="AN175" s="159"/>
      <c r="AO175" s="159"/>
      <c r="AP175" s="159"/>
      <c r="AQ175" s="159"/>
      <c r="AR175" s="159"/>
      <c r="AS175" s="159"/>
      <c r="AT175" s="159"/>
      <c r="AU175" s="159"/>
      <c r="AV175" s="159"/>
      <c r="AW175" s="159"/>
      <c r="AX175" s="159"/>
      <c r="AY175" s="159"/>
      <c r="AZ175" s="159"/>
      <c r="BA175" s="159"/>
      <c r="BB175" s="159"/>
      <c r="BC175" s="159"/>
      <c r="BD175" s="159"/>
      <c r="BE175" s="159"/>
      <c r="BF175" s="159"/>
      <c r="BG175" s="159"/>
      <c r="BH175" s="159"/>
      <c r="BI175" s="159"/>
      <c r="BJ175" s="159"/>
      <c r="BK175" s="159"/>
      <c r="BL175" s="159"/>
      <c r="BM175" s="159"/>
      <c r="BN175" s="159"/>
      <c r="BO175" s="159"/>
      <c r="BP175" s="159"/>
      <c r="BQ175" s="159"/>
      <c r="BR175" s="159"/>
      <c r="BS175" s="159"/>
      <c r="BT175" s="159"/>
      <c r="BU175" s="159"/>
      <c r="BV175" s="159"/>
      <c r="BW175" s="159"/>
      <c r="BX175" s="159"/>
      <c r="BY175" s="159"/>
      <c r="BZ175" s="159"/>
      <c r="CA175" s="159"/>
      <c r="CB175" s="159"/>
      <c r="CC175" s="159"/>
      <c r="CD175" s="159"/>
      <c r="CE175" s="159"/>
      <c r="CF175" s="159"/>
      <c r="CG175" s="159"/>
      <c r="CH175" s="159"/>
      <c r="CI175" s="159"/>
      <c r="CJ175" s="159"/>
      <c r="CK175" s="159"/>
      <c r="CL175" s="159"/>
      <c r="CM175" s="159"/>
      <c r="CN175" s="159"/>
      <c r="CO175" s="159"/>
      <c r="CP175" s="159"/>
      <c r="CQ175" s="159"/>
      <c r="CR175" s="159"/>
      <c r="CS175" s="159"/>
      <c r="CT175" s="159"/>
      <c r="CU175" s="159"/>
      <c r="CV175" s="159"/>
      <c r="CW175" s="159"/>
      <c r="CX175" s="159"/>
      <c r="CY175" s="159"/>
      <c r="CZ175" s="159"/>
      <c r="DA175" s="159"/>
      <c r="DB175" s="159"/>
      <c r="DC175" s="159"/>
      <c r="DD175" s="159"/>
      <c r="DE175" s="159"/>
      <c r="DF175" s="159"/>
      <c r="DG175" s="159"/>
      <c r="DH175" s="159"/>
      <c r="DI175" s="159"/>
      <c r="DJ175" s="159"/>
      <c r="DK175" s="159"/>
      <c r="DL175" s="159"/>
      <c r="DM175" s="159"/>
      <c r="DN175" s="159"/>
      <c r="DO175" s="159"/>
      <c r="DP175" s="159"/>
      <c r="DQ175" s="159"/>
      <c r="DR175" s="159"/>
      <c r="DS175" s="159"/>
      <c r="DT175" s="159"/>
      <c r="DU175" s="159"/>
      <c r="DV175" s="159"/>
      <c r="DW175" s="159"/>
      <c r="DX175" s="159"/>
      <c r="DY175" s="159"/>
      <c r="DZ175" s="159"/>
      <c r="EA175" s="159"/>
      <c r="EB175" s="159"/>
      <c r="EC175" s="159"/>
      <c r="ED175" s="159"/>
      <c r="EE175" s="159"/>
      <c r="EF175" s="159"/>
      <c r="EG175" s="159"/>
      <c r="EH175" s="159"/>
      <c r="EI175" s="159"/>
      <c r="EJ175" s="159"/>
      <c r="EK175" s="159"/>
      <c r="EL175" s="159"/>
      <c r="EM175" s="159"/>
      <c r="EN175" s="159"/>
      <c r="EO175" s="159"/>
      <c r="EP175" s="159"/>
      <c r="EQ175" s="159"/>
      <c r="ER175" s="159"/>
      <c r="ES175" s="159"/>
      <c r="ET175" s="159"/>
      <c r="EU175" s="159"/>
      <c r="EV175" s="159"/>
      <c r="EW175" s="159"/>
      <c r="EX175" s="159"/>
      <c r="EY175" s="159"/>
      <c r="EZ175" s="159"/>
      <c r="FA175" s="159"/>
      <c r="FB175" s="159"/>
      <c r="FC175" s="159"/>
      <c r="FD175" s="159"/>
      <c r="FE175" s="159"/>
      <c r="FF175" s="159"/>
      <c r="FG175" s="159"/>
      <c r="FH175" s="159"/>
      <c r="FI175" s="159"/>
      <c r="FJ175" s="159"/>
      <c r="FK175" s="159"/>
      <c r="FL175" s="159"/>
      <c r="FM175" s="159"/>
      <c r="FN175" s="159"/>
      <c r="FO175" s="159"/>
      <c r="FP175" s="159"/>
      <c r="FQ175" s="159"/>
      <c r="FR175" s="159"/>
      <c r="FS175" s="159"/>
      <c r="FT175" s="159"/>
      <c r="FU175" s="159"/>
      <c r="FV175" s="159"/>
      <c r="FW175" s="159"/>
      <c r="FX175" s="159"/>
      <c r="FY175" s="159"/>
      <c r="FZ175" s="159"/>
      <c r="GA175" s="159"/>
      <c r="GB175" s="159"/>
      <c r="GC175" s="159"/>
      <c r="GD175" s="159"/>
      <c r="GE175" s="159"/>
      <c r="GF175" s="159"/>
      <c r="GG175" s="159"/>
      <c r="GH175" s="159"/>
      <c r="GI175" s="159"/>
      <c r="GJ175" s="159"/>
      <c r="GK175" s="159"/>
      <c r="GL175" s="159"/>
      <c r="GM175" s="159"/>
      <c r="GN175" s="159"/>
      <c r="GO175" s="159"/>
      <c r="GP175" s="159"/>
      <c r="GQ175" s="159"/>
      <c r="GR175" s="159"/>
      <c r="GS175" s="159"/>
      <c r="GT175" s="159"/>
      <c r="GU175" s="159"/>
      <c r="GV175" s="159"/>
      <c r="GW175" s="159"/>
      <c r="GX175" s="159"/>
      <c r="GY175" s="159"/>
      <c r="GZ175" s="159"/>
      <c r="HA175" s="159"/>
      <c r="HB175" s="159"/>
      <c r="HC175" s="159"/>
      <c r="HD175" s="159"/>
      <c r="HE175" s="159"/>
      <c r="HF175" s="159"/>
      <c r="HG175" s="159"/>
      <c r="HH175" s="159"/>
      <c r="HI175" s="159"/>
      <c r="HJ175" s="159"/>
      <c r="HK175" s="159"/>
      <c r="HL175" s="159"/>
      <c r="HM175" s="159"/>
      <c r="HN175" s="159"/>
      <c r="HO175" s="159"/>
      <c r="HP175" s="159"/>
      <c r="HQ175" s="159"/>
      <c r="HR175" s="159"/>
      <c r="HS175" s="159"/>
      <c r="HT175" s="159"/>
      <c r="HU175" s="159"/>
      <c r="HV175" s="159"/>
      <c r="HW175" s="159"/>
      <c r="HX175" s="159"/>
      <c r="HY175" s="159"/>
      <c r="HZ175" s="159"/>
      <c r="IA175" s="159"/>
      <c r="IB175" s="159"/>
      <c r="IC175" s="159"/>
      <c r="ID175" s="159"/>
      <c r="IE175" s="159"/>
      <c r="IF175" s="159"/>
      <c r="IG175" s="159"/>
      <c r="IH175" s="159"/>
      <c r="II175" s="159"/>
      <c r="IJ175" s="159"/>
      <c r="IK175" s="159"/>
      <c r="IL175" s="159"/>
      <c r="IM175" s="159"/>
      <c r="IN175" s="159"/>
      <c r="IO175" s="159"/>
      <c r="IP175" s="159"/>
      <c r="IQ175" s="159"/>
      <c r="IR175" s="159"/>
      <c r="IS175" s="159"/>
      <c r="IT175" s="159"/>
      <c r="IU175" s="159"/>
      <c r="IV175" s="159"/>
      <c r="IW175" s="159"/>
      <c r="IX175" s="159"/>
      <c r="IY175" s="159"/>
      <c r="IZ175" s="159"/>
      <c r="JA175" s="159"/>
      <c r="JB175" s="159"/>
      <c r="JC175" s="159"/>
      <c r="JD175" s="159"/>
      <c r="JE175" s="159"/>
      <c r="JF175" s="159"/>
      <c r="JG175" s="159"/>
      <c r="JH175" s="159"/>
      <c r="JI175" s="159"/>
      <c r="JJ175" s="159"/>
      <c r="JK175" s="159"/>
      <c r="JL175" s="159"/>
      <c r="JM175" s="159"/>
      <c r="JN175" s="159"/>
      <c r="JO175" s="159"/>
      <c r="JP175" s="159"/>
      <c r="JQ175" s="159"/>
      <c r="JR175" s="159"/>
      <c r="JS175" s="159"/>
      <c r="JT175" s="159"/>
      <c r="JU175" s="159"/>
      <c r="JV175" s="159"/>
      <c r="JW175" s="159"/>
      <c r="JX175" s="159"/>
      <c r="JY175" s="159"/>
      <c r="JZ175" s="159"/>
      <c r="KA175" s="159"/>
      <c r="KB175" s="159"/>
      <c r="KC175" s="159"/>
      <c r="KD175" s="159"/>
      <c r="KE175" s="159"/>
      <c r="KF175" s="159"/>
      <c r="KG175" s="159"/>
      <c r="KH175" s="159"/>
      <c r="KI175" s="159"/>
      <c r="KJ175" s="159"/>
      <c r="KK175" s="159"/>
      <c r="KL175" s="159"/>
      <c r="KM175" s="159"/>
      <c r="KN175" s="159"/>
      <c r="KO175" s="159"/>
      <c r="KP175" s="159"/>
      <c r="KQ175" s="159"/>
      <c r="KR175" s="159"/>
      <c r="KS175" s="159"/>
      <c r="KT175" s="159"/>
      <c r="KU175" s="159"/>
      <c r="KV175" s="159"/>
      <c r="KW175" s="159"/>
      <c r="KX175" s="159"/>
      <c r="KY175" s="159"/>
      <c r="KZ175" s="159"/>
      <c r="LA175" s="159"/>
      <c r="LB175" s="159"/>
      <c r="LC175" s="159"/>
      <c r="LD175" s="159"/>
      <c r="LE175" s="159"/>
      <c r="LF175" s="159"/>
      <c r="LG175" s="159"/>
      <c r="LH175" s="159"/>
      <c r="LI175" s="159"/>
      <c r="LJ175" s="159"/>
      <c r="LK175" s="159"/>
      <c r="LL175" s="159"/>
      <c r="LM175" s="159"/>
      <c r="LN175" s="159"/>
      <c r="LO175" s="159"/>
      <c r="LP175" s="159"/>
      <c r="LQ175" s="159"/>
      <c r="LR175" s="159"/>
      <c r="LS175" s="159"/>
      <c r="LT175" s="159"/>
      <c r="LU175" s="159"/>
      <c r="LV175" s="159"/>
      <c r="LW175" s="159"/>
      <c r="LX175" s="159"/>
      <c r="LY175" s="159"/>
      <c r="LZ175" s="159"/>
      <c r="MA175" s="159"/>
      <c r="MB175" s="159"/>
      <c r="MC175" s="159"/>
      <c r="MD175" s="159"/>
      <c r="ME175" s="159"/>
      <c r="MF175" s="159"/>
      <c r="MG175" s="159"/>
      <c r="MH175" s="159"/>
      <c r="MI175" s="159"/>
      <c r="MJ175" s="159"/>
      <c r="MK175" s="159"/>
      <c r="ML175" s="159"/>
      <c r="MM175" s="159"/>
      <c r="MN175" s="159"/>
      <c r="MO175" s="159"/>
      <c r="MP175" s="159"/>
      <c r="MQ175" s="159"/>
      <c r="MR175" s="159"/>
      <c r="MS175" s="159"/>
      <c r="MT175" s="159"/>
      <c r="MU175" s="159"/>
      <c r="MV175" s="159"/>
      <c r="MW175" s="159"/>
      <c r="MX175" s="159"/>
      <c r="MY175" s="159"/>
      <c r="MZ175" s="159"/>
      <c r="NA175" s="159"/>
      <c r="NB175" s="159"/>
      <c r="NC175" s="159"/>
      <c r="ND175" s="159"/>
      <c r="NE175" s="159"/>
      <c r="NF175" s="159"/>
      <c r="NG175" s="159"/>
      <c r="NH175" s="159"/>
      <c r="NI175" s="159"/>
      <c r="NJ175" s="159"/>
      <c r="NK175" s="159"/>
      <c r="NL175" s="159"/>
      <c r="NM175" s="159"/>
      <c r="NN175" s="159"/>
      <c r="NO175" s="159"/>
      <c r="NP175" s="159"/>
      <c r="NQ175" s="159"/>
      <c r="NR175" s="159"/>
      <c r="NS175" s="159"/>
      <c r="NT175" s="159"/>
      <c r="NU175" s="159"/>
      <c r="NV175" s="159"/>
      <c r="NW175" s="159"/>
      <c r="NX175" s="159"/>
      <c r="NY175" s="159"/>
      <c r="NZ175" s="159"/>
      <c r="OA175" s="159"/>
      <c r="OB175" s="159"/>
      <c r="OC175" s="159"/>
      <c r="OD175" s="159"/>
      <c r="OE175" s="159"/>
      <c r="OF175" s="159"/>
      <c r="OG175" s="159"/>
      <c r="OH175" s="159"/>
      <c r="OI175" s="159"/>
      <c r="OJ175" s="159"/>
      <c r="OK175" s="159"/>
      <c r="OL175" s="159"/>
      <c r="OM175" s="159"/>
      <c r="ON175" s="159"/>
      <c r="OO175" s="159"/>
      <c r="OP175" s="159"/>
      <c r="OQ175" s="159"/>
      <c r="OR175" s="159"/>
      <c r="OS175" s="159"/>
      <c r="OT175" s="159"/>
      <c r="OU175" s="159"/>
      <c r="OV175" s="159"/>
      <c r="OW175" s="159"/>
      <c r="OX175" s="159"/>
      <c r="OY175" s="159"/>
      <c r="OZ175" s="159"/>
      <c r="PA175" s="159"/>
      <c r="PB175" s="159"/>
      <c r="PC175" s="159"/>
      <c r="PD175" s="159"/>
      <c r="PE175" s="159"/>
      <c r="PF175" s="159"/>
      <c r="PG175" s="159"/>
      <c r="PH175" s="159"/>
      <c r="PI175" s="159"/>
      <c r="PJ175" s="159"/>
      <c r="PK175" s="159"/>
      <c r="PL175" s="159"/>
      <c r="PM175" s="159"/>
      <c r="PN175" s="159"/>
      <c r="PO175" s="159"/>
      <c r="PP175" s="159"/>
      <c r="PQ175" s="159"/>
      <c r="PR175" s="159"/>
      <c r="PS175" s="159"/>
      <c r="PT175" s="159"/>
      <c r="PU175" s="159"/>
      <c r="PV175" s="159"/>
      <c r="PW175" s="159"/>
      <c r="PX175" s="159"/>
      <c r="PY175" s="159"/>
      <c r="PZ175" s="159"/>
      <c r="QA175" s="159"/>
      <c r="QB175" s="159"/>
      <c r="QC175" s="159"/>
      <c r="QD175" s="159"/>
      <c r="QE175" s="159"/>
      <c r="QF175" s="159"/>
      <c r="QG175" s="159"/>
      <c r="QH175" s="159"/>
      <c r="QI175" s="159"/>
      <c r="QJ175" s="159"/>
      <c r="QK175" s="159"/>
      <c r="QL175" s="159"/>
      <c r="QM175" s="159"/>
      <c r="QN175" s="159"/>
      <c r="QO175" s="159"/>
      <c r="QP175" s="159"/>
      <c r="QQ175" s="159"/>
      <c r="QR175" s="159"/>
      <c r="QS175" s="159"/>
      <c r="QT175" s="159"/>
      <c r="QU175" s="159"/>
      <c r="QV175" s="159"/>
      <c r="QW175" s="159"/>
      <c r="QX175" s="159"/>
      <c r="QY175" s="159"/>
      <c r="QZ175" s="159"/>
      <c r="RA175" s="159"/>
      <c r="RB175" s="159"/>
      <c r="RC175" s="159"/>
      <c r="RD175" s="159"/>
      <c r="RE175" s="159"/>
      <c r="RF175" s="159"/>
      <c r="RG175" s="159"/>
      <c r="RH175" s="159"/>
      <c r="RI175" s="159"/>
      <c r="RJ175" s="159"/>
      <c r="RK175" s="159"/>
      <c r="RL175" s="159"/>
      <c r="RM175" s="159"/>
      <c r="RN175" s="159"/>
      <c r="RO175" s="159"/>
      <c r="RP175" s="159"/>
      <c r="RQ175" s="159"/>
      <c r="RR175" s="159"/>
      <c r="RS175" s="159"/>
      <c r="RT175" s="159"/>
      <c r="RU175" s="159"/>
      <c r="RV175" s="159"/>
      <c r="RW175" s="159"/>
      <c r="RX175" s="159"/>
      <c r="RY175" s="159"/>
      <c r="RZ175" s="159"/>
      <c r="SA175" s="159"/>
      <c r="SB175" s="159"/>
      <c r="SC175" s="159"/>
      <c r="SD175" s="159"/>
      <c r="SE175" s="159"/>
      <c r="SF175" s="159"/>
      <c r="SG175" s="159"/>
      <c r="SH175" s="159"/>
      <c r="SI175" s="159"/>
      <c r="SJ175" s="159"/>
      <c r="SK175" s="159"/>
      <c r="SL175" s="159"/>
      <c r="SM175" s="159"/>
      <c r="SN175" s="159"/>
      <c r="SO175" s="159"/>
      <c r="SP175" s="159"/>
      <c r="SQ175" s="159"/>
      <c r="SR175" s="159"/>
      <c r="SS175" s="159"/>
      <c r="ST175" s="159"/>
      <c r="SU175" s="159"/>
      <c r="SV175" s="159"/>
      <c r="SW175" s="159"/>
      <c r="SX175" s="159"/>
      <c r="SY175" s="159"/>
      <c r="SZ175" s="159"/>
      <c r="TA175" s="159"/>
      <c r="TB175" s="159"/>
      <c r="TC175" s="159"/>
      <c r="TD175" s="159"/>
      <c r="TE175" s="159"/>
      <c r="TF175" s="159"/>
      <c r="TG175" s="159"/>
      <c r="TH175" s="159"/>
      <c r="TI175" s="159"/>
      <c r="TJ175" s="159"/>
      <c r="TK175" s="159"/>
      <c r="TL175" s="159"/>
      <c r="TM175" s="159"/>
      <c r="TN175" s="159"/>
      <c r="TO175" s="159"/>
      <c r="TP175" s="159"/>
      <c r="TQ175" s="159"/>
      <c r="TR175" s="159"/>
      <c r="TS175" s="159"/>
      <c r="TT175" s="159"/>
      <c r="TU175" s="159"/>
      <c r="TV175" s="159"/>
      <c r="TW175" s="159"/>
      <c r="TX175" s="159"/>
      <c r="TY175" s="159"/>
      <c r="TZ175" s="159"/>
      <c r="UA175" s="159"/>
      <c r="UB175" s="159"/>
      <c r="UC175" s="159"/>
      <c r="UD175" s="159"/>
      <c r="UE175" s="159"/>
      <c r="UF175" s="159"/>
      <c r="UG175" s="159"/>
      <c r="UH175" s="159"/>
      <c r="UI175" s="159"/>
      <c r="UJ175" s="159"/>
      <c r="UK175" s="159"/>
      <c r="UL175" s="159"/>
      <c r="UM175" s="159"/>
      <c r="UN175" s="159"/>
      <c r="UO175" s="159"/>
      <c r="UP175" s="159"/>
      <c r="UQ175" s="159"/>
      <c r="UR175" s="159"/>
      <c r="US175" s="159"/>
      <c r="UT175" s="159"/>
      <c r="UU175" s="159"/>
      <c r="UV175" s="159"/>
      <c r="UW175" s="159"/>
      <c r="UX175" s="159"/>
      <c r="UY175" s="159"/>
      <c r="UZ175" s="159"/>
      <c r="VA175" s="159"/>
      <c r="VB175" s="159"/>
      <c r="VC175" s="159"/>
      <c r="VD175" s="159"/>
      <c r="VE175" s="159"/>
      <c r="VF175" s="159"/>
      <c r="VG175" s="159"/>
      <c r="VH175" s="159"/>
      <c r="VI175" s="159"/>
      <c r="VJ175" s="159"/>
      <c r="VK175" s="159"/>
      <c r="VL175" s="159"/>
      <c r="VM175" s="159"/>
      <c r="VN175" s="159"/>
      <c r="VO175" s="159"/>
      <c r="VP175" s="159"/>
      <c r="VQ175" s="159"/>
      <c r="VR175" s="159"/>
      <c r="VS175" s="159"/>
      <c r="VT175" s="159"/>
      <c r="VU175" s="159"/>
      <c r="VV175" s="159"/>
      <c r="VW175" s="159"/>
      <c r="VX175" s="159"/>
      <c r="VY175" s="159"/>
      <c r="VZ175" s="159"/>
      <c r="WA175" s="159"/>
      <c r="WB175" s="159"/>
      <c r="WC175" s="159"/>
      <c r="WD175" s="159"/>
      <c r="WE175" s="159"/>
      <c r="WF175" s="159"/>
      <c r="WG175" s="159"/>
      <c r="WH175" s="159"/>
      <c r="WI175" s="159"/>
      <c r="WJ175" s="159"/>
      <c r="WK175" s="159"/>
      <c r="WL175" s="159"/>
      <c r="WM175" s="159"/>
      <c r="WN175" s="159"/>
      <c r="WO175" s="159"/>
      <c r="WP175" s="159"/>
      <c r="WQ175" s="159"/>
      <c r="WR175" s="159"/>
      <c r="WS175" s="159"/>
      <c r="WT175" s="159"/>
      <c r="WU175" s="159"/>
      <c r="WV175" s="159"/>
      <c r="WW175" s="159"/>
      <c r="WX175" s="159"/>
      <c r="WY175" s="159"/>
      <c r="WZ175" s="159"/>
      <c r="XA175" s="159"/>
      <c r="XB175" s="159"/>
      <c r="XC175" s="159"/>
      <c r="XD175" s="159"/>
      <c r="XE175" s="159"/>
      <c r="XF175" s="159"/>
      <c r="XG175" s="159"/>
      <c r="XH175" s="159"/>
      <c r="XI175" s="159"/>
      <c r="XJ175" s="159"/>
      <c r="XK175" s="159"/>
      <c r="XL175" s="159"/>
      <c r="XM175" s="159"/>
      <c r="XN175" s="159"/>
      <c r="XO175" s="159"/>
      <c r="XP175" s="159"/>
      <c r="XQ175" s="159"/>
      <c r="XR175" s="159"/>
      <c r="XS175" s="159"/>
      <c r="XT175" s="159"/>
      <c r="XU175" s="159"/>
      <c r="XV175" s="159"/>
      <c r="XW175" s="159"/>
      <c r="XX175" s="159"/>
      <c r="XY175" s="159"/>
      <c r="XZ175" s="159"/>
      <c r="YA175" s="159"/>
      <c r="YB175" s="159"/>
      <c r="YC175" s="159"/>
      <c r="YD175" s="159"/>
      <c r="YE175" s="159"/>
      <c r="YF175" s="159"/>
      <c r="YG175" s="159"/>
      <c r="YH175" s="159"/>
      <c r="YI175" s="159"/>
      <c r="YJ175" s="159"/>
      <c r="YK175" s="159"/>
      <c r="YL175" s="159"/>
      <c r="YM175" s="159"/>
      <c r="YN175" s="159"/>
      <c r="YO175" s="159"/>
      <c r="YP175" s="159"/>
      <c r="YQ175" s="159"/>
      <c r="YR175" s="159"/>
      <c r="YS175" s="159"/>
      <c r="YT175" s="159"/>
      <c r="YU175" s="159"/>
      <c r="YV175" s="159"/>
      <c r="YW175" s="159"/>
      <c r="YX175" s="159"/>
      <c r="YY175" s="159"/>
      <c r="YZ175" s="159"/>
      <c r="ZA175" s="159"/>
      <c r="ZB175" s="159"/>
      <c r="ZC175" s="159"/>
      <c r="ZD175" s="159"/>
      <c r="ZE175" s="159"/>
      <c r="ZF175" s="159"/>
      <c r="ZG175" s="159"/>
      <c r="ZH175" s="159"/>
      <c r="ZI175" s="159"/>
      <c r="ZJ175" s="159"/>
      <c r="ZK175" s="159"/>
      <c r="ZL175" s="159"/>
      <c r="ZM175" s="159"/>
      <c r="ZN175" s="159"/>
      <c r="ZO175" s="159"/>
      <c r="ZP175" s="159"/>
      <c r="ZQ175" s="159"/>
      <c r="ZR175" s="159"/>
      <c r="ZS175" s="159"/>
      <c r="ZT175" s="159"/>
      <c r="ZU175" s="159"/>
      <c r="ZV175" s="159"/>
      <c r="ZW175" s="159"/>
      <c r="ZX175" s="159"/>
      <c r="ZY175" s="159"/>
      <c r="ZZ175" s="159"/>
      <c r="AAA175" s="159"/>
      <c r="AAB175" s="159"/>
      <c r="AAC175" s="159"/>
      <c r="AAD175" s="159"/>
      <c r="AAE175" s="159"/>
      <c r="AAF175" s="159"/>
      <c r="AAG175" s="159"/>
      <c r="AAH175" s="159"/>
      <c r="AAI175" s="159"/>
      <c r="AAJ175" s="159"/>
      <c r="AAK175" s="159"/>
      <c r="AAL175" s="159"/>
      <c r="AAM175" s="159"/>
      <c r="AAN175" s="159"/>
      <c r="AAO175" s="159"/>
      <c r="AAP175" s="159"/>
      <c r="AAQ175" s="159"/>
      <c r="AAR175" s="159"/>
      <c r="AAS175" s="159"/>
      <c r="AAT175" s="159"/>
      <c r="AAU175" s="159"/>
      <c r="AAV175" s="159"/>
      <c r="AAW175" s="159"/>
      <c r="AAX175" s="159"/>
      <c r="AAY175" s="159"/>
      <c r="AAZ175" s="159"/>
      <c r="ABA175" s="159"/>
      <c r="ABB175" s="159"/>
      <c r="ABC175" s="159"/>
      <c r="ABD175" s="159"/>
      <c r="ABE175" s="159"/>
      <c r="ABF175" s="159"/>
      <c r="ABG175" s="159"/>
      <c r="ABH175" s="159"/>
      <c r="ABI175" s="159"/>
      <c r="ABJ175" s="159"/>
      <c r="ABK175" s="159"/>
      <c r="ABL175" s="159"/>
      <c r="ABM175" s="159"/>
      <c r="ABN175" s="159"/>
      <c r="ABO175" s="159"/>
      <c r="ABP175" s="159"/>
      <c r="ABQ175" s="159"/>
      <c r="ABR175" s="159"/>
      <c r="ABS175" s="159"/>
      <c r="ABT175" s="159"/>
      <c r="ABU175" s="159"/>
      <c r="ABV175" s="159"/>
      <c r="ABW175" s="159"/>
      <c r="ABX175" s="159"/>
      <c r="ABY175" s="159"/>
      <c r="ABZ175" s="159"/>
      <c r="ACA175" s="159"/>
      <c r="ACB175" s="159"/>
      <c r="ACC175" s="159"/>
      <c r="ACD175" s="159"/>
      <c r="ACE175" s="159"/>
      <c r="ACF175" s="159"/>
      <c r="ACG175" s="159"/>
      <c r="ACH175" s="159"/>
      <c r="ACI175" s="159"/>
      <c r="ACJ175" s="159"/>
      <c r="ACK175" s="159"/>
      <c r="ACL175" s="159"/>
      <c r="ACM175" s="159"/>
      <c r="ACN175" s="159"/>
      <c r="ACO175" s="159"/>
      <c r="ACP175" s="159"/>
      <c r="ACQ175" s="159"/>
      <c r="ACR175" s="159"/>
      <c r="ACS175" s="159"/>
      <c r="ACT175" s="159"/>
      <c r="ACU175" s="159"/>
      <c r="ACV175" s="159"/>
      <c r="ACW175" s="159"/>
      <c r="ACX175" s="159"/>
      <c r="ACY175" s="159"/>
      <c r="ACZ175" s="159"/>
      <c r="ADA175" s="159"/>
      <c r="ADB175" s="159"/>
      <c r="ADC175" s="159"/>
      <c r="ADD175" s="159"/>
      <c r="ADE175" s="159"/>
      <c r="ADF175" s="159"/>
      <c r="ADG175" s="159"/>
      <c r="ADH175" s="159"/>
      <c r="ADI175" s="159"/>
      <c r="ADJ175" s="159"/>
      <c r="ADK175" s="159"/>
      <c r="ADL175" s="159"/>
      <c r="ADM175" s="159"/>
      <c r="ADN175" s="159"/>
      <c r="ADO175" s="159"/>
      <c r="ADP175" s="159"/>
      <c r="ADQ175" s="159"/>
      <c r="ADR175" s="159"/>
      <c r="ADS175" s="159"/>
      <c r="ADT175" s="159"/>
      <c r="ADU175" s="159"/>
      <c r="ADV175" s="159"/>
      <c r="ADW175" s="159"/>
      <c r="ADX175" s="159"/>
      <c r="ADY175" s="159"/>
      <c r="ADZ175" s="159"/>
      <c r="AEA175" s="159"/>
      <c r="AEB175" s="159"/>
      <c r="AEC175" s="159"/>
      <c r="AED175" s="159"/>
      <c r="AEE175" s="159"/>
      <c r="AEF175" s="159"/>
      <c r="AEG175" s="159"/>
      <c r="AEH175" s="159"/>
      <c r="AEI175" s="159"/>
      <c r="AEJ175" s="159"/>
      <c r="AEK175" s="159"/>
      <c r="AEL175" s="159"/>
      <c r="AEM175" s="159"/>
      <c r="AEN175" s="159"/>
      <c r="AEO175" s="159"/>
      <c r="AEP175" s="159"/>
      <c r="AEQ175" s="159"/>
      <c r="AER175" s="159"/>
      <c r="AES175" s="159"/>
      <c r="AET175" s="159"/>
      <c r="AEU175" s="159"/>
      <c r="AEV175" s="159"/>
      <c r="AEW175" s="159"/>
      <c r="AEX175" s="159"/>
      <c r="AEY175" s="159"/>
      <c r="AEZ175" s="159"/>
      <c r="AFA175" s="159"/>
      <c r="AFB175" s="159"/>
      <c r="AFC175" s="159"/>
      <c r="AFD175" s="159"/>
      <c r="AFE175" s="159"/>
      <c r="AFF175" s="159"/>
      <c r="AFG175" s="159"/>
      <c r="AFH175" s="159"/>
      <c r="AFI175" s="159"/>
      <c r="AFJ175" s="159"/>
      <c r="AFK175" s="159"/>
      <c r="AFL175" s="159"/>
      <c r="AFM175" s="159"/>
      <c r="AFN175" s="159"/>
      <c r="AFO175" s="159"/>
      <c r="AFP175" s="159"/>
      <c r="AFQ175" s="159"/>
      <c r="AFR175" s="159"/>
      <c r="AFS175" s="159"/>
      <c r="AFT175" s="159"/>
      <c r="AFU175" s="159"/>
      <c r="AFV175" s="159"/>
      <c r="AFW175" s="159"/>
      <c r="AFX175" s="159"/>
      <c r="AFY175" s="159"/>
      <c r="AFZ175" s="159"/>
      <c r="AGA175" s="159"/>
      <c r="AGB175" s="159"/>
      <c r="AGC175" s="159"/>
      <c r="AGD175" s="159"/>
      <c r="AGE175" s="159"/>
      <c r="AGF175" s="159"/>
      <c r="AGG175" s="159"/>
      <c r="AGH175" s="159"/>
      <c r="AGI175" s="159"/>
      <c r="AGJ175" s="159"/>
      <c r="AGK175" s="159"/>
      <c r="AGL175" s="159"/>
      <c r="AGM175" s="159"/>
      <c r="AGN175" s="159"/>
      <c r="AGO175" s="159"/>
      <c r="AGP175" s="159"/>
      <c r="AGQ175" s="159"/>
      <c r="AGR175" s="159"/>
      <c r="AGS175" s="159"/>
      <c r="AGT175" s="159"/>
      <c r="AGU175" s="159"/>
      <c r="AGV175" s="159"/>
      <c r="AGW175" s="159"/>
      <c r="AGX175" s="159"/>
      <c r="AGY175" s="159"/>
      <c r="AGZ175" s="159"/>
      <c r="AHA175" s="159"/>
      <c r="AHB175" s="159"/>
      <c r="AHC175" s="159"/>
      <c r="AHD175" s="159"/>
      <c r="AHE175" s="159"/>
      <c r="AHF175" s="159"/>
      <c r="AHG175" s="159"/>
      <c r="AHH175" s="159"/>
      <c r="AHI175" s="159"/>
      <c r="AHJ175" s="159"/>
      <c r="AHK175" s="159"/>
      <c r="AHL175" s="159"/>
      <c r="AHM175" s="159"/>
      <c r="AHN175" s="159"/>
      <c r="AHO175" s="159"/>
      <c r="AHP175" s="159"/>
      <c r="AHQ175" s="159"/>
      <c r="AHR175" s="159"/>
      <c r="AHS175" s="159"/>
      <c r="AHT175" s="159"/>
      <c r="AHU175" s="159"/>
      <c r="AHV175" s="159"/>
      <c r="AHW175" s="159"/>
      <c r="AHX175" s="159"/>
      <c r="AHY175" s="159"/>
      <c r="AHZ175" s="159"/>
      <c r="AIA175" s="159"/>
      <c r="AIB175" s="159"/>
      <c r="AIC175" s="159"/>
      <c r="AID175" s="159"/>
      <c r="AIE175" s="159"/>
      <c r="AIF175" s="159"/>
      <c r="AIG175" s="159"/>
      <c r="AIH175" s="159"/>
      <c r="AII175" s="159"/>
      <c r="AIJ175" s="159"/>
      <c r="AIK175" s="159"/>
      <c r="AIL175" s="159"/>
      <c r="AIM175" s="159"/>
      <c r="AIN175" s="159"/>
      <c r="AIO175" s="159"/>
      <c r="AIP175" s="159"/>
      <c r="AIQ175" s="159"/>
      <c r="AIR175" s="159"/>
      <c r="AIS175" s="159"/>
      <c r="AIT175" s="159"/>
      <c r="AIU175" s="159"/>
      <c r="AIV175" s="159"/>
      <c r="AIW175" s="159"/>
      <c r="AIX175" s="159"/>
      <c r="AIY175" s="159"/>
      <c r="AIZ175" s="159"/>
      <c r="AJA175" s="159"/>
      <c r="AJB175" s="159"/>
      <c r="AJC175" s="159"/>
      <c r="AJD175" s="159"/>
      <c r="AJE175" s="159"/>
      <c r="AJF175" s="159"/>
      <c r="AJG175" s="159"/>
      <c r="AJH175" s="159"/>
      <c r="AJI175" s="159"/>
      <c r="AJJ175" s="159"/>
      <c r="AJK175" s="159"/>
      <c r="AJL175" s="159"/>
      <c r="AJM175" s="159"/>
      <c r="AJN175" s="159"/>
      <c r="AJO175" s="159"/>
      <c r="AJP175" s="159"/>
      <c r="AJQ175" s="159"/>
      <c r="AJR175" s="159"/>
      <c r="AJS175" s="159"/>
      <c r="AJT175" s="159"/>
      <c r="AJU175" s="159"/>
      <c r="AJV175" s="159"/>
      <c r="AJW175" s="159"/>
      <c r="AJX175" s="159"/>
      <c r="AJY175" s="159"/>
      <c r="AJZ175" s="159"/>
      <c r="AKA175" s="159"/>
      <c r="AKB175" s="159"/>
      <c r="AKC175" s="159"/>
      <c r="AKD175" s="159"/>
      <c r="AKE175" s="159"/>
      <c r="AKF175" s="159"/>
      <c r="AKG175" s="159"/>
      <c r="AKH175" s="159"/>
      <c r="AKI175" s="159"/>
      <c r="AKJ175" s="159"/>
      <c r="AKK175" s="159"/>
      <c r="AKL175" s="159"/>
      <c r="AKM175" s="159"/>
      <c r="AKN175" s="159"/>
      <c r="AKO175" s="159"/>
      <c r="AKP175" s="159"/>
      <c r="AKQ175" s="159"/>
      <c r="AKR175" s="159"/>
      <c r="AKS175" s="159"/>
      <c r="AKT175" s="159"/>
      <c r="AKU175" s="159"/>
      <c r="AKV175" s="159"/>
      <c r="AKW175" s="159"/>
      <c r="AKX175" s="159"/>
      <c r="AKY175" s="159"/>
      <c r="AKZ175" s="159"/>
      <c r="ALA175" s="159"/>
      <c r="ALB175" s="159"/>
      <c r="ALC175" s="159"/>
      <c r="ALD175" s="159"/>
      <c r="ALE175" s="159"/>
      <c r="ALF175" s="159"/>
      <c r="ALG175" s="159"/>
      <c r="ALH175" s="159"/>
      <c r="ALI175" s="159"/>
      <c r="ALJ175" s="159"/>
      <c r="ALK175" s="159"/>
      <c r="ALL175" s="159"/>
      <c r="ALM175" s="159"/>
      <c r="ALN175" s="159"/>
      <c r="ALO175" s="159"/>
      <c r="ALP175" s="159"/>
      <c r="ALQ175" s="159"/>
      <c r="ALR175" s="159"/>
      <c r="ALS175" s="159"/>
      <c r="ALT175" s="159"/>
      <c r="ALU175" s="159"/>
      <c r="ALV175" s="159"/>
      <c r="ALW175" s="159"/>
      <c r="ALX175" s="159"/>
      <c r="ALY175" s="159"/>
      <c r="ALZ175" s="159"/>
      <c r="AMA175" s="159"/>
      <c r="AMB175" s="159"/>
      <c r="AMC175" s="159"/>
      <c r="AMD175" s="159"/>
      <c r="AME175" s="159"/>
      <c r="AMF175" s="159"/>
      <c r="AMG175" s="159"/>
      <c r="AMH175" s="159"/>
      <c r="AMI175" s="159"/>
      <c r="AMJ175" s="159"/>
      <c r="AMK175" s="159"/>
      <c r="AML175" s="159"/>
      <c r="AMM175" s="159"/>
      <c r="AMN175" s="159"/>
      <c r="AMO175" s="159"/>
    </row>
    <row r="176" spans="1:1029" s="161" customFormat="1" ht="25.5" x14ac:dyDescent="0.25">
      <c r="A176" s="138">
        <v>46267</v>
      </c>
      <c r="B176" s="99" t="s">
        <v>64</v>
      </c>
      <c r="C176" s="99" t="s">
        <v>151</v>
      </c>
      <c r="D176" s="160" t="s">
        <v>16</v>
      </c>
      <c r="E176" s="118" t="s">
        <v>47</v>
      </c>
      <c r="F176" s="149" t="s">
        <v>38</v>
      </c>
      <c r="G176" s="149" t="s">
        <v>16</v>
      </c>
      <c r="H176" s="141">
        <f t="shared" si="12"/>
        <v>0.5</v>
      </c>
      <c r="I176" s="120" t="s">
        <v>8</v>
      </c>
      <c r="J176" s="121" t="s">
        <v>10</v>
      </c>
      <c r="K176" s="121" t="s">
        <v>11</v>
      </c>
      <c r="L176" s="141" t="b">
        <f t="shared" si="13"/>
        <v>0</v>
      </c>
      <c r="M176" s="121" t="s">
        <v>8</v>
      </c>
      <c r="N176" s="121" t="s">
        <v>10</v>
      </c>
      <c r="O176" s="121" t="s">
        <v>31</v>
      </c>
      <c r="P176" s="141" t="b">
        <f t="shared" si="14"/>
        <v>0</v>
      </c>
      <c r="Q176" s="149" t="s">
        <v>73</v>
      </c>
      <c r="R176" s="99" t="s">
        <v>163</v>
      </c>
      <c r="S176" s="99" t="s">
        <v>31</v>
      </c>
      <c r="T176" s="141" t="b">
        <f t="shared" si="15"/>
        <v>0</v>
      </c>
      <c r="U176" s="159"/>
      <c r="V176" s="159"/>
      <c r="W176" s="159"/>
      <c r="X176" s="159"/>
      <c r="Y176" s="159"/>
      <c r="Z176" s="159"/>
      <c r="AA176" s="159"/>
      <c r="AB176" s="159"/>
      <c r="AC176" s="159"/>
      <c r="AD176" s="159"/>
      <c r="AE176" s="159"/>
      <c r="AF176" s="159"/>
      <c r="AG176" s="159"/>
      <c r="AH176" s="159"/>
      <c r="AI176" s="159"/>
      <c r="AJ176" s="159"/>
      <c r="AK176" s="159"/>
      <c r="AL176" s="159"/>
      <c r="AM176" s="159"/>
      <c r="AN176" s="159"/>
      <c r="AO176" s="159"/>
      <c r="AP176" s="159"/>
      <c r="AQ176" s="159"/>
      <c r="AR176" s="159"/>
      <c r="AS176" s="159"/>
      <c r="AT176" s="159"/>
      <c r="AU176" s="159"/>
      <c r="AV176" s="159"/>
      <c r="AW176" s="159"/>
      <c r="AX176" s="159"/>
      <c r="AY176" s="159"/>
      <c r="AZ176" s="159"/>
      <c r="BA176" s="159"/>
      <c r="BB176" s="159"/>
      <c r="BC176" s="159"/>
      <c r="BD176" s="159"/>
      <c r="BE176" s="159"/>
      <c r="BF176" s="159"/>
      <c r="BG176" s="159"/>
      <c r="BH176" s="159"/>
      <c r="BI176" s="159"/>
      <c r="BJ176" s="159"/>
      <c r="BK176" s="159"/>
      <c r="BL176" s="159"/>
      <c r="BM176" s="159"/>
      <c r="BN176" s="159"/>
      <c r="BO176" s="159"/>
      <c r="BP176" s="159"/>
      <c r="BQ176" s="159"/>
      <c r="BR176" s="159"/>
      <c r="BS176" s="159"/>
      <c r="BT176" s="159"/>
      <c r="BU176" s="159"/>
      <c r="BV176" s="159"/>
      <c r="BW176" s="159"/>
      <c r="BX176" s="159"/>
      <c r="BY176" s="159"/>
      <c r="BZ176" s="159"/>
      <c r="CA176" s="159"/>
      <c r="CB176" s="159"/>
      <c r="CC176" s="159"/>
      <c r="CD176" s="159"/>
      <c r="CE176" s="159"/>
      <c r="CF176" s="159"/>
      <c r="CG176" s="159"/>
      <c r="CH176" s="159"/>
      <c r="CI176" s="159"/>
      <c r="CJ176" s="159"/>
      <c r="CK176" s="159"/>
      <c r="CL176" s="159"/>
      <c r="CM176" s="159"/>
      <c r="CN176" s="159"/>
      <c r="CO176" s="159"/>
      <c r="CP176" s="159"/>
      <c r="CQ176" s="159"/>
      <c r="CR176" s="159"/>
      <c r="CS176" s="159"/>
      <c r="CT176" s="159"/>
      <c r="CU176" s="159"/>
      <c r="CV176" s="159"/>
      <c r="CW176" s="159"/>
      <c r="CX176" s="159"/>
      <c r="CY176" s="159"/>
      <c r="CZ176" s="159"/>
      <c r="DA176" s="159"/>
      <c r="DB176" s="159"/>
      <c r="DC176" s="159"/>
      <c r="DD176" s="159"/>
      <c r="DE176" s="159"/>
      <c r="DF176" s="159"/>
      <c r="DG176" s="159"/>
      <c r="DH176" s="159"/>
      <c r="DI176" s="159"/>
      <c r="DJ176" s="159"/>
      <c r="DK176" s="159"/>
      <c r="DL176" s="159"/>
      <c r="DM176" s="159"/>
      <c r="DN176" s="159"/>
      <c r="DO176" s="159"/>
      <c r="DP176" s="159"/>
      <c r="DQ176" s="159"/>
      <c r="DR176" s="159"/>
      <c r="DS176" s="159"/>
      <c r="DT176" s="159"/>
      <c r="DU176" s="159"/>
      <c r="DV176" s="159"/>
      <c r="DW176" s="159"/>
      <c r="DX176" s="159"/>
      <c r="DY176" s="159"/>
      <c r="DZ176" s="159"/>
      <c r="EA176" s="159"/>
      <c r="EB176" s="159"/>
      <c r="EC176" s="159"/>
      <c r="ED176" s="159"/>
      <c r="EE176" s="159"/>
      <c r="EF176" s="159"/>
      <c r="EG176" s="159"/>
      <c r="EH176" s="159"/>
      <c r="EI176" s="159"/>
      <c r="EJ176" s="159"/>
      <c r="EK176" s="159"/>
      <c r="EL176" s="159"/>
      <c r="EM176" s="159"/>
      <c r="EN176" s="159"/>
      <c r="EO176" s="159"/>
      <c r="EP176" s="159"/>
      <c r="EQ176" s="159"/>
      <c r="ER176" s="159"/>
      <c r="ES176" s="159"/>
      <c r="ET176" s="159"/>
      <c r="EU176" s="159"/>
      <c r="EV176" s="159"/>
      <c r="EW176" s="159"/>
      <c r="EX176" s="159"/>
      <c r="EY176" s="159"/>
      <c r="EZ176" s="159"/>
      <c r="FA176" s="159"/>
      <c r="FB176" s="159"/>
      <c r="FC176" s="159"/>
      <c r="FD176" s="159"/>
      <c r="FE176" s="159"/>
      <c r="FF176" s="159"/>
      <c r="FG176" s="159"/>
      <c r="FH176" s="159"/>
      <c r="FI176" s="159"/>
      <c r="FJ176" s="159"/>
      <c r="FK176" s="159"/>
      <c r="FL176" s="159"/>
      <c r="FM176" s="159"/>
      <c r="FN176" s="159"/>
      <c r="FO176" s="159"/>
      <c r="FP176" s="159"/>
      <c r="FQ176" s="159"/>
      <c r="FR176" s="159"/>
      <c r="FS176" s="159"/>
      <c r="FT176" s="159"/>
      <c r="FU176" s="159"/>
      <c r="FV176" s="159"/>
      <c r="FW176" s="159"/>
      <c r="FX176" s="159"/>
      <c r="FY176" s="159"/>
      <c r="FZ176" s="159"/>
      <c r="GA176" s="159"/>
      <c r="GB176" s="159"/>
      <c r="GC176" s="159"/>
      <c r="GD176" s="159"/>
      <c r="GE176" s="159"/>
      <c r="GF176" s="159"/>
      <c r="GG176" s="159"/>
      <c r="GH176" s="159"/>
      <c r="GI176" s="159"/>
      <c r="GJ176" s="159"/>
      <c r="GK176" s="159"/>
      <c r="GL176" s="159"/>
      <c r="GM176" s="159"/>
      <c r="GN176" s="159"/>
      <c r="GO176" s="159"/>
      <c r="GP176" s="159"/>
      <c r="GQ176" s="159"/>
      <c r="GR176" s="159"/>
      <c r="GS176" s="159"/>
      <c r="GT176" s="159"/>
      <c r="GU176" s="159"/>
      <c r="GV176" s="159"/>
      <c r="GW176" s="159"/>
      <c r="GX176" s="159"/>
      <c r="GY176" s="159"/>
      <c r="GZ176" s="159"/>
      <c r="HA176" s="159"/>
      <c r="HB176" s="159"/>
      <c r="HC176" s="159"/>
      <c r="HD176" s="159"/>
      <c r="HE176" s="159"/>
      <c r="HF176" s="159"/>
      <c r="HG176" s="159"/>
      <c r="HH176" s="159"/>
      <c r="HI176" s="159"/>
      <c r="HJ176" s="159"/>
      <c r="HK176" s="159"/>
      <c r="HL176" s="159"/>
      <c r="HM176" s="159"/>
      <c r="HN176" s="159"/>
      <c r="HO176" s="159"/>
      <c r="HP176" s="159"/>
      <c r="HQ176" s="159"/>
      <c r="HR176" s="159"/>
      <c r="HS176" s="159"/>
      <c r="HT176" s="159"/>
      <c r="HU176" s="159"/>
      <c r="HV176" s="159"/>
      <c r="HW176" s="159"/>
      <c r="HX176" s="159"/>
      <c r="HY176" s="159"/>
      <c r="HZ176" s="159"/>
      <c r="IA176" s="159"/>
      <c r="IB176" s="159"/>
      <c r="IC176" s="159"/>
      <c r="ID176" s="159"/>
      <c r="IE176" s="159"/>
      <c r="IF176" s="159"/>
      <c r="IG176" s="159"/>
      <c r="IH176" s="159"/>
      <c r="II176" s="159"/>
      <c r="IJ176" s="159"/>
      <c r="IK176" s="159"/>
      <c r="IL176" s="159"/>
      <c r="IM176" s="159"/>
      <c r="IN176" s="159"/>
      <c r="IO176" s="159"/>
      <c r="IP176" s="159"/>
      <c r="IQ176" s="159"/>
      <c r="IR176" s="159"/>
      <c r="IS176" s="159"/>
      <c r="IT176" s="159"/>
      <c r="IU176" s="159"/>
      <c r="IV176" s="159"/>
      <c r="IW176" s="159"/>
      <c r="IX176" s="159"/>
      <c r="IY176" s="159"/>
      <c r="IZ176" s="159"/>
      <c r="JA176" s="159"/>
      <c r="JB176" s="159"/>
      <c r="JC176" s="159"/>
      <c r="JD176" s="159"/>
      <c r="JE176" s="159"/>
      <c r="JF176" s="159"/>
      <c r="JG176" s="159"/>
      <c r="JH176" s="159"/>
      <c r="JI176" s="159"/>
      <c r="JJ176" s="159"/>
      <c r="JK176" s="159"/>
      <c r="JL176" s="159"/>
      <c r="JM176" s="159"/>
      <c r="JN176" s="159"/>
      <c r="JO176" s="159"/>
      <c r="JP176" s="159"/>
      <c r="JQ176" s="159"/>
      <c r="JR176" s="159"/>
      <c r="JS176" s="159"/>
      <c r="JT176" s="159"/>
      <c r="JU176" s="159"/>
      <c r="JV176" s="159"/>
      <c r="JW176" s="159"/>
      <c r="JX176" s="159"/>
      <c r="JY176" s="159"/>
      <c r="JZ176" s="159"/>
      <c r="KA176" s="159"/>
      <c r="KB176" s="159"/>
      <c r="KC176" s="159"/>
      <c r="KD176" s="159"/>
      <c r="KE176" s="159"/>
      <c r="KF176" s="159"/>
      <c r="KG176" s="159"/>
      <c r="KH176" s="159"/>
      <c r="KI176" s="159"/>
      <c r="KJ176" s="159"/>
      <c r="KK176" s="159"/>
      <c r="KL176" s="159"/>
      <c r="KM176" s="159"/>
      <c r="KN176" s="159"/>
      <c r="KO176" s="159"/>
      <c r="KP176" s="159"/>
      <c r="KQ176" s="159"/>
      <c r="KR176" s="159"/>
      <c r="KS176" s="159"/>
      <c r="KT176" s="159"/>
      <c r="KU176" s="159"/>
      <c r="KV176" s="159"/>
      <c r="KW176" s="159"/>
      <c r="KX176" s="159"/>
      <c r="KY176" s="159"/>
      <c r="KZ176" s="159"/>
      <c r="LA176" s="159"/>
      <c r="LB176" s="159"/>
      <c r="LC176" s="159"/>
      <c r="LD176" s="159"/>
      <c r="LE176" s="159"/>
      <c r="LF176" s="159"/>
      <c r="LG176" s="159"/>
      <c r="LH176" s="159"/>
      <c r="LI176" s="159"/>
      <c r="LJ176" s="159"/>
      <c r="LK176" s="159"/>
      <c r="LL176" s="159"/>
      <c r="LM176" s="159"/>
      <c r="LN176" s="159"/>
      <c r="LO176" s="159"/>
      <c r="LP176" s="159"/>
      <c r="LQ176" s="159"/>
      <c r="LR176" s="159"/>
      <c r="LS176" s="159"/>
      <c r="LT176" s="159"/>
      <c r="LU176" s="159"/>
      <c r="LV176" s="159"/>
      <c r="LW176" s="159"/>
      <c r="LX176" s="159"/>
      <c r="LY176" s="159"/>
      <c r="LZ176" s="159"/>
      <c r="MA176" s="159"/>
      <c r="MB176" s="159"/>
      <c r="MC176" s="159"/>
      <c r="MD176" s="159"/>
      <c r="ME176" s="159"/>
      <c r="MF176" s="159"/>
      <c r="MG176" s="159"/>
      <c r="MH176" s="159"/>
      <c r="MI176" s="159"/>
      <c r="MJ176" s="159"/>
      <c r="MK176" s="159"/>
      <c r="ML176" s="159"/>
      <c r="MM176" s="159"/>
      <c r="MN176" s="159"/>
      <c r="MO176" s="159"/>
      <c r="MP176" s="159"/>
      <c r="MQ176" s="159"/>
      <c r="MR176" s="159"/>
      <c r="MS176" s="159"/>
      <c r="MT176" s="159"/>
      <c r="MU176" s="159"/>
      <c r="MV176" s="159"/>
      <c r="MW176" s="159"/>
      <c r="MX176" s="159"/>
      <c r="MY176" s="159"/>
      <c r="MZ176" s="159"/>
      <c r="NA176" s="159"/>
      <c r="NB176" s="159"/>
      <c r="NC176" s="159"/>
      <c r="ND176" s="159"/>
      <c r="NE176" s="159"/>
      <c r="NF176" s="159"/>
      <c r="NG176" s="159"/>
      <c r="NH176" s="159"/>
      <c r="NI176" s="159"/>
      <c r="NJ176" s="159"/>
      <c r="NK176" s="159"/>
      <c r="NL176" s="159"/>
      <c r="NM176" s="159"/>
      <c r="NN176" s="159"/>
      <c r="NO176" s="159"/>
      <c r="NP176" s="159"/>
      <c r="NQ176" s="159"/>
      <c r="NR176" s="159"/>
      <c r="NS176" s="159"/>
      <c r="NT176" s="159"/>
      <c r="NU176" s="159"/>
      <c r="NV176" s="159"/>
      <c r="NW176" s="159"/>
      <c r="NX176" s="159"/>
      <c r="NY176" s="159"/>
      <c r="NZ176" s="159"/>
      <c r="OA176" s="159"/>
      <c r="OB176" s="159"/>
      <c r="OC176" s="159"/>
      <c r="OD176" s="159"/>
      <c r="OE176" s="159"/>
      <c r="OF176" s="159"/>
      <c r="OG176" s="159"/>
      <c r="OH176" s="159"/>
      <c r="OI176" s="159"/>
      <c r="OJ176" s="159"/>
      <c r="OK176" s="159"/>
      <c r="OL176" s="159"/>
      <c r="OM176" s="159"/>
      <c r="ON176" s="159"/>
      <c r="OO176" s="159"/>
      <c r="OP176" s="159"/>
      <c r="OQ176" s="159"/>
      <c r="OR176" s="159"/>
      <c r="OS176" s="159"/>
      <c r="OT176" s="159"/>
      <c r="OU176" s="159"/>
      <c r="OV176" s="159"/>
      <c r="OW176" s="159"/>
      <c r="OX176" s="159"/>
      <c r="OY176" s="159"/>
      <c r="OZ176" s="159"/>
      <c r="PA176" s="159"/>
      <c r="PB176" s="159"/>
      <c r="PC176" s="159"/>
      <c r="PD176" s="159"/>
      <c r="PE176" s="159"/>
      <c r="PF176" s="159"/>
      <c r="PG176" s="159"/>
      <c r="PH176" s="159"/>
      <c r="PI176" s="159"/>
      <c r="PJ176" s="159"/>
      <c r="PK176" s="159"/>
      <c r="PL176" s="159"/>
      <c r="PM176" s="159"/>
      <c r="PN176" s="159"/>
      <c r="PO176" s="159"/>
      <c r="PP176" s="159"/>
      <c r="PQ176" s="159"/>
      <c r="PR176" s="159"/>
      <c r="PS176" s="159"/>
      <c r="PT176" s="159"/>
      <c r="PU176" s="159"/>
      <c r="PV176" s="159"/>
      <c r="PW176" s="159"/>
      <c r="PX176" s="159"/>
      <c r="PY176" s="159"/>
      <c r="PZ176" s="159"/>
      <c r="QA176" s="159"/>
      <c r="QB176" s="159"/>
      <c r="QC176" s="159"/>
      <c r="QD176" s="159"/>
      <c r="QE176" s="159"/>
      <c r="QF176" s="159"/>
      <c r="QG176" s="159"/>
      <c r="QH176" s="159"/>
      <c r="QI176" s="159"/>
      <c r="QJ176" s="159"/>
      <c r="QK176" s="159"/>
      <c r="QL176" s="159"/>
      <c r="QM176" s="159"/>
      <c r="QN176" s="159"/>
      <c r="QO176" s="159"/>
      <c r="QP176" s="159"/>
      <c r="QQ176" s="159"/>
      <c r="QR176" s="159"/>
      <c r="QS176" s="159"/>
      <c r="QT176" s="159"/>
      <c r="QU176" s="159"/>
      <c r="QV176" s="159"/>
      <c r="QW176" s="159"/>
      <c r="QX176" s="159"/>
      <c r="QY176" s="159"/>
      <c r="QZ176" s="159"/>
      <c r="RA176" s="159"/>
      <c r="RB176" s="159"/>
      <c r="RC176" s="159"/>
      <c r="RD176" s="159"/>
      <c r="RE176" s="159"/>
      <c r="RF176" s="159"/>
      <c r="RG176" s="159"/>
      <c r="RH176" s="159"/>
      <c r="RI176" s="159"/>
      <c r="RJ176" s="159"/>
      <c r="RK176" s="159"/>
      <c r="RL176" s="159"/>
      <c r="RM176" s="159"/>
      <c r="RN176" s="159"/>
      <c r="RO176" s="159"/>
      <c r="RP176" s="159"/>
      <c r="RQ176" s="159"/>
      <c r="RR176" s="159"/>
      <c r="RS176" s="159"/>
      <c r="RT176" s="159"/>
      <c r="RU176" s="159"/>
      <c r="RV176" s="159"/>
      <c r="RW176" s="159"/>
      <c r="RX176" s="159"/>
      <c r="RY176" s="159"/>
      <c r="RZ176" s="159"/>
      <c r="SA176" s="159"/>
      <c r="SB176" s="159"/>
      <c r="SC176" s="159"/>
      <c r="SD176" s="159"/>
      <c r="SE176" s="159"/>
      <c r="SF176" s="159"/>
      <c r="SG176" s="159"/>
      <c r="SH176" s="159"/>
      <c r="SI176" s="159"/>
      <c r="SJ176" s="159"/>
      <c r="SK176" s="159"/>
      <c r="SL176" s="159"/>
      <c r="SM176" s="159"/>
      <c r="SN176" s="159"/>
      <c r="SO176" s="159"/>
      <c r="SP176" s="159"/>
      <c r="SQ176" s="159"/>
      <c r="SR176" s="159"/>
      <c r="SS176" s="159"/>
      <c r="ST176" s="159"/>
      <c r="SU176" s="159"/>
      <c r="SV176" s="159"/>
      <c r="SW176" s="159"/>
      <c r="SX176" s="159"/>
      <c r="SY176" s="159"/>
      <c r="SZ176" s="159"/>
      <c r="TA176" s="159"/>
      <c r="TB176" s="159"/>
      <c r="TC176" s="159"/>
      <c r="TD176" s="159"/>
      <c r="TE176" s="159"/>
      <c r="TF176" s="159"/>
      <c r="TG176" s="159"/>
      <c r="TH176" s="159"/>
      <c r="TI176" s="159"/>
      <c r="TJ176" s="159"/>
      <c r="TK176" s="159"/>
      <c r="TL176" s="159"/>
      <c r="TM176" s="159"/>
      <c r="TN176" s="159"/>
      <c r="TO176" s="159"/>
      <c r="TP176" s="159"/>
      <c r="TQ176" s="159"/>
      <c r="TR176" s="159"/>
      <c r="TS176" s="159"/>
      <c r="TT176" s="159"/>
      <c r="TU176" s="159"/>
      <c r="TV176" s="159"/>
      <c r="TW176" s="159"/>
      <c r="TX176" s="159"/>
      <c r="TY176" s="159"/>
      <c r="TZ176" s="159"/>
      <c r="UA176" s="159"/>
      <c r="UB176" s="159"/>
      <c r="UC176" s="159"/>
      <c r="UD176" s="159"/>
      <c r="UE176" s="159"/>
      <c r="UF176" s="159"/>
      <c r="UG176" s="159"/>
      <c r="UH176" s="159"/>
      <c r="UI176" s="159"/>
      <c r="UJ176" s="159"/>
      <c r="UK176" s="159"/>
      <c r="UL176" s="159"/>
      <c r="UM176" s="159"/>
      <c r="UN176" s="159"/>
      <c r="UO176" s="159"/>
      <c r="UP176" s="159"/>
      <c r="UQ176" s="159"/>
      <c r="UR176" s="159"/>
      <c r="US176" s="159"/>
      <c r="UT176" s="159"/>
      <c r="UU176" s="159"/>
      <c r="UV176" s="159"/>
      <c r="UW176" s="159"/>
      <c r="UX176" s="159"/>
      <c r="UY176" s="159"/>
      <c r="UZ176" s="159"/>
      <c r="VA176" s="159"/>
      <c r="VB176" s="159"/>
      <c r="VC176" s="159"/>
      <c r="VD176" s="159"/>
      <c r="VE176" s="159"/>
      <c r="VF176" s="159"/>
      <c r="VG176" s="159"/>
      <c r="VH176" s="159"/>
      <c r="VI176" s="159"/>
      <c r="VJ176" s="159"/>
      <c r="VK176" s="159"/>
      <c r="VL176" s="159"/>
      <c r="VM176" s="159"/>
      <c r="VN176" s="159"/>
      <c r="VO176" s="159"/>
      <c r="VP176" s="159"/>
      <c r="VQ176" s="159"/>
      <c r="VR176" s="159"/>
      <c r="VS176" s="159"/>
      <c r="VT176" s="159"/>
      <c r="VU176" s="159"/>
      <c r="VV176" s="159"/>
      <c r="VW176" s="159"/>
      <c r="VX176" s="159"/>
      <c r="VY176" s="159"/>
      <c r="VZ176" s="159"/>
      <c r="WA176" s="159"/>
      <c r="WB176" s="159"/>
      <c r="WC176" s="159"/>
      <c r="WD176" s="159"/>
      <c r="WE176" s="159"/>
      <c r="WF176" s="159"/>
      <c r="WG176" s="159"/>
      <c r="WH176" s="159"/>
      <c r="WI176" s="159"/>
      <c r="WJ176" s="159"/>
      <c r="WK176" s="159"/>
      <c r="WL176" s="159"/>
      <c r="WM176" s="159"/>
      <c r="WN176" s="159"/>
      <c r="WO176" s="159"/>
      <c r="WP176" s="159"/>
      <c r="WQ176" s="159"/>
      <c r="WR176" s="159"/>
      <c r="WS176" s="159"/>
      <c r="WT176" s="159"/>
      <c r="WU176" s="159"/>
      <c r="WV176" s="159"/>
      <c r="WW176" s="159"/>
      <c r="WX176" s="159"/>
      <c r="WY176" s="159"/>
      <c r="WZ176" s="159"/>
      <c r="XA176" s="159"/>
      <c r="XB176" s="159"/>
      <c r="XC176" s="159"/>
      <c r="XD176" s="159"/>
      <c r="XE176" s="159"/>
      <c r="XF176" s="159"/>
      <c r="XG176" s="159"/>
      <c r="XH176" s="159"/>
      <c r="XI176" s="159"/>
      <c r="XJ176" s="159"/>
      <c r="XK176" s="159"/>
      <c r="XL176" s="159"/>
      <c r="XM176" s="159"/>
      <c r="XN176" s="159"/>
      <c r="XO176" s="159"/>
      <c r="XP176" s="159"/>
      <c r="XQ176" s="159"/>
      <c r="XR176" s="159"/>
      <c r="XS176" s="159"/>
      <c r="XT176" s="159"/>
      <c r="XU176" s="159"/>
      <c r="XV176" s="159"/>
      <c r="XW176" s="159"/>
      <c r="XX176" s="159"/>
      <c r="XY176" s="159"/>
      <c r="XZ176" s="159"/>
      <c r="YA176" s="159"/>
      <c r="YB176" s="159"/>
      <c r="YC176" s="159"/>
      <c r="YD176" s="159"/>
      <c r="YE176" s="159"/>
      <c r="YF176" s="159"/>
      <c r="YG176" s="159"/>
      <c r="YH176" s="159"/>
      <c r="YI176" s="159"/>
      <c r="YJ176" s="159"/>
      <c r="YK176" s="159"/>
      <c r="YL176" s="159"/>
      <c r="YM176" s="159"/>
      <c r="YN176" s="159"/>
      <c r="YO176" s="159"/>
      <c r="YP176" s="159"/>
      <c r="YQ176" s="159"/>
      <c r="YR176" s="159"/>
      <c r="YS176" s="159"/>
      <c r="YT176" s="159"/>
      <c r="YU176" s="159"/>
      <c r="YV176" s="159"/>
      <c r="YW176" s="159"/>
      <c r="YX176" s="159"/>
      <c r="YY176" s="159"/>
      <c r="YZ176" s="159"/>
      <c r="ZA176" s="159"/>
      <c r="ZB176" s="159"/>
      <c r="ZC176" s="159"/>
      <c r="ZD176" s="159"/>
      <c r="ZE176" s="159"/>
      <c r="ZF176" s="159"/>
      <c r="ZG176" s="159"/>
      <c r="ZH176" s="159"/>
      <c r="ZI176" s="159"/>
      <c r="ZJ176" s="159"/>
      <c r="ZK176" s="159"/>
      <c r="ZL176" s="159"/>
      <c r="ZM176" s="159"/>
      <c r="ZN176" s="159"/>
      <c r="ZO176" s="159"/>
      <c r="ZP176" s="159"/>
      <c r="ZQ176" s="159"/>
      <c r="ZR176" s="159"/>
      <c r="ZS176" s="159"/>
      <c r="ZT176" s="159"/>
      <c r="ZU176" s="159"/>
      <c r="ZV176" s="159"/>
      <c r="ZW176" s="159"/>
      <c r="ZX176" s="159"/>
      <c r="ZY176" s="159"/>
      <c r="ZZ176" s="159"/>
      <c r="AAA176" s="159"/>
      <c r="AAB176" s="159"/>
      <c r="AAC176" s="159"/>
      <c r="AAD176" s="159"/>
      <c r="AAE176" s="159"/>
      <c r="AAF176" s="159"/>
      <c r="AAG176" s="159"/>
      <c r="AAH176" s="159"/>
      <c r="AAI176" s="159"/>
      <c r="AAJ176" s="159"/>
      <c r="AAK176" s="159"/>
      <c r="AAL176" s="159"/>
      <c r="AAM176" s="159"/>
      <c r="AAN176" s="159"/>
      <c r="AAO176" s="159"/>
      <c r="AAP176" s="159"/>
      <c r="AAQ176" s="159"/>
      <c r="AAR176" s="159"/>
      <c r="AAS176" s="159"/>
      <c r="AAT176" s="159"/>
      <c r="AAU176" s="159"/>
      <c r="AAV176" s="159"/>
      <c r="AAW176" s="159"/>
      <c r="AAX176" s="159"/>
      <c r="AAY176" s="159"/>
      <c r="AAZ176" s="159"/>
      <c r="ABA176" s="159"/>
      <c r="ABB176" s="159"/>
      <c r="ABC176" s="159"/>
      <c r="ABD176" s="159"/>
      <c r="ABE176" s="159"/>
      <c r="ABF176" s="159"/>
      <c r="ABG176" s="159"/>
      <c r="ABH176" s="159"/>
      <c r="ABI176" s="159"/>
      <c r="ABJ176" s="159"/>
      <c r="ABK176" s="159"/>
      <c r="ABL176" s="159"/>
      <c r="ABM176" s="159"/>
      <c r="ABN176" s="159"/>
      <c r="ABO176" s="159"/>
      <c r="ABP176" s="159"/>
      <c r="ABQ176" s="159"/>
      <c r="ABR176" s="159"/>
      <c r="ABS176" s="159"/>
      <c r="ABT176" s="159"/>
      <c r="ABU176" s="159"/>
      <c r="ABV176" s="159"/>
      <c r="ABW176" s="159"/>
      <c r="ABX176" s="159"/>
      <c r="ABY176" s="159"/>
      <c r="ABZ176" s="159"/>
      <c r="ACA176" s="159"/>
      <c r="ACB176" s="159"/>
      <c r="ACC176" s="159"/>
      <c r="ACD176" s="159"/>
      <c r="ACE176" s="159"/>
      <c r="ACF176" s="159"/>
      <c r="ACG176" s="159"/>
      <c r="ACH176" s="159"/>
      <c r="ACI176" s="159"/>
      <c r="ACJ176" s="159"/>
      <c r="ACK176" s="159"/>
      <c r="ACL176" s="159"/>
      <c r="ACM176" s="159"/>
      <c r="ACN176" s="159"/>
      <c r="ACO176" s="159"/>
      <c r="ACP176" s="159"/>
      <c r="ACQ176" s="159"/>
      <c r="ACR176" s="159"/>
      <c r="ACS176" s="159"/>
      <c r="ACT176" s="159"/>
      <c r="ACU176" s="159"/>
      <c r="ACV176" s="159"/>
      <c r="ACW176" s="159"/>
      <c r="ACX176" s="159"/>
      <c r="ACY176" s="159"/>
      <c r="ACZ176" s="159"/>
      <c r="ADA176" s="159"/>
      <c r="ADB176" s="159"/>
      <c r="ADC176" s="159"/>
      <c r="ADD176" s="159"/>
      <c r="ADE176" s="159"/>
      <c r="ADF176" s="159"/>
      <c r="ADG176" s="159"/>
      <c r="ADH176" s="159"/>
      <c r="ADI176" s="159"/>
      <c r="ADJ176" s="159"/>
      <c r="ADK176" s="159"/>
      <c r="ADL176" s="159"/>
      <c r="ADM176" s="159"/>
      <c r="ADN176" s="159"/>
      <c r="ADO176" s="159"/>
      <c r="ADP176" s="159"/>
      <c r="ADQ176" s="159"/>
      <c r="ADR176" s="159"/>
      <c r="ADS176" s="159"/>
      <c r="ADT176" s="159"/>
      <c r="ADU176" s="159"/>
      <c r="ADV176" s="159"/>
      <c r="ADW176" s="159"/>
      <c r="ADX176" s="159"/>
      <c r="ADY176" s="159"/>
      <c r="ADZ176" s="159"/>
      <c r="AEA176" s="159"/>
      <c r="AEB176" s="159"/>
      <c r="AEC176" s="159"/>
      <c r="AED176" s="159"/>
      <c r="AEE176" s="159"/>
      <c r="AEF176" s="159"/>
      <c r="AEG176" s="159"/>
      <c r="AEH176" s="159"/>
      <c r="AEI176" s="159"/>
      <c r="AEJ176" s="159"/>
      <c r="AEK176" s="159"/>
      <c r="AEL176" s="159"/>
      <c r="AEM176" s="159"/>
      <c r="AEN176" s="159"/>
      <c r="AEO176" s="159"/>
      <c r="AEP176" s="159"/>
      <c r="AEQ176" s="159"/>
      <c r="AER176" s="159"/>
      <c r="AES176" s="159"/>
      <c r="AET176" s="159"/>
      <c r="AEU176" s="159"/>
      <c r="AEV176" s="159"/>
      <c r="AEW176" s="159"/>
      <c r="AEX176" s="159"/>
      <c r="AEY176" s="159"/>
      <c r="AEZ176" s="159"/>
      <c r="AFA176" s="159"/>
      <c r="AFB176" s="159"/>
      <c r="AFC176" s="159"/>
      <c r="AFD176" s="159"/>
      <c r="AFE176" s="159"/>
      <c r="AFF176" s="159"/>
      <c r="AFG176" s="159"/>
      <c r="AFH176" s="159"/>
      <c r="AFI176" s="159"/>
      <c r="AFJ176" s="159"/>
      <c r="AFK176" s="159"/>
      <c r="AFL176" s="159"/>
      <c r="AFM176" s="159"/>
      <c r="AFN176" s="159"/>
      <c r="AFO176" s="159"/>
      <c r="AFP176" s="159"/>
      <c r="AFQ176" s="159"/>
      <c r="AFR176" s="159"/>
      <c r="AFS176" s="159"/>
      <c r="AFT176" s="159"/>
      <c r="AFU176" s="159"/>
      <c r="AFV176" s="159"/>
      <c r="AFW176" s="159"/>
      <c r="AFX176" s="159"/>
      <c r="AFY176" s="159"/>
      <c r="AFZ176" s="159"/>
      <c r="AGA176" s="159"/>
      <c r="AGB176" s="159"/>
      <c r="AGC176" s="159"/>
      <c r="AGD176" s="159"/>
      <c r="AGE176" s="159"/>
      <c r="AGF176" s="159"/>
      <c r="AGG176" s="159"/>
      <c r="AGH176" s="159"/>
      <c r="AGI176" s="159"/>
      <c r="AGJ176" s="159"/>
      <c r="AGK176" s="159"/>
      <c r="AGL176" s="159"/>
      <c r="AGM176" s="159"/>
      <c r="AGN176" s="159"/>
      <c r="AGO176" s="159"/>
      <c r="AGP176" s="159"/>
      <c r="AGQ176" s="159"/>
      <c r="AGR176" s="159"/>
      <c r="AGS176" s="159"/>
      <c r="AGT176" s="159"/>
      <c r="AGU176" s="159"/>
      <c r="AGV176" s="159"/>
      <c r="AGW176" s="159"/>
      <c r="AGX176" s="159"/>
      <c r="AGY176" s="159"/>
      <c r="AGZ176" s="159"/>
      <c r="AHA176" s="159"/>
      <c r="AHB176" s="159"/>
      <c r="AHC176" s="159"/>
      <c r="AHD176" s="159"/>
      <c r="AHE176" s="159"/>
      <c r="AHF176" s="159"/>
      <c r="AHG176" s="159"/>
      <c r="AHH176" s="159"/>
      <c r="AHI176" s="159"/>
      <c r="AHJ176" s="159"/>
      <c r="AHK176" s="159"/>
      <c r="AHL176" s="159"/>
      <c r="AHM176" s="159"/>
      <c r="AHN176" s="159"/>
      <c r="AHO176" s="159"/>
      <c r="AHP176" s="159"/>
      <c r="AHQ176" s="159"/>
      <c r="AHR176" s="159"/>
      <c r="AHS176" s="159"/>
      <c r="AHT176" s="159"/>
      <c r="AHU176" s="159"/>
      <c r="AHV176" s="159"/>
      <c r="AHW176" s="159"/>
      <c r="AHX176" s="159"/>
      <c r="AHY176" s="159"/>
      <c r="AHZ176" s="159"/>
      <c r="AIA176" s="159"/>
      <c r="AIB176" s="159"/>
      <c r="AIC176" s="159"/>
      <c r="AID176" s="159"/>
      <c r="AIE176" s="159"/>
      <c r="AIF176" s="159"/>
      <c r="AIG176" s="159"/>
      <c r="AIH176" s="159"/>
      <c r="AII176" s="159"/>
      <c r="AIJ176" s="159"/>
      <c r="AIK176" s="159"/>
      <c r="AIL176" s="159"/>
      <c r="AIM176" s="159"/>
      <c r="AIN176" s="159"/>
      <c r="AIO176" s="159"/>
      <c r="AIP176" s="159"/>
      <c r="AIQ176" s="159"/>
      <c r="AIR176" s="159"/>
      <c r="AIS176" s="159"/>
      <c r="AIT176" s="159"/>
      <c r="AIU176" s="159"/>
      <c r="AIV176" s="159"/>
      <c r="AIW176" s="159"/>
      <c r="AIX176" s="159"/>
      <c r="AIY176" s="159"/>
      <c r="AIZ176" s="159"/>
      <c r="AJA176" s="159"/>
      <c r="AJB176" s="159"/>
      <c r="AJC176" s="159"/>
      <c r="AJD176" s="159"/>
      <c r="AJE176" s="159"/>
      <c r="AJF176" s="159"/>
      <c r="AJG176" s="159"/>
      <c r="AJH176" s="159"/>
      <c r="AJI176" s="159"/>
      <c r="AJJ176" s="159"/>
      <c r="AJK176" s="159"/>
      <c r="AJL176" s="159"/>
      <c r="AJM176" s="159"/>
      <c r="AJN176" s="159"/>
      <c r="AJO176" s="159"/>
      <c r="AJP176" s="159"/>
      <c r="AJQ176" s="159"/>
      <c r="AJR176" s="159"/>
      <c r="AJS176" s="159"/>
      <c r="AJT176" s="159"/>
      <c r="AJU176" s="159"/>
      <c r="AJV176" s="159"/>
      <c r="AJW176" s="159"/>
      <c r="AJX176" s="159"/>
      <c r="AJY176" s="159"/>
      <c r="AJZ176" s="159"/>
      <c r="AKA176" s="159"/>
      <c r="AKB176" s="159"/>
      <c r="AKC176" s="159"/>
      <c r="AKD176" s="159"/>
      <c r="AKE176" s="159"/>
      <c r="AKF176" s="159"/>
      <c r="AKG176" s="159"/>
      <c r="AKH176" s="159"/>
      <c r="AKI176" s="159"/>
      <c r="AKJ176" s="159"/>
      <c r="AKK176" s="159"/>
      <c r="AKL176" s="159"/>
      <c r="AKM176" s="159"/>
      <c r="AKN176" s="159"/>
      <c r="AKO176" s="159"/>
      <c r="AKP176" s="159"/>
      <c r="AKQ176" s="159"/>
      <c r="AKR176" s="159"/>
      <c r="AKS176" s="159"/>
      <c r="AKT176" s="159"/>
      <c r="AKU176" s="159"/>
      <c r="AKV176" s="159"/>
      <c r="AKW176" s="159"/>
      <c r="AKX176" s="159"/>
      <c r="AKY176" s="159"/>
      <c r="AKZ176" s="159"/>
      <c r="ALA176" s="159"/>
      <c r="ALB176" s="159"/>
      <c r="ALC176" s="159"/>
      <c r="ALD176" s="159"/>
      <c r="ALE176" s="159"/>
      <c r="ALF176" s="159"/>
      <c r="ALG176" s="159"/>
      <c r="ALH176" s="159"/>
      <c r="ALI176" s="159"/>
      <c r="ALJ176" s="159"/>
      <c r="ALK176" s="159"/>
      <c r="ALL176" s="159"/>
      <c r="ALM176" s="159"/>
      <c r="ALN176" s="159"/>
      <c r="ALO176" s="159"/>
      <c r="ALP176" s="159"/>
      <c r="ALQ176" s="159"/>
      <c r="ALR176" s="159"/>
      <c r="ALS176" s="159"/>
      <c r="ALT176" s="159"/>
      <c r="ALU176" s="159"/>
      <c r="ALV176" s="159"/>
      <c r="ALW176" s="159"/>
      <c r="ALX176" s="159"/>
      <c r="ALY176" s="159"/>
      <c r="ALZ176" s="159"/>
      <c r="AMA176" s="159"/>
      <c r="AMB176" s="159"/>
      <c r="AMC176" s="159"/>
      <c r="AMD176" s="159"/>
      <c r="AME176" s="159"/>
      <c r="AMF176" s="159"/>
      <c r="AMG176" s="159"/>
      <c r="AMH176" s="159"/>
      <c r="AMI176" s="159"/>
      <c r="AMJ176" s="159"/>
      <c r="AMK176" s="159"/>
      <c r="AML176" s="159"/>
      <c r="AMM176" s="159"/>
      <c r="AMN176" s="159"/>
      <c r="AMO176" s="159"/>
    </row>
    <row r="177" spans="1:1029" s="161" customFormat="1" ht="25.5" x14ac:dyDescent="0.25">
      <c r="A177" s="138">
        <v>46268</v>
      </c>
      <c r="B177" s="99" t="s">
        <v>149</v>
      </c>
      <c r="C177" s="99" t="s">
        <v>163</v>
      </c>
      <c r="D177" s="160" t="s">
        <v>31</v>
      </c>
      <c r="E177" s="118" t="s">
        <v>8</v>
      </c>
      <c r="F177" s="149" t="s">
        <v>51</v>
      </c>
      <c r="G177" s="149" t="s">
        <v>52</v>
      </c>
      <c r="H177" s="141" t="b">
        <f t="shared" si="12"/>
        <v>0</v>
      </c>
      <c r="I177" s="120" t="s">
        <v>35</v>
      </c>
      <c r="J177" s="121" t="s">
        <v>51</v>
      </c>
      <c r="K177" s="121" t="s">
        <v>168</v>
      </c>
      <c r="L177" s="141" t="b">
        <f t="shared" si="13"/>
        <v>0</v>
      </c>
      <c r="M177" s="121" t="s">
        <v>42</v>
      </c>
      <c r="N177" s="121" t="s">
        <v>82</v>
      </c>
      <c r="O177" s="121" t="s">
        <v>168</v>
      </c>
      <c r="P177" s="141" t="b">
        <f t="shared" si="14"/>
        <v>0</v>
      </c>
      <c r="Q177" s="149" t="s">
        <v>8</v>
      </c>
      <c r="R177" s="99" t="s">
        <v>82</v>
      </c>
      <c r="S177" s="99" t="s">
        <v>13</v>
      </c>
      <c r="T177" s="141" t="b">
        <f t="shared" si="15"/>
        <v>0</v>
      </c>
      <c r="U177" s="159"/>
      <c r="V177" s="159"/>
      <c r="W177" s="159"/>
      <c r="X177" s="159"/>
      <c r="Y177" s="159"/>
      <c r="Z177" s="159"/>
      <c r="AA177" s="159"/>
      <c r="AB177" s="159"/>
      <c r="AC177" s="159"/>
      <c r="AD177" s="159"/>
      <c r="AE177" s="159"/>
      <c r="AF177" s="159"/>
      <c r="AG177" s="159"/>
      <c r="AH177" s="159"/>
      <c r="AI177" s="159"/>
      <c r="AJ177" s="159"/>
      <c r="AK177" s="159"/>
      <c r="AL177" s="159"/>
      <c r="AM177" s="159"/>
      <c r="AN177" s="159"/>
      <c r="AO177" s="159"/>
      <c r="AP177" s="159"/>
      <c r="AQ177" s="159"/>
      <c r="AR177" s="159"/>
      <c r="AS177" s="159"/>
      <c r="AT177" s="159"/>
      <c r="AU177" s="159"/>
      <c r="AV177" s="159"/>
      <c r="AW177" s="159"/>
      <c r="AX177" s="159"/>
      <c r="AY177" s="159"/>
      <c r="AZ177" s="159"/>
      <c r="BA177" s="159"/>
      <c r="BB177" s="159"/>
      <c r="BC177" s="159"/>
      <c r="BD177" s="159"/>
      <c r="BE177" s="159"/>
      <c r="BF177" s="159"/>
      <c r="BG177" s="159"/>
      <c r="BH177" s="159"/>
      <c r="BI177" s="159"/>
      <c r="BJ177" s="159"/>
      <c r="BK177" s="159"/>
      <c r="BL177" s="159"/>
      <c r="BM177" s="159"/>
      <c r="BN177" s="159"/>
      <c r="BO177" s="159"/>
      <c r="BP177" s="159"/>
      <c r="BQ177" s="159"/>
      <c r="BR177" s="159"/>
      <c r="BS177" s="159"/>
      <c r="BT177" s="159"/>
      <c r="BU177" s="159"/>
      <c r="BV177" s="159"/>
      <c r="BW177" s="159"/>
      <c r="BX177" s="159"/>
      <c r="BY177" s="159"/>
      <c r="BZ177" s="159"/>
      <c r="CA177" s="159"/>
      <c r="CB177" s="159"/>
      <c r="CC177" s="159"/>
      <c r="CD177" s="159"/>
      <c r="CE177" s="159"/>
      <c r="CF177" s="159"/>
      <c r="CG177" s="159"/>
      <c r="CH177" s="159"/>
      <c r="CI177" s="159"/>
      <c r="CJ177" s="159"/>
      <c r="CK177" s="159"/>
      <c r="CL177" s="159"/>
      <c r="CM177" s="159"/>
      <c r="CN177" s="159"/>
      <c r="CO177" s="159"/>
      <c r="CP177" s="159"/>
      <c r="CQ177" s="159"/>
      <c r="CR177" s="159"/>
      <c r="CS177" s="159"/>
      <c r="CT177" s="159"/>
      <c r="CU177" s="159"/>
      <c r="CV177" s="159"/>
      <c r="CW177" s="159"/>
      <c r="CX177" s="159"/>
      <c r="CY177" s="159"/>
      <c r="CZ177" s="159"/>
      <c r="DA177" s="159"/>
      <c r="DB177" s="159"/>
      <c r="DC177" s="159"/>
      <c r="DD177" s="159"/>
      <c r="DE177" s="159"/>
      <c r="DF177" s="159"/>
      <c r="DG177" s="159"/>
      <c r="DH177" s="159"/>
      <c r="DI177" s="159"/>
      <c r="DJ177" s="159"/>
      <c r="DK177" s="159"/>
      <c r="DL177" s="159"/>
      <c r="DM177" s="159"/>
      <c r="DN177" s="159"/>
      <c r="DO177" s="159"/>
      <c r="DP177" s="159"/>
      <c r="DQ177" s="159"/>
      <c r="DR177" s="159"/>
      <c r="DS177" s="159"/>
      <c r="DT177" s="159"/>
      <c r="DU177" s="159"/>
      <c r="DV177" s="159"/>
      <c r="DW177" s="159"/>
      <c r="DX177" s="159"/>
      <c r="DY177" s="159"/>
      <c r="DZ177" s="159"/>
      <c r="EA177" s="159"/>
      <c r="EB177" s="159"/>
      <c r="EC177" s="159"/>
      <c r="ED177" s="159"/>
      <c r="EE177" s="159"/>
      <c r="EF177" s="159"/>
      <c r="EG177" s="159"/>
      <c r="EH177" s="159"/>
      <c r="EI177" s="159"/>
      <c r="EJ177" s="159"/>
      <c r="EK177" s="159"/>
      <c r="EL177" s="159"/>
      <c r="EM177" s="159"/>
      <c r="EN177" s="159"/>
      <c r="EO177" s="159"/>
      <c r="EP177" s="159"/>
      <c r="EQ177" s="159"/>
      <c r="ER177" s="159"/>
      <c r="ES177" s="159"/>
      <c r="ET177" s="159"/>
      <c r="EU177" s="159"/>
      <c r="EV177" s="159"/>
      <c r="EW177" s="159"/>
      <c r="EX177" s="159"/>
      <c r="EY177" s="159"/>
      <c r="EZ177" s="159"/>
      <c r="FA177" s="159"/>
      <c r="FB177" s="159"/>
      <c r="FC177" s="159"/>
      <c r="FD177" s="159"/>
      <c r="FE177" s="159"/>
      <c r="FF177" s="159"/>
      <c r="FG177" s="159"/>
      <c r="FH177" s="159"/>
      <c r="FI177" s="159"/>
      <c r="FJ177" s="159"/>
      <c r="FK177" s="159"/>
      <c r="FL177" s="159"/>
      <c r="FM177" s="159"/>
      <c r="FN177" s="159"/>
      <c r="FO177" s="159"/>
      <c r="FP177" s="159"/>
      <c r="FQ177" s="159"/>
      <c r="FR177" s="159"/>
      <c r="FS177" s="159"/>
      <c r="FT177" s="159"/>
      <c r="FU177" s="159"/>
      <c r="FV177" s="159"/>
      <c r="FW177" s="159"/>
      <c r="FX177" s="159"/>
      <c r="FY177" s="159"/>
      <c r="FZ177" s="159"/>
      <c r="GA177" s="159"/>
      <c r="GB177" s="159"/>
      <c r="GC177" s="159"/>
      <c r="GD177" s="159"/>
      <c r="GE177" s="159"/>
      <c r="GF177" s="159"/>
      <c r="GG177" s="159"/>
      <c r="GH177" s="159"/>
      <c r="GI177" s="159"/>
      <c r="GJ177" s="159"/>
      <c r="GK177" s="159"/>
      <c r="GL177" s="159"/>
      <c r="GM177" s="159"/>
      <c r="GN177" s="159"/>
      <c r="GO177" s="159"/>
      <c r="GP177" s="159"/>
      <c r="GQ177" s="159"/>
      <c r="GR177" s="159"/>
      <c r="GS177" s="159"/>
      <c r="GT177" s="159"/>
      <c r="GU177" s="159"/>
      <c r="GV177" s="159"/>
      <c r="GW177" s="159"/>
      <c r="GX177" s="159"/>
      <c r="GY177" s="159"/>
      <c r="GZ177" s="159"/>
      <c r="HA177" s="159"/>
      <c r="HB177" s="159"/>
      <c r="HC177" s="159"/>
      <c r="HD177" s="159"/>
      <c r="HE177" s="159"/>
      <c r="HF177" s="159"/>
      <c r="HG177" s="159"/>
      <c r="HH177" s="159"/>
      <c r="HI177" s="159"/>
      <c r="HJ177" s="159"/>
      <c r="HK177" s="159"/>
      <c r="HL177" s="159"/>
      <c r="HM177" s="159"/>
      <c r="HN177" s="159"/>
      <c r="HO177" s="159"/>
      <c r="HP177" s="159"/>
      <c r="HQ177" s="159"/>
      <c r="HR177" s="159"/>
      <c r="HS177" s="159"/>
      <c r="HT177" s="159"/>
      <c r="HU177" s="159"/>
      <c r="HV177" s="159"/>
      <c r="HW177" s="159"/>
      <c r="HX177" s="159"/>
      <c r="HY177" s="159"/>
      <c r="HZ177" s="159"/>
      <c r="IA177" s="159"/>
      <c r="IB177" s="159"/>
      <c r="IC177" s="159"/>
      <c r="ID177" s="159"/>
      <c r="IE177" s="159"/>
      <c r="IF177" s="159"/>
      <c r="IG177" s="159"/>
      <c r="IH177" s="159"/>
      <c r="II177" s="159"/>
      <c r="IJ177" s="159"/>
      <c r="IK177" s="159"/>
      <c r="IL177" s="159"/>
      <c r="IM177" s="159"/>
      <c r="IN177" s="159"/>
      <c r="IO177" s="159"/>
      <c r="IP177" s="159"/>
      <c r="IQ177" s="159"/>
      <c r="IR177" s="159"/>
      <c r="IS177" s="159"/>
      <c r="IT177" s="159"/>
      <c r="IU177" s="159"/>
      <c r="IV177" s="159"/>
      <c r="IW177" s="159"/>
      <c r="IX177" s="159"/>
      <c r="IY177" s="159"/>
      <c r="IZ177" s="159"/>
      <c r="JA177" s="159"/>
      <c r="JB177" s="159"/>
      <c r="JC177" s="159"/>
      <c r="JD177" s="159"/>
      <c r="JE177" s="159"/>
      <c r="JF177" s="159"/>
      <c r="JG177" s="159"/>
      <c r="JH177" s="159"/>
      <c r="JI177" s="159"/>
      <c r="JJ177" s="159"/>
      <c r="JK177" s="159"/>
      <c r="JL177" s="159"/>
      <c r="JM177" s="159"/>
      <c r="JN177" s="159"/>
      <c r="JO177" s="159"/>
      <c r="JP177" s="159"/>
      <c r="JQ177" s="159"/>
      <c r="JR177" s="159"/>
      <c r="JS177" s="159"/>
      <c r="JT177" s="159"/>
      <c r="JU177" s="159"/>
      <c r="JV177" s="159"/>
      <c r="JW177" s="159"/>
      <c r="JX177" s="159"/>
      <c r="JY177" s="159"/>
      <c r="JZ177" s="159"/>
      <c r="KA177" s="159"/>
      <c r="KB177" s="159"/>
      <c r="KC177" s="159"/>
      <c r="KD177" s="159"/>
      <c r="KE177" s="159"/>
      <c r="KF177" s="159"/>
      <c r="KG177" s="159"/>
      <c r="KH177" s="159"/>
      <c r="KI177" s="159"/>
      <c r="KJ177" s="159"/>
      <c r="KK177" s="159"/>
      <c r="KL177" s="159"/>
      <c r="KM177" s="159"/>
      <c r="KN177" s="159"/>
      <c r="KO177" s="159"/>
      <c r="KP177" s="159"/>
      <c r="KQ177" s="159"/>
      <c r="KR177" s="159"/>
      <c r="KS177" s="159"/>
      <c r="KT177" s="159"/>
      <c r="KU177" s="159"/>
      <c r="KV177" s="159"/>
      <c r="KW177" s="159"/>
      <c r="KX177" s="159"/>
      <c r="KY177" s="159"/>
      <c r="KZ177" s="159"/>
      <c r="LA177" s="159"/>
      <c r="LB177" s="159"/>
      <c r="LC177" s="159"/>
      <c r="LD177" s="159"/>
      <c r="LE177" s="159"/>
      <c r="LF177" s="159"/>
      <c r="LG177" s="159"/>
      <c r="LH177" s="159"/>
      <c r="LI177" s="159"/>
      <c r="LJ177" s="159"/>
      <c r="LK177" s="159"/>
      <c r="LL177" s="159"/>
      <c r="LM177" s="159"/>
      <c r="LN177" s="159"/>
      <c r="LO177" s="159"/>
      <c r="LP177" s="159"/>
      <c r="LQ177" s="159"/>
      <c r="LR177" s="159"/>
      <c r="LS177" s="159"/>
      <c r="LT177" s="159"/>
      <c r="LU177" s="159"/>
      <c r="LV177" s="159"/>
      <c r="LW177" s="159"/>
      <c r="LX177" s="159"/>
      <c r="LY177" s="159"/>
      <c r="LZ177" s="159"/>
      <c r="MA177" s="159"/>
      <c r="MB177" s="159"/>
      <c r="MC177" s="159"/>
      <c r="MD177" s="159"/>
      <c r="ME177" s="159"/>
      <c r="MF177" s="159"/>
      <c r="MG177" s="159"/>
      <c r="MH177" s="159"/>
      <c r="MI177" s="159"/>
      <c r="MJ177" s="159"/>
      <c r="MK177" s="159"/>
      <c r="ML177" s="159"/>
      <c r="MM177" s="159"/>
      <c r="MN177" s="159"/>
      <c r="MO177" s="159"/>
      <c r="MP177" s="159"/>
      <c r="MQ177" s="159"/>
      <c r="MR177" s="159"/>
      <c r="MS177" s="159"/>
      <c r="MT177" s="159"/>
      <c r="MU177" s="159"/>
      <c r="MV177" s="159"/>
      <c r="MW177" s="159"/>
      <c r="MX177" s="159"/>
      <c r="MY177" s="159"/>
      <c r="MZ177" s="159"/>
      <c r="NA177" s="159"/>
      <c r="NB177" s="159"/>
      <c r="NC177" s="159"/>
      <c r="ND177" s="159"/>
      <c r="NE177" s="159"/>
      <c r="NF177" s="159"/>
      <c r="NG177" s="159"/>
      <c r="NH177" s="159"/>
      <c r="NI177" s="159"/>
      <c r="NJ177" s="159"/>
      <c r="NK177" s="159"/>
      <c r="NL177" s="159"/>
      <c r="NM177" s="159"/>
      <c r="NN177" s="159"/>
      <c r="NO177" s="159"/>
      <c r="NP177" s="159"/>
      <c r="NQ177" s="159"/>
      <c r="NR177" s="159"/>
      <c r="NS177" s="159"/>
      <c r="NT177" s="159"/>
      <c r="NU177" s="159"/>
      <c r="NV177" s="159"/>
      <c r="NW177" s="159"/>
      <c r="NX177" s="159"/>
      <c r="NY177" s="159"/>
      <c r="NZ177" s="159"/>
      <c r="OA177" s="159"/>
      <c r="OB177" s="159"/>
      <c r="OC177" s="159"/>
      <c r="OD177" s="159"/>
      <c r="OE177" s="159"/>
      <c r="OF177" s="159"/>
      <c r="OG177" s="159"/>
      <c r="OH177" s="159"/>
      <c r="OI177" s="159"/>
      <c r="OJ177" s="159"/>
      <c r="OK177" s="159"/>
      <c r="OL177" s="159"/>
      <c r="OM177" s="159"/>
      <c r="ON177" s="159"/>
      <c r="OO177" s="159"/>
      <c r="OP177" s="159"/>
      <c r="OQ177" s="159"/>
      <c r="OR177" s="159"/>
      <c r="OS177" s="159"/>
      <c r="OT177" s="159"/>
      <c r="OU177" s="159"/>
      <c r="OV177" s="159"/>
      <c r="OW177" s="159"/>
      <c r="OX177" s="159"/>
      <c r="OY177" s="159"/>
      <c r="OZ177" s="159"/>
      <c r="PA177" s="159"/>
      <c r="PB177" s="159"/>
      <c r="PC177" s="159"/>
      <c r="PD177" s="159"/>
      <c r="PE177" s="159"/>
      <c r="PF177" s="159"/>
      <c r="PG177" s="159"/>
      <c r="PH177" s="159"/>
      <c r="PI177" s="159"/>
      <c r="PJ177" s="159"/>
      <c r="PK177" s="159"/>
      <c r="PL177" s="159"/>
      <c r="PM177" s="159"/>
      <c r="PN177" s="159"/>
      <c r="PO177" s="159"/>
      <c r="PP177" s="159"/>
      <c r="PQ177" s="159"/>
      <c r="PR177" s="159"/>
      <c r="PS177" s="159"/>
      <c r="PT177" s="159"/>
      <c r="PU177" s="159"/>
      <c r="PV177" s="159"/>
      <c r="PW177" s="159"/>
      <c r="PX177" s="159"/>
      <c r="PY177" s="159"/>
      <c r="PZ177" s="159"/>
      <c r="QA177" s="159"/>
      <c r="QB177" s="159"/>
      <c r="QC177" s="159"/>
      <c r="QD177" s="159"/>
      <c r="QE177" s="159"/>
      <c r="QF177" s="159"/>
      <c r="QG177" s="159"/>
      <c r="QH177" s="159"/>
      <c r="QI177" s="159"/>
      <c r="QJ177" s="159"/>
      <c r="QK177" s="159"/>
      <c r="QL177" s="159"/>
      <c r="QM177" s="159"/>
      <c r="QN177" s="159"/>
      <c r="QO177" s="159"/>
      <c r="QP177" s="159"/>
      <c r="QQ177" s="159"/>
      <c r="QR177" s="159"/>
      <c r="QS177" s="159"/>
      <c r="QT177" s="159"/>
      <c r="QU177" s="159"/>
      <c r="QV177" s="159"/>
      <c r="QW177" s="159"/>
      <c r="QX177" s="159"/>
      <c r="QY177" s="159"/>
      <c r="QZ177" s="159"/>
      <c r="RA177" s="159"/>
      <c r="RB177" s="159"/>
      <c r="RC177" s="159"/>
      <c r="RD177" s="159"/>
      <c r="RE177" s="159"/>
      <c r="RF177" s="159"/>
      <c r="RG177" s="159"/>
      <c r="RH177" s="159"/>
      <c r="RI177" s="159"/>
      <c r="RJ177" s="159"/>
      <c r="RK177" s="159"/>
      <c r="RL177" s="159"/>
      <c r="RM177" s="159"/>
      <c r="RN177" s="159"/>
      <c r="RO177" s="159"/>
      <c r="RP177" s="159"/>
      <c r="RQ177" s="159"/>
      <c r="RR177" s="159"/>
      <c r="RS177" s="159"/>
      <c r="RT177" s="159"/>
      <c r="RU177" s="159"/>
      <c r="RV177" s="159"/>
      <c r="RW177" s="159"/>
      <c r="RX177" s="159"/>
      <c r="RY177" s="159"/>
      <c r="RZ177" s="159"/>
      <c r="SA177" s="159"/>
      <c r="SB177" s="159"/>
      <c r="SC177" s="159"/>
      <c r="SD177" s="159"/>
      <c r="SE177" s="159"/>
      <c r="SF177" s="159"/>
      <c r="SG177" s="159"/>
      <c r="SH177" s="159"/>
      <c r="SI177" s="159"/>
      <c r="SJ177" s="159"/>
      <c r="SK177" s="159"/>
      <c r="SL177" s="159"/>
      <c r="SM177" s="159"/>
      <c r="SN177" s="159"/>
      <c r="SO177" s="159"/>
      <c r="SP177" s="159"/>
      <c r="SQ177" s="159"/>
      <c r="SR177" s="159"/>
      <c r="SS177" s="159"/>
      <c r="ST177" s="159"/>
      <c r="SU177" s="159"/>
      <c r="SV177" s="159"/>
      <c r="SW177" s="159"/>
      <c r="SX177" s="159"/>
      <c r="SY177" s="159"/>
      <c r="SZ177" s="159"/>
      <c r="TA177" s="159"/>
      <c r="TB177" s="159"/>
      <c r="TC177" s="159"/>
      <c r="TD177" s="159"/>
      <c r="TE177" s="159"/>
      <c r="TF177" s="159"/>
      <c r="TG177" s="159"/>
      <c r="TH177" s="159"/>
      <c r="TI177" s="159"/>
      <c r="TJ177" s="159"/>
      <c r="TK177" s="159"/>
      <c r="TL177" s="159"/>
      <c r="TM177" s="159"/>
      <c r="TN177" s="159"/>
      <c r="TO177" s="159"/>
      <c r="TP177" s="159"/>
      <c r="TQ177" s="159"/>
      <c r="TR177" s="159"/>
      <c r="TS177" s="159"/>
      <c r="TT177" s="159"/>
      <c r="TU177" s="159"/>
      <c r="TV177" s="159"/>
      <c r="TW177" s="159"/>
      <c r="TX177" s="159"/>
      <c r="TY177" s="159"/>
      <c r="TZ177" s="159"/>
      <c r="UA177" s="159"/>
      <c r="UB177" s="159"/>
      <c r="UC177" s="159"/>
      <c r="UD177" s="159"/>
      <c r="UE177" s="159"/>
      <c r="UF177" s="159"/>
      <c r="UG177" s="159"/>
      <c r="UH177" s="159"/>
      <c r="UI177" s="159"/>
      <c r="UJ177" s="159"/>
      <c r="UK177" s="159"/>
      <c r="UL177" s="159"/>
      <c r="UM177" s="159"/>
      <c r="UN177" s="159"/>
      <c r="UO177" s="159"/>
      <c r="UP177" s="159"/>
      <c r="UQ177" s="159"/>
      <c r="UR177" s="159"/>
      <c r="US177" s="159"/>
      <c r="UT177" s="159"/>
      <c r="UU177" s="159"/>
      <c r="UV177" s="159"/>
      <c r="UW177" s="159"/>
      <c r="UX177" s="159"/>
      <c r="UY177" s="159"/>
      <c r="UZ177" s="159"/>
      <c r="VA177" s="159"/>
      <c r="VB177" s="159"/>
      <c r="VC177" s="159"/>
      <c r="VD177" s="159"/>
      <c r="VE177" s="159"/>
      <c r="VF177" s="159"/>
      <c r="VG177" s="159"/>
      <c r="VH177" s="159"/>
      <c r="VI177" s="159"/>
      <c r="VJ177" s="159"/>
      <c r="VK177" s="159"/>
      <c r="VL177" s="159"/>
      <c r="VM177" s="159"/>
      <c r="VN177" s="159"/>
      <c r="VO177" s="159"/>
      <c r="VP177" s="159"/>
      <c r="VQ177" s="159"/>
      <c r="VR177" s="159"/>
      <c r="VS177" s="159"/>
      <c r="VT177" s="159"/>
      <c r="VU177" s="159"/>
      <c r="VV177" s="159"/>
      <c r="VW177" s="159"/>
      <c r="VX177" s="159"/>
      <c r="VY177" s="159"/>
      <c r="VZ177" s="159"/>
      <c r="WA177" s="159"/>
      <c r="WB177" s="159"/>
      <c r="WC177" s="159"/>
      <c r="WD177" s="159"/>
      <c r="WE177" s="159"/>
      <c r="WF177" s="159"/>
      <c r="WG177" s="159"/>
      <c r="WH177" s="159"/>
      <c r="WI177" s="159"/>
      <c r="WJ177" s="159"/>
      <c r="WK177" s="159"/>
      <c r="WL177" s="159"/>
      <c r="WM177" s="159"/>
      <c r="WN177" s="159"/>
      <c r="WO177" s="159"/>
      <c r="WP177" s="159"/>
      <c r="WQ177" s="159"/>
      <c r="WR177" s="159"/>
      <c r="WS177" s="159"/>
      <c r="WT177" s="159"/>
      <c r="WU177" s="159"/>
      <c r="WV177" s="159"/>
      <c r="WW177" s="159"/>
      <c r="WX177" s="159"/>
      <c r="WY177" s="159"/>
      <c r="WZ177" s="159"/>
      <c r="XA177" s="159"/>
      <c r="XB177" s="159"/>
      <c r="XC177" s="159"/>
      <c r="XD177" s="159"/>
      <c r="XE177" s="159"/>
      <c r="XF177" s="159"/>
      <c r="XG177" s="159"/>
      <c r="XH177" s="159"/>
      <c r="XI177" s="159"/>
      <c r="XJ177" s="159"/>
      <c r="XK177" s="159"/>
      <c r="XL177" s="159"/>
      <c r="XM177" s="159"/>
      <c r="XN177" s="159"/>
      <c r="XO177" s="159"/>
      <c r="XP177" s="159"/>
      <c r="XQ177" s="159"/>
      <c r="XR177" s="159"/>
      <c r="XS177" s="159"/>
      <c r="XT177" s="159"/>
      <c r="XU177" s="159"/>
      <c r="XV177" s="159"/>
      <c r="XW177" s="159"/>
      <c r="XX177" s="159"/>
      <c r="XY177" s="159"/>
      <c r="XZ177" s="159"/>
      <c r="YA177" s="159"/>
      <c r="YB177" s="159"/>
      <c r="YC177" s="159"/>
      <c r="YD177" s="159"/>
      <c r="YE177" s="159"/>
      <c r="YF177" s="159"/>
      <c r="YG177" s="159"/>
      <c r="YH177" s="159"/>
      <c r="YI177" s="159"/>
      <c r="YJ177" s="159"/>
      <c r="YK177" s="159"/>
      <c r="YL177" s="159"/>
      <c r="YM177" s="159"/>
      <c r="YN177" s="159"/>
      <c r="YO177" s="159"/>
      <c r="YP177" s="159"/>
      <c r="YQ177" s="159"/>
      <c r="YR177" s="159"/>
      <c r="YS177" s="159"/>
      <c r="YT177" s="159"/>
      <c r="YU177" s="159"/>
      <c r="YV177" s="159"/>
      <c r="YW177" s="159"/>
      <c r="YX177" s="159"/>
      <c r="YY177" s="159"/>
      <c r="YZ177" s="159"/>
      <c r="ZA177" s="159"/>
      <c r="ZB177" s="159"/>
      <c r="ZC177" s="159"/>
      <c r="ZD177" s="159"/>
      <c r="ZE177" s="159"/>
      <c r="ZF177" s="159"/>
      <c r="ZG177" s="159"/>
      <c r="ZH177" s="159"/>
      <c r="ZI177" s="159"/>
      <c r="ZJ177" s="159"/>
      <c r="ZK177" s="159"/>
      <c r="ZL177" s="159"/>
      <c r="ZM177" s="159"/>
      <c r="ZN177" s="159"/>
      <c r="ZO177" s="159"/>
      <c r="ZP177" s="159"/>
      <c r="ZQ177" s="159"/>
      <c r="ZR177" s="159"/>
      <c r="ZS177" s="159"/>
      <c r="ZT177" s="159"/>
      <c r="ZU177" s="159"/>
      <c r="ZV177" s="159"/>
      <c r="ZW177" s="159"/>
      <c r="ZX177" s="159"/>
      <c r="ZY177" s="159"/>
      <c r="ZZ177" s="159"/>
      <c r="AAA177" s="159"/>
      <c r="AAB177" s="159"/>
      <c r="AAC177" s="159"/>
      <c r="AAD177" s="159"/>
      <c r="AAE177" s="159"/>
      <c r="AAF177" s="159"/>
      <c r="AAG177" s="159"/>
      <c r="AAH177" s="159"/>
      <c r="AAI177" s="159"/>
      <c r="AAJ177" s="159"/>
      <c r="AAK177" s="159"/>
      <c r="AAL177" s="159"/>
      <c r="AAM177" s="159"/>
      <c r="AAN177" s="159"/>
      <c r="AAO177" s="159"/>
      <c r="AAP177" s="159"/>
      <c r="AAQ177" s="159"/>
      <c r="AAR177" s="159"/>
      <c r="AAS177" s="159"/>
      <c r="AAT177" s="159"/>
      <c r="AAU177" s="159"/>
      <c r="AAV177" s="159"/>
      <c r="AAW177" s="159"/>
      <c r="AAX177" s="159"/>
      <c r="AAY177" s="159"/>
      <c r="AAZ177" s="159"/>
      <c r="ABA177" s="159"/>
      <c r="ABB177" s="159"/>
      <c r="ABC177" s="159"/>
      <c r="ABD177" s="159"/>
      <c r="ABE177" s="159"/>
      <c r="ABF177" s="159"/>
      <c r="ABG177" s="159"/>
      <c r="ABH177" s="159"/>
      <c r="ABI177" s="159"/>
      <c r="ABJ177" s="159"/>
      <c r="ABK177" s="159"/>
      <c r="ABL177" s="159"/>
      <c r="ABM177" s="159"/>
      <c r="ABN177" s="159"/>
      <c r="ABO177" s="159"/>
      <c r="ABP177" s="159"/>
      <c r="ABQ177" s="159"/>
      <c r="ABR177" s="159"/>
      <c r="ABS177" s="159"/>
      <c r="ABT177" s="159"/>
      <c r="ABU177" s="159"/>
      <c r="ABV177" s="159"/>
      <c r="ABW177" s="159"/>
      <c r="ABX177" s="159"/>
      <c r="ABY177" s="159"/>
      <c r="ABZ177" s="159"/>
      <c r="ACA177" s="159"/>
      <c r="ACB177" s="159"/>
      <c r="ACC177" s="159"/>
      <c r="ACD177" s="159"/>
      <c r="ACE177" s="159"/>
      <c r="ACF177" s="159"/>
      <c r="ACG177" s="159"/>
      <c r="ACH177" s="159"/>
      <c r="ACI177" s="159"/>
      <c r="ACJ177" s="159"/>
      <c r="ACK177" s="159"/>
      <c r="ACL177" s="159"/>
      <c r="ACM177" s="159"/>
      <c r="ACN177" s="159"/>
      <c r="ACO177" s="159"/>
      <c r="ACP177" s="159"/>
      <c r="ACQ177" s="159"/>
      <c r="ACR177" s="159"/>
      <c r="ACS177" s="159"/>
      <c r="ACT177" s="159"/>
      <c r="ACU177" s="159"/>
      <c r="ACV177" s="159"/>
      <c r="ACW177" s="159"/>
      <c r="ACX177" s="159"/>
      <c r="ACY177" s="159"/>
      <c r="ACZ177" s="159"/>
      <c r="ADA177" s="159"/>
      <c r="ADB177" s="159"/>
      <c r="ADC177" s="159"/>
      <c r="ADD177" s="159"/>
      <c r="ADE177" s="159"/>
      <c r="ADF177" s="159"/>
      <c r="ADG177" s="159"/>
      <c r="ADH177" s="159"/>
      <c r="ADI177" s="159"/>
      <c r="ADJ177" s="159"/>
      <c r="ADK177" s="159"/>
      <c r="ADL177" s="159"/>
      <c r="ADM177" s="159"/>
      <c r="ADN177" s="159"/>
      <c r="ADO177" s="159"/>
      <c r="ADP177" s="159"/>
      <c r="ADQ177" s="159"/>
      <c r="ADR177" s="159"/>
      <c r="ADS177" s="159"/>
      <c r="ADT177" s="159"/>
      <c r="ADU177" s="159"/>
      <c r="ADV177" s="159"/>
      <c r="ADW177" s="159"/>
      <c r="ADX177" s="159"/>
      <c r="ADY177" s="159"/>
      <c r="ADZ177" s="159"/>
      <c r="AEA177" s="159"/>
      <c r="AEB177" s="159"/>
      <c r="AEC177" s="159"/>
      <c r="AED177" s="159"/>
      <c r="AEE177" s="159"/>
      <c r="AEF177" s="159"/>
      <c r="AEG177" s="159"/>
      <c r="AEH177" s="159"/>
      <c r="AEI177" s="159"/>
      <c r="AEJ177" s="159"/>
      <c r="AEK177" s="159"/>
      <c r="AEL177" s="159"/>
      <c r="AEM177" s="159"/>
      <c r="AEN177" s="159"/>
      <c r="AEO177" s="159"/>
      <c r="AEP177" s="159"/>
      <c r="AEQ177" s="159"/>
      <c r="AER177" s="159"/>
      <c r="AES177" s="159"/>
      <c r="AET177" s="159"/>
      <c r="AEU177" s="159"/>
      <c r="AEV177" s="159"/>
      <c r="AEW177" s="159"/>
      <c r="AEX177" s="159"/>
      <c r="AEY177" s="159"/>
      <c r="AEZ177" s="159"/>
      <c r="AFA177" s="159"/>
      <c r="AFB177" s="159"/>
      <c r="AFC177" s="159"/>
      <c r="AFD177" s="159"/>
      <c r="AFE177" s="159"/>
      <c r="AFF177" s="159"/>
      <c r="AFG177" s="159"/>
      <c r="AFH177" s="159"/>
      <c r="AFI177" s="159"/>
      <c r="AFJ177" s="159"/>
      <c r="AFK177" s="159"/>
      <c r="AFL177" s="159"/>
      <c r="AFM177" s="159"/>
      <c r="AFN177" s="159"/>
      <c r="AFO177" s="159"/>
      <c r="AFP177" s="159"/>
      <c r="AFQ177" s="159"/>
      <c r="AFR177" s="159"/>
      <c r="AFS177" s="159"/>
      <c r="AFT177" s="159"/>
      <c r="AFU177" s="159"/>
      <c r="AFV177" s="159"/>
      <c r="AFW177" s="159"/>
      <c r="AFX177" s="159"/>
      <c r="AFY177" s="159"/>
      <c r="AFZ177" s="159"/>
      <c r="AGA177" s="159"/>
      <c r="AGB177" s="159"/>
      <c r="AGC177" s="159"/>
      <c r="AGD177" s="159"/>
      <c r="AGE177" s="159"/>
      <c r="AGF177" s="159"/>
      <c r="AGG177" s="159"/>
      <c r="AGH177" s="159"/>
      <c r="AGI177" s="159"/>
      <c r="AGJ177" s="159"/>
      <c r="AGK177" s="159"/>
      <c r="AGL177" s="159"/>
      <c r="AGM177" s="159"/>
      <c r="AGN177" s="159"/>
      <c r="AGO177" s="159"/>
      <c r="AGP177" s="159"/>
      <c r="AGQ177" s="159"/>
      <c r="AGR177" s="159"/>
      <c r="AGS177" s="159"/>
      <c r="AGT177" s="159"/>
      <c r="AGU177" s="159"/>
      <c r="AGV177" s="159"/>
      <c r="AGW177" s="159"/>
      <c r="AGX177" s="159"/>
      <c r="AGY177" s="159"/>
      <c r="AGZ177" s="159"/>
      <c r="AHA177" s="159"/>
      <c r="AHB177" s="159"/>
      <c r="AHC177" s="159"/>
      <c r="AHD177" s="159"/>
      <c r="AHE177" s="159"/>
      <c r="AHF177" s="159"/>
      <c r="AHG177" s="159"/>
      <c r="AHH177" s="159"/>
      <c r="AHI177" s="159"/>
      <c r="AHJ177" s="159"/>
      <c r="AHK177" s="159"/>
      <c r="AHL177" s="159"/>
      <c r="AHM177" s="159"/>
      <c r="AHN177" s="159"/>
      <c r="AHO177" s="159"/>
      <c r="AHP177" s="159"/>
      <c r="AHQ177" s="159"/>
      <c r="AHR177" s="159"/>
      <c r="AHS177" s="159"/>
      <c r="AHT177" s="159"/>
      <c r="AHU177" s="159"/>
      <c r="AHV177" s="159"/>
      <c r="AHW177" s="159"/>
      <c r="AHX177" s="159"/>
      <c r="AHY177" s="159"/>
      <c r="AHZ177" s="159"/>
      <c r="AIA177" s="159"/>
      <c r="AIB177" s="159"/>
      <c r="AIC177" s="159"/>
      <c r="AID177" s="159"/>
      <c r="AIE177" s="159"/>
      <c r="AIF177" s="159"/>
      <c r="AIG177" s="159"/>
      <c r="AIH177" s="159"/>
      <c r="AII177" s="159"/>
      <c r="AIJ177" s="159"/>
      <c r="AIK177" s="159"/>
      <c r="AIL177" s="159"/>
      <c r="AIM177" s="159"/>
      <c r="AIN177" s="159"/>
      <c r="AIO177" s="159"/>
      <c r="AIP177" s="159"/>
      <c r="AIQ177" s="159"/>
      <c r="AIR177" s="159"/>
      <c r="AIS177" s="159"/>
      <c r="AIT177" s="159"/>
      <c r="AIU177" s="159"/>
      <c r="AIV177" s="159"/>
      <c r="AIW177" s="159"/>
      <c r="AIX177" s="159"/>
      <c r="AIY177" s="159"/>
      <c r="AIZ177" s="159"/>
      <c r="AJA177" s="159"/>
      <c r="AJB177" s="159"/>
      <c r="AJC177" s="159"/>
      <c r="AJD177" s="159"/>
      <c r="AJE177" s="159"/>
      <c r="AJF177" s="159"/>
      <c r="AJG177" s="159"/>
      <c r="AJH177" s="159"/>
      <c r="AJI177" s="159"/>
      <c r="AJJ177" s="159"/>
      <c r="AJK177" s="159"/>
      <c r="AJL177" s="159"/>
      <c r="AJM177" s="159"/>
      <c r="AJN177" s="159"/>
      <c r="AJO177" s="159"/>
      <c r="AJP177" s="159"/>
      <c r="AJQ177" s="159"/>
      <c r="AJR177" s="159"/>
      <c r="AJS177" s="159"/>
      <c r="AJT177" s="159"/>
      <c r="AJU177" s="159"/>
      <c r="AJV177" s="159"/>
      <c r="AJW177" s="159"/>
      <c r="AJX177" s="159"/>
      <c r="AJY177" s="159"/>
      <c r="AJZ177" s="159"/>
      <c r="AKA177" s="159"/>
      <c r="AKB177" s="159"/>
      <c r="AKC177" s="159"/>
      <c r="AKD177" s="159"/>
      <c r="AKE177" s="159"/>
      <c r="AKF177" s="159"/>
      <c r="AKG177" s="159"/>
      <c r="AKH177" s="159"/>
      <c r="AKI177" s="159"/>
      <c r="AKJ177" s="159"/>
      <c r="AKK177" s="159"/>
      <c r="AKL177" s="159"/>
      <c r="AKM177" s="159"/>
      <c r="AKN177" s="159"/>
      <c r="AKO177" s="159"/>
      <c r="AKP177" s="159"/>
      <c r="AKQ177" s="159"/>
      <c r="AKR177" s="159"/>
      <c r="AKS177" s="159"/>
      <c r="AKT177" s="159"/>
      <c r="AKU177" s="159"/>
      <c r="AKV177" s="159"/>
      <c r="AKW177" s="159"/>
      <c r="AKX177" s="159"/>
      <c r="AKY177" s="159"/>
      <c r="AKZ177" s="159"/>
      <c r="ALA177" s="159"/>
      <c r="ALB177" s="159"/>
      <c r="ALC177" s="159"/>
      <c r="ALD177" s="159"/>
      <c r="ALE177" s="159"/>
      <c r="ALF177" s="159"/>
      <c r="ALG177" s="159"/>
      <c r="ALH177" s="159"/>
      <c r="ALI177" s="159"/>
      <c r="ALJ177" s="159"/>
      <c r="ALK177" s="159"/>
      <c r="ALL177" s="159"/>
      <c r="ALM177" s="159"/>
      <c r="ALN177" s="159"/>
      <c r="ALO177" s="159"/>
      <c r="ALP177" s="159"/>
      <c r="ALQ177" s="159"/>
      <c r="ALR177" s="159"/>
      <c r="ALS177" s="159"/>
      <c r="ALT177" s="159"/>
      <c r="ALU177" s="159"/>
      <c r="ALV177" s="159"/>
      <c r="ALW177" s="159"/>
      <c r="ALX177" s="159"/>
      <c r="ALY177" s="159"/>
      <c r="ALZ177" s="159"/>
      <c r="AMA177" s="159"/>
      <c r="AMB177" s="159"/>
      <c r="AMC177" s="159"/>
      <c r="AMD177" s="159"/>
      <c r="AME177" s="159"/>
      <c r="AMF177" s="159"/>
      <c r="AMG177" s="159"/>
      <c r="AMH177" s="159"/>
      <c r="AMI177" s="159"/>
      <c r="AMJ177" s="159"/>
      <c r="AMK177" s="159"/>
      <c r="AML177" s="159"/>
      <c r="AMM177" s="159"/>
      <c r="AMN177" s="159"/>
      <c r="AMO177" s="159"/>
    </row>
    <row r="178" spans="1:1029" s="161" customFormat="1" ht="26.25" thickBot="1" x14ac:dyDescent="0.3">
      <c r="A178" s="127">
        <v>46269</v>
      </c>
      <c r="B178" s="151" t="s">
        <v>84</v>
      </c>
      <c r="C178" s="151" t="s">
        <v>68</v>
      </c>
      <c r="D178" s="162" t="s">
        <v>69</v>
      </c>
      <c r="E178" s="150" t="s">
        <v>35</v>
      </c>
      <c r="F178" s="152" t="s">
        <v>10</v>
      </c>
      <c r="G178" s="152" t="s">
        <v>168</v>
      </c>
      <c r="H178" s="145" t="b">
        <f t="shared" si="12"/>
        <v>0</v>
      </c>
      <c r="I178" s="130" t="s">
        <v>8</v>
      </c>
      <c r="J178" s="131" t="s">
        <v>82</v>
      </c>
      <c r="K178" s="131" t="s">
        <v>27</v>
      </c>
      <c r="L178" s="145" t="b">
        <f t="shared" si="13"/>
        <v>0</v>
      </c>
      <c r="M178" s="131" t="s">
        <v>8</v>
      </c>
      <c r="N178" s="131" t="s">
        <v>57</v>
      </c>
      <c r="O178" s="131" t="s">
        <v>90</v>
      </c>
      <c r="P178" s="145" t="b">
        <f t="shared" si="14"/>
        <v>0</v>
      </c>
      <c r="Q178" s="152" t="s">
        <v>50</v>
      </c>
      <c r="R178" s="151" t="s">
        <v>36</v>
      </c>
      <c r="S178" s="151" t="s">
        <v>34</v>
      </c>
      <c r="T178" s="145" t="b">
        <f t="shared" si="15"/>
        <v>0</v>
      </c>
      <c r="U178" s="159"/>
      <c r="V178" s="159"/>
      <c r="W178" s="159"/>
      <c r="X178" s="15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59"/>
      <c r="AT178" s="159"/>
      <c r="AU178" s="159"/>
      <c r="AV178" s="159"/>
      <c r="AW178" s="159"/>
      <c r="AX178" s="159"/>
      <c r="AY178" s="159"/>
      <c r="AZ178" s="159"/>
      <c r="BA178" s="159"/>
      <c r="BB178" s="159"/>
      <c r="BC178" s="159"/>
      <c r="BD178" s="159"/>
      <c r="BE178" s="159"/>
      <c r="BF178" s="159"/>
      <c r="BG178" s="159"/>
      <c r="BH178" s="159"/>
      <c r="BI178" s="159"/>
      <c r="BJ178" s="159"/>
      <c r="BK178" s="159"/>
      <c r="BL178" s="159"/>
      <c r="BM178" s="159"/>
      <c r="BN178" s="159"/>
      <c r="BO178" s="159"/>
      <c r="BP178" s="159"/>
      <c r="BQ178" s="159"/>
      <c r="BR178" s="159"/>
      <c r="BS178" s="159"/>
      <c r="BT178" s="159"/>
      <c r="BU178" s="159"/>
      <c r="BV178" s="159"/>
      <c r="BW178" s="159"/>
      <c r="BX178" s="159"/>
      <c r="BY178" s="159"/>
      <c r="BZ178" s="159"/>
      <c r="CA178" s="159"/>
      <c r="CB178" s="159"/>
      <c r="CC178" s="159"/>
      <c r="CD178" s="159"/>
      <c r="CE178" s="159"/>
      <c r="CF178" s="159"/>
      <c r="CG178" s="159"/>
      <c r="CH178" s="159"/>
      <c r="CI178" s="159"/>
      <c r="CJ178" s="159"/>
      <c r="CK178" s="159"/>
      <c r="CL178" s="159"/>
      <c r="CM178" s="159"/>
      <c r="CN178" s="159"/>
      <c r="CO178" s="159"/>
      <c r="CP178" s="159"/>
      <c r="CQ178" s="159"/>
      <c r="CR178" s="159"/>
      <c r="CS178" s="159"/>
      <c r="CT178" s="159"/>
      <c r="CU178" s="159"/>
      <c r="CV178" s="159"/>
      <c r="CW178" s="159"/>
      <c r="CX178" s="159"/>
      <c r="CY178" s="159"/>
      <c r="CZ178" s="159"/>
      <c r="DA178" s="159"/>
      <c r="DB178" s="159"/>
      <c r="DC178" s="159"/>
      <c r="DD178" s="159"/>
      <c r="DE178" s="159"/>
      <c r="DF178" s="159"/>
      <c r="DG178" s="159"/>
      <c r="DH178" s="159"/>
      <c r="DI178" s="159"/>
      <c r="DJ178" s="159"/>
      <c r="DK178" s="159"/>
      <c r="DL178" s="159"/>
      <c r="DM178" s="159"/>
      <c r="DN178" s="159"/>
      <c r="DO178" s="159"/>
      <c r="DP178" s="159"/>
      <c r="DQ178" s="159"/>
      <c r="DR178" s="159"/>
      <c r="DS178" s="159"/>
      <c r="DT178" s="159"/>
      <c r="DU178" s="159"/>
      <c r="DV178" s="159"/>
      <c r="DW178" s="159"/>
      <c r="DX178" s="159"/>
      <c r="DY178" s="159"/>
      <c r="DZ178" s="159"/>
      <c r="EA178" s="159"/>
      <c r="EB178" s="159"/>
      <c r="EC178" s="159"/>
      <c r="ED178" s="159"/>
      <c r="EE178" s="159"/>
      <c r="EF178" s="159"/>
      <c r="EG178" s="159"/>
      <c r="EH178" s="159"/>
      <c r="EI178" s="159"/>
      <c r="EJ178" s="159"/>
      <c r="EK178" s="159"/>
      <c r="EL178" s="159"/>
      <c r="EM178" s="159"/>
      <c r="EN178" s="159"/>
      <c r="EO178" s="159"/>
      <c r="EP178" s="159"/>
      <c r="EQ178" s="159"/>
      <c r="ER178" s="159"/>
      <c r="ES178" s="159"/>
      <c r="ET178" s="159"/>
      <c r="EU178" s="159"/>
      <c r="EV178" s="159"/>
      <c r="EW178" s="159"/>
      <c r="EX178" s="159"/>
      <c r="EY178" s="159"/>
      <c r="EZ178" s="159"/>
      <c r="FA178" s="159"/>
      <c r="FB178" s="159"/>
      <c r="FC178" s="159"/>
      <c r="FD178" s="159"/>
      <c r="FE178" s="159"/>
      <c r="FF178" s="159"/>
      <c r="FG178" s="159"/>
      <c r="FH178" s="159"/>
      <c r="FI178" s="159"/>
      <c r="FJ178" s="159"/>
      <c r="FK178" s="159"/>
      <c r="FL178" s="159"/>
      <c r="FM178" s="159"/>
      <c r="FN178" s="159"/>
      <c r="FO178" s="159"/>
      <c r="FP178" s="159"/>
      <c r="FQ178" s="159"/>
      <c r="FR178" s="159"/>
      <c r="FS178" s="159"/>
      <c r="FT178" s="159"/>
      <c r="FU178" s="159"/>
      <c r="FV178" s="159"/>
      <c r="FW178" s="159"/>
      <c r="FX178" s="159"/>
      <c r="FY178" s="159"/>
      <c r="FZ178" s="159"/>
      <c r="GA178" s="159"/>
      <c r="GB178" s="159"/>
      <c r="GC178" s="159"/>
      <c r="GD178" s="159"/>
      <c r="GE178" s="159"/>
      <c r="GF178" s="159"/>
      <c r="GG178" s="159"/>
      <c r="GH178" s="159"/>
      <c r="GI178" s="159"/>
      <c r="GJ178" s="159"/>
      <c r="GK178" s="159"/>
      <c r="GL178" s="159"/>
      <c r="GM178" s="159"/>
      <c r="GN178" s="159"/>
      <c r="GO178" s="159"/>
      <c r="GP178" s="159"/>
      <c r="GQ178" s="159"/>
      <c r="GR178" s="159"/>
      <c r="GS178" s="159"/>
      <c r="GT178" s="159"/>
      <c r="GU178" s="159"/>
      <c r="GV178" s="159"/>
      <c r="GW178" s="159"/>
      <c r="GX178" s="159"/>
      <c r="GY178" s="159"/>
      <c r="GZ178" s="159"/>
      <c r="HA178" s="159"/>
      <c r="HB178" s="159"/>
      <c r="HC178" s="159"/>
      <c r="HD178" s="159"/>
      <c r="HE178" s="159"/>
      <c r="HF178" s="159"/>
      <c r="HG178" s="159"/>
      <c r="HH178" s="159"/>
      <c r="HI178" s="159"/>
      <c r="HJ178" s="159"/>
      <c r="HK178" s="159"/>
      <c r="HL178" s="159"/>
      <c r="HM178" s="159"/>
      <c r="HN178" s="159"/>
      <c r="HO178" s="159"/>
      <c r="HP178" s="159"/>
      <c r="HQ178" s="159"/>
      <c r="HR178" s="159"/>
      <c r="HS178" s="159"/>
      <c r="HT178" s="159"/>
      <c r="HU178" s="159"/>
      <c r="HV178" s="159"/>
      <c r="HW178" s="159"/>
      <c r="HX178" s="159"/>
      <c r="HY178" s="159"/>
      <c r="HZ178" s="159"/>
      <c r="IA178" s="159"/>
      <c r="IB178" s="159"/>
      <c r="IC178" s="159"/>
      <c r="ID178" s="159"/>
      <c r="IE178" s="159"/>
      <c r="IF178" s="159"/>
      <c r="IG178" s="159"/>
      <c r="IH178" s="159"/>
      <c r="II178" s="159"/>
      <c r="IJ178" s="159"/>
      <c r="IK178" s="159"/>
      <c r="IL178" s="159"/>
      <c r="IM178" s="159"/>
      <c r="IN178" s="159"/>
      <c r="IO178" s="159"/>
      <c r="IP178" s="159"/>
      <c r="IQ178" s="159"/>
      <c r="IR178" s="159"/>
      <c r="IS178" s="159"/>
      <c r="IT178" s="159"/>
      <c r="IU178" s="159"/>
      <c r="IV178" s="159"/>
      <c r="IW178" s="159"/>
      <c r="IX178" s="159"/>
      <c r="IY178" s="159"/>
      <c r="IZ178" s="159"/>
      <c r="JA178" s="159"/>
      <c r="JB178" s="159"/>
      <c r="JC178" s="159"/>
      <c r="JD178" s="159"/>
      <c r="JE178" s="159"/>
      <c r="JF178" s="159"/>
      <c r="JG178" s="159"/>
      <c r="JH178" s="159"/>
      <c r="JI178" s="159"/>
      <c r="JJ178" s="159"/>
      <c r="JK178" s="159"/>
      <c r="JL178" s="159"/>
      <c r="JM178" s="159"/>
      <c r="JN178" s="159"/>
      <c r="JO178" s="159"/>
      <c r="JP178" s="159"/>
      <c r="JQ178" s="159"/>
      <c r="JR178" s="159"/>
      <c r="JS178" s="159"/>
      <c r="JT178" s="159"/>
      <c r="JU178" s="159"/>
      <c r="JV178" s="159"/>
      <c r="JW178" s="159"/>
      <c r="JX178" s="159"/>
      <c r="JY178" s="159"/>
      <c r="JZ178" s="159"/>
      <c r="KA178" s="159"/>
      <c r="KB178" s="159"/>
      <c r="KC178" s="159"/>
      <c r="KD178" s="159"/>
      <c r="KE178" s="159"/>
      <c r="KF178" s="159"/>
      <c r="KG178" s="159"/>
      <c r="KH178" s="159"/>
      <c r="KI178" s="159"/>
      <c r="KJ178" s="159"/>
      <c r="KK178" s="159"/>
      <c r="KL178" s="159"/>
      <c r="KM178" s="159"/>
      <c r="KN178" s="159"/>
      <c r="KO178" s="159"/>
      <c r="KP178" s="159"/>
      <c r="KQ178" s="159"/>
      <c r="KR178" s="159"/>
      <c r="KS178" s="159"/>
      <c r="KT178" s="159"/>
      <c r="KU178" s="159"/>
      <c r="KV178" s="159"/>
      <c r="KW178" s="159"/>
      <c r="KX178" s="159"/>
      <c r="KY178" s="159"/>
      <c r="KZ178" s="159"/>
      <c r="LA178" s="159"/>
      <c r="LB178" s="159"/>
      <c r="LC178" s="159"/>
      <c r="LD178" s="159"/>
      <c r="LE178" s="159"/>
      <c r="LF178" s="159"/>
      <c r="LG178" s="159"/>
      <c r="LH178" s="159"/>
      <c r="LI178" s="159"/>
      <c r="LJ178" s="159"/>
      <c r="LK178" s="159"/>
      <c r="LL178" s="159"/>
      <c r="LM178" s="159"/>
      <c r="LN178" s="159"/>
      <c r="LO178" s="159"/>
      <c r="LP178" s="159"/>
      <c r="LQ178" s="159"/>
      <c r="LR178" s="159"/>
      <c r="LS178" s="159"/>
      <c r="LT178" s="159"/>
      <c r="LU178" s="159"/>
      <c r="LV178" s="159"/>
      <c r="LW178" s="159"/>
      <c r="LX178" s="159"/>
      <c r="LY178" s="159"/>
      <c r="LZ178" s="159"/>
      <c r="MA178" s="159"/>
      <c r="MB178" s="159"/>
      <c r="MC178" s="159"/>
      <c r="MD178" s="159"/>
      <c r="ME178" s="159"/>
      <c r="MF178" s="159"/>
      <c r="MG178" s="159"/>
      <c r="MH178" s="159"/>
      <c r="MI178" s="159"/>
      <c r="MJ178" s="159"/>
      <c r="MK178" s="159"/>
      <c r="ML178" s="159"/>
      <c r="MM178" s="159"/>
      <c r="MN178" s="159"/>
      <c r="MO178" s="159"/>
      <c r="MP178" s="159"/>
      <c r="MQ178" s="159"/>
      <c r="MR178" s="159"/>
      <c r="MS178" s="159"/>
      <c r="MT178" s="159"/>
      <c r="MU178" s="159"/>
      <c r="MV178" s="159"/>
      <c r="MW178" s="159"/>
      <c r="MX178" s="159"/>
      <c r="MY178" s="159"/>
      <c r="MZ178" s="159"/>
      <c r="NA178" s="159"/>
      <c r="NB178" s="159"/>
      <c r="NC178" s="159"/>
      <c r="ND178" s="159"/>
      <c r="NE178" s="159"/>
      <c r="NF178" s="159"/>
      <c r="NG178" s="159"/>
      <c r="NH178" s="159"/>
      <c r="NI178" s="159"/>
      <c r="NJ178" s="159"/>
      <c r="NK178" s="159"/>
      <c r="NL178" s="159"/>
      <c r="NM178" s="159"/>
      <c r="NN178" s="159"/>
      <c r="NO178" s="159"/>
      <c r="NP178" s="159"/>
      <c r="NQ178" s="159"/>
      <c r="NR178" s="159"/>
      <c r="NS178" s="159"/>
      <c r="NT178" s="159"/>
      <c r="NU178" s="159"/>
      <c r="NV178" s="159"/>
      <c r="NW178" s="159"/>
      <c r="NX178" s="159"/>
      <c r="NY178" s="159"/>
      <c r="NZ178" s="159"/>
      <c r="OA178" s="159"/>
      <c r="OB178" s="159"/>
      <c r="OC178" s="159"/>
      <c r="OD178" s="159"/>
      <c r="OE178" s="159"/>
      <c r="OF178" s="159"/>
      <c r="OG178" s="159"/>
      <c r="OH178" s="159"/>
      <c r="OI178" s="159"/>
      <c r="OJ178" s="159"/>
      <c r="OK178" s="159"/>
      <c r="OL178" s="159"/>
      <c r="OM178" s="159"/>
      <c r="ON178" s="159"/>
      <c r="OO178" s="159"/>
      <c r="OP178" s="159"/>
      <c r="OQ178" s="159"/>
      <c r="OR178" s="159"/>
      <c r="OS178" s="159"/>
      <c r="OT178" s="159"/>
      <c r="OU178" s="159"/>
      <c r="OV178" s="159"/>
      <c r="OW178" s="159"/>
      <c r="OX178" s="159"/>
      <c r="OY178" s="159"/>
      <c r="OZ178" s="159"/>
      <c r="PA178" s="159"/>
      <c r="PB178" s="159"/>
      <c r="PC178" s="159"/>
      <c r="PD178" s="159"/>
      <c r="PE178" s="159"/>
      <c r="PF178" s="159"/>
      <c r="PG178" s="159"/>
      <c r="PH178" s="159"/>
      <c r="PI178" s="159"/>
      <c r="PJ178" s="159"/>
      <c r="PK178" s="159"/>
      <c r="PL178" s="159"/>
      <c r="PM178" s="159"/>
      <c r="PN178" s="159"/>
      <c r="PO178" s="159"/>
      <c r="PP178" s="159"/>
      <c r="PQ178" s="159"/>
      <c r="PR178" s="159"/>
      <c r="PS178" s="159"/>
      <c r="PT178" s="159"/>
      <c r="PU178" s="159"/>
      <c r="PV178" s="159"/>
      <c r="PW178" s="159"/>
      <c r="PX178" s="159"/>
      <c r="PY178" s="159"/>
      <c r="PZ178" s="159"/>
      <c r="QA178" s="159"/>
      <c r="QB178" s="159"/>
      <c r="QC178" s="159"/>
      <c r="QD178" s="159"/>
      <c r="QE178" s="159"/>
      <c r="QF178" s="159"/>
      <c r="QG178" s="159"/>
      <c r="QH178" s="159"/>
      <c r="QI178" s="159"/>
      <c r="QJ178" s="159"/>
      <c r="QK178" s="159"/>
      <c r="QL178" s="159"/>
      <c r="QM178" s="159"/>
      <c r="QN178" s="159"/>
      <c r="QO178" s="159"/>
      <c r="QP178" s="159"/>
      <c r="QQ178" s="159"/>
      <c r="QR178" s="159"/>
      <c r="QS178" s="159"/>
      <c r="QT178" s="159"/>
      <c r="QU178" s="159"/>
      <c r="QV178" s="159"/>
      <c r="QW178" s="159"/>
      <c r="QX178" s="159"/>
      <c r="QY178" s="159"/>
      <c r="QZ178" s="159"/>
      <c r="RA178" s="159"/>
      <c r="RB178" s="159"/>
      <c r="RC178" s="159"/>
      <c r="RD178" s="159"/>
      <c r="RE178" s="159"/>
      <c r="RF178" s="159"/>
      <c r="RG178" s="159"/>
      <c r="RH178" s="159"/>
      <c r="RI178" s="159"/>
      <c r="RJ178" s="159"/>
      <c r="RK178" s="159"/>
      <c r="RL178" s="159"/>
      <c r="RM178" s="159"/>
      <c r="RN178" s="159"/>
      <c r="RO178" s="159"/>
      <c r="RP178" s="159"/>
      <c r="RQ178" s="159"/>
      <c r="RR178" s="159"/>
      <c r="RS178" s="159"/>
      <c r="RT178" s="159"/>
      <c r="RU178" s="159"/>
      <c r="RV178" s="159"/>
      <c r="RW178" s="159"/>
      <c r="RX178" s="159"/>
      <c r="RY178" s="159"/>
      <c r="RZ178" s="159"/>
      <c r="SA178" s="159"/>
      <c r="SB178" s="159"/>
      <c r="SC178" s="159"/>
      <c r="SD178" s="159"/>
      <c r="SE178" s="159"/>
      <c r="SF178" s="159"/>
      <c r="SG178" s="159"/>
      <c r="SH178" s="159"/>
      <c r="SI178" s="159"/>
      <c r="SJ178" s="159"/>
      <c r="SK178" s="159"/>
      <c r="SL178" s="159"/>
      <c r="SM178" s="159"/>
      <c r="SN178" s="159"/>
      <c r="SO178" s="159"/>
      <c r="SP178" s="159"/>
      <c r="SQ178" s="159"/>
      <c r="SR178" s="159"/>
      <c r="SS178" s="159"/>
      <c r="ST178" s="159"/>
      <c r="SU178" s="159"/>
      <c r="SV178" s="159"/>
      <c r="SW178" s="159"/>
      <c r="SX178" s="159"/>
      <c r="SY178" s="159"/>
      <c r="SZ178" s="159"/>
      <c r="TA178" s="159"/>
      <c r="TB178" s="159"/>
      <c r="TC178" s="159"/>
      <c r="TD178" s="159"/>
      <c r="TE178" s="159"/>
      <c r="TF178" s="159"/>
      <c r="TG178" s="159"/>
      <c r="TH178" s="159"/>
      <c r="TI178" s="159"/>
      <c r="TJ178" s="159"/>
      <c r="TK178" s="159"/>
      <c r="TL178" s="159"/>
      <c r="TM178" s="159"/>
      <c r="TN178" s="159"/>
      <c r="TO178" s="159"/>
      <c r="TP178" s="159"/>
      <c r="TQ178" s="159"/>
      <c r="TR178" s="159"/>
      <c r="TS178" s="159"/>
      <c r="TT178" s="159"/>
      <c r="TU178" s="159"/>
      <c r="TV178" s="159"/>
      <c r="TW178" s="159"/>
      <c r="TX178" s="159"/>
      <c r="TY178" s="159"/>
      <c r="TZ178" s="159"/>
      <c r="UA178" s="159"/>
      <c r="UB178" s="159"/>
      <c r="UC178" s="159"/>
      <c r="UD178" s="159"/>
      <c r="UE178" s="159"/>
      <c r="UF178" s="159"/>
      <c r="UG178" s="159"/>
      <c r="UH178" s="159"/>
      <c r="UI178" s="159"/>
      <c r="UJ178" s="159"/>
      <c r="UK178" s="159"/>
      <c r="UL178" s="159"/>
      <c r="UM178" s="159"/>
      <c r="UN178" s="159"/>
      <c r="UO178" s="159"/>
      <c r="UP178" s="159"/>
      <c r="UQ178" s="159"/>
      <c r="UR178" s="159"/>
      <c r="US178" s="159"/>
      <c r="UT178" s="159"/>
      <c r="UU178" s="159"/>
      <c r="UV178" s="159"/>
      <c r="UW178" s="159"/>
      <c r="UX178" s="159"/>
      <c r="UY178" s="159"/>
      <c r="UZ178" s="159"/>
      <c r="VA178" s="159"/>
      <c r="VB178" s="159"/>
      <c r="VC178" s="159"/>
      <c r="VD178" s="159"/>
      <c r="VE178" s="159"/>
      <c r="VF178" s="159"/>
      <c r="VG178" s="159"/>
      <c r="VH178" s="159"/>
      <c r="VI178" s="159"/>
      <c r="VJ178" s="159"/>
      <c r="VK178" s="159"/>
      <c r="VL178" s="159"/>
      <c r="VM178" s="159"/>
      <c r="VN178" s="159"/>
      <c r="VO178" s="159"/>
      <c r="VP178" s="159"/>
      <c r="VQ178" s="159"/>
      <c r="VR178" s="159"/>
      <c r="VS178" s="159"/>
      <c r="VT178" s="159"/>
      <c r="VU178" s="159"/>
      <c r="VV178" s="159"/>
      <c r="VW178" s="159"/>
      <c r="VX178" s="159"/>
      <c r="VY178" s="159"/>
      <c r="VZ178" s="159"/>
      <c r="WA178" s="159"/>
      <c r="WB178" s="159"/>
      <c r="WC178" s="159"/>
      <c r="WD178" s="159"/>
      <c r="WE178" s="159"/>
      <c r="WF178" s="159"/>
      <c r="WG178" s="159"/>
      <c r="WH178" s="159"/>
      <c r="WI178" s="159"/>
      <c r="WJ178" s="159"/>
      <c r="WK178" s="159"/>
      <c r="WL178" s="159"/>
      <c r="WM178" s="159"/>
      <c r="WN178" s="159"/>
      <c r="WO178" s="159"/>
      <c r="WP178" s="159"/>
      <c r="WQ178" s="159"/>
      <c r="WR178" s="159"/>
      <c r="WS178" s="159"/>
      <c r="WT178" s="159"/>
      <c r="WU178" s="159"/>
      <c r="WV178" s="159"/>
      <c r="WW178" s="159"/>
      <c r="WX178" s="159"/>
      <c r="WY178" s="159"/>
      <c r="WZ178" s="159"/>
      <c r="XA178" s="159"/>
      <c r="XB178" s="159"/>
      <c r="XC178" s="159"/>
      <c r="XD178" s="159"/>
      <c r="XE178" s="159"/>
      <c r="XF178" s="159"/>
      <c r="XG178" s="159"/>
      <c r="XH178" s="159"/>
      <c r="XI178" s="159"/>
      <c r="XJ178" s="159"/>
      <c r="XK178" s="159"/>
      <c r="XL178" s="159"/>
      <c r="XM178" s="159"/>
      <c r="XN178" s="159"/>
      <c r="XO178" s="159"/>
      <c r="XP178" s="159"/>
      <c r="XQ178" s="159"/>
      <c r="XR178" s="159"/>
      <c r="XS178" s="159"/>
      <c r="XT178" s="159"/>
      <c r="XU178" s="159"/>
      <c r="XV178" s="159"/>
      <c r="XW178" s="159"/>
      <c r="XX178" s="159"/>
      <c r="XY178" s="159"/>
      <c r="XZ178" s="159"/>
      <c r="YA178" s="159"/>
      <c r="YB178" s="159"/>
      <c r="YC178" s="159"/>
      <c r="YD178" s="159"/>
      <c r="YE178" s="159"/>
      <c r="YF178" s="159"/>
      <c r="YG178" s="159"/>
      <c r="YH178" s="159"/>
      <c r="YI178" s="159"/>
      <c r="YJ178" s="159"/>
      <c r="YK178" s="159"/>
      <c r="YL178" s="159"/>
      <c r="YM178" s="159"/>
      <c r="YN178" s="159"/>
      <c r="YO178" s="159"/>
      <c r="YP178" s="159"/>
      <c r="YQ178" s="159"/>
      <c r="YR178" s="159"/>
      <c r="YS178" s="159"/>
      <c r="YT178" s="159"/>
      <c r="YU178" s="159"/>
      <c r="YV178" s="159"/>
      <c r="YW178" s="159"/>
      <c r="YX178" s="159"/>
      <c r="YY178" s="159"/>
      <c r="YZ178" s="159"/>
      <c r="ZA178" s="159"/>
      <c r="ZB178" s="159"/>
      <c r="ZC178" s="159"/>
      <c r="ZD178" s="159"/>
      <c r="ZE178" s="159"/>
      <c r="ZF178" s="159"/>
      <c r="ZG178" s="159"/>
      <c r="ZH178" s="159"/>
      <c r="ZI178" s="159"/>
      <c r="ZJ178" s="159"/>
      <c r="ZK178" s="159"/>
      <c r="ZL178" s="159"/>
      <c r="ZM178" s="159"/>
      <c r="ZN178" s="159"/>
      <c r="ZO178" s="159"/>
      <c r="ZP178" s="159"/>
      <c r="ZQ178" s="159"/>
      <c r="ZR178" s="159"/>
      <c r="ZS178" s="159"/>
      <c r="ZT178" s="159"/>
      <c r="ZU178" s="159"/>
      <c r="ZV178" s="159"/>
      <c r="ZW178" s="159"/>
      <c r="ZX178" s="159"/>
      <c r="ZY178" s="159"/>
      <c r="ZZ178" s="159"/>
      <c r="AAA178" s="159"/>
      <c r="AAB178" s="159"/>
      <c r="AAC178" s="159"/>
      <c r="AAD178" s="159"/>
      <c r="AAE178" s="159"/>
      <c r="AAF178" s="159"/>
      <c r="AAG178" s="159"/>
      <c r="AAH178" s="159"/>
      <c r="AAI178" s="159"/>
      <c r="AAJ178" s="159"/>
      <c r="AAK178" s="159"/>
      <c r="AAL178" s="159"/>
      <c r="AAM178" s="159"/>
      <c r="AAN178" s="159"/>
      <c r="AAO178" s="159"/>
      <c r="AAP178" s="159"/>
      <c r="AAQ178" s="159"/>
      <c r="AAR178" s="159"/>
      <c r="AAS178" s="159"/>
      <c r="AAT178" s="159"/>
      <c r="AAU178" s="159"/>
      <c r="AAV178" s="159"/>
      <c r="AAW178" s="159"/>
      <c r="AAX178" s="159"/>
      <c r="AAY178" s="159"/>
      <c r="AAZ178" s="159"/>
      <c r="ABA178" s="159"/>
      <c r="ABB178" s="159"/>
      <c r="ABC178" s="159"/>
      <c r="ABD178" s="159"/>
      <c r="ABE178" s="159"/>
      <c r="ABF178" s="159"/>
      <c r="ABG178" s="159"/>
      <c r="ABH178" s="159"/>
      <c r="ABI178" s="159"/>
      <c r="ABJ178" s="159"/>
      <c r="ABK178" s="159"/>
      <c r="ABL178" s="159"/>
      <c r="ABM178" s="159"/>
      <c r="ABN178" s="159"/>
      <c r="ABO178" s="159"/>
      <c r="ABP178" s="159"/>
      <c r="ABQ178" s="159"/>
      <c r="ABR178" s="159"/>
      <c r="ABS178" s="159"/>
      <c r="ABT178" s="159"/>
      <c r="ABU178" s="159"/>
      <c r="ABV178" s="159"/>
      <c r="ABW178" s="159"/>
      <c r="ABX178" s="159"/>
      <c r="ABY178" s="159"/>
      <c r="ABZ178" s="159"/>
      <c r="ACA178" s="159"/>
      <c r="ACB178" s="159"/>
      <c r="ACC178" s="159"/>
      <c r="ACD178" s="159"/>
      <c r="ACE178" s="159"/>
      <c r="ACF178" s="159"/>
      <c r="ACG178" s="159"/>
      <c r="ACH178" s="159"/>
      <c r="ACI178" s="159"/>
      <c r="ACJ178" s="159"/>
      <c r="ACK178" s="159"/>
      <c r="ACL178" s="159"/>
      <c r="ACM178" s="159"/>
      <c r="ACN178" s="159"/>
      <c r="ACO178" s="159"/>
      <c r="ACP178" s="159"/>
      <c r="ACQ178" s="159"/>
      <c r="ACR178" s="159"/>
      <c r="ACS178" s="159"/>
      <c r="ACT178" s="159"/>
      <c r="ACU178" s="159"/>
      <c r="ACV178" s="159"/>
      <c r="ACW178" s="159"/>
      <c r="ACX178" s="159"/>
      <c r="ACY178" s="159"/>
      <c r="ACZ178" s="159"/>
      <c r="ADA178" s="159"/>
      <c r="ADB178" s="159"/>
      <c r="ADC178" s="159"/>
      <c r="ADD178" s="159"/>
      <c r="ADE178" s="159"/>
      <c r="ADF178" s="159"/>
      <c r="ADG178" s="159"/>
      <c r="ADH178" s="159"/>
      <c r="ADI178" s="159"/>
      <c r="ADJ178" s="159"/>
      <c r="ADK178" s="159"/>
      <c r="ADL178" s="159"/>
      <c r="ADM178" s="159"/>
      <c r="ADN178" s="159"/>
      <c r="ADO178" s="159"/>
      <c r="ADP178" s="159"/>
      <c r="ADQ178" s="159"/>
      <c r="ADR178" s="159"/>
      <c r="ADS178" s="159"/>
      <c r="ADT178" s="159"/>
      <c r="ADU178" s="159"/>
      <c r="ADV178" s="159"/>
      <c r="ADW178" s="159"/>
      <c r="ADX178" s="159"/>
      <c r="ADY178" s="159"/>
      <c r="ADZ178" s="159"/>
      <c r="AEA178" s="159"/>
      <c r="AEB178" s="159"/>
      <c r="AEC178" s="159"/>
      <c r="AED178" s="159"/>
      <c r="AEE178" s="159"/>
      <c r="AEF178" s="159"/>
      <c r="AEG178" s="159"/>
      <c r="AEH178" s="159"/>
      <c r="AEI178" s="159"/>
      <c r="AEJ178" s="159"/>
      <c r="AEK178" s="159"/>
      <c r="AEL178" s="159"/>
      <c r="AEM178" s="159"/>
      <c r="AEN178" s="159"/>
      <c r="AEO178" s="159"/>
      <c r="AEP178" s="159"/>
      <c r="AEQ178" s="159"/>
      <c r="AER178" s="159"/>
      <c r="AES178" s="159"/>
      <c r="AET178" s="159"/>
      <c r="AEU178" s="159"/>
      <c r="AEV178" s="159"/>
      <c r="AEW178" s="159"/>
      <c r="AEX178" s="159"/>
      <c r="AEY178" s="159"/>
      <c r="AEZ178" s="159"/>
      <c r="AFA178" s="159"/>
      <c r="AFB178" s="159"/>
      <c r="AFC178" s="159"/>
      <c r="AFD178" s="159"/>
      <c r="AFE178" s="159"/>
      <c r="AFF178" s="159"/>
      <c r="AFG178" s="159"/>
      <c r="AFH178" s="159"/>
      <c r="AFI178" s="159"/>
      <c r="AFJ178" s="159"/>
      <c r="AFK178" s="159"/>
      <c r="AFL178" s="159"/>
      <c r="AFM178" s="159"/>
      <c r="AFN178" s="159"/>
      <c r="AFO178" s="159"/>
      <c r="AFP178" s="159"/>
      <c r="AFQ178" s="159"/>
      <c r="AFR178" s="159"/>
      <c r="AFS178" s="159"/>
      <c r="AFT178" s="159"/>
      <c r="AFU178" s="159"/>
      <c r="AFV178" s="159"/>
      <c r="AFW178" s="159"/>
      <c r="AFX178" s="159"/>
      <c r="AFY178" s="159"/>
      <c r="AFZ178" s="159"/>
      <c r="AGA178" s="159"/>
      <c r="AGB178" s="159"/>
      <c r="AGC178" s="159"/>
      <c r="AGD178" s="159"/>
      <c r="AGE178" s="159"/>
      <c r="AGF178" s="159"/>
      <c r="AGG178" s="159"/>
      <c r="AGH178" s="159"/>
      <c r="AGI178" s="159"/>
      <c r="AGJ178" s="159"/>
      <c r="AGK178" s="159"/>
      <c r="AGL178" s="159"/>
      <c r="AGM178" s="159"/>
      <c r="AGN178" s="159"/>
      <c r="AGO178" s="159"/>
      <c r="AGP178" s="159"/>
      <c r="AGQ178" s="159"/>
      <c r="AGR178" s="159"/>
      <c r="AGS178" s="159"/>
      <c r="AGT178" s="159"/>
      <c r="AGU178" s="159"/>
      <c r="AGV178" s="159"/>
      <c r="AGW178" s="159"/>
      <c r="AGX178" s="159"/>
      <c r="AGY178" s="159"/>
      <c r="AGZ178" s="159"/>
      <c r="AHA178" s="159"/>
      <c r="AHB178" s="159"/>
      <c r="AHC178" s="159"/>
      <c r="AHD178" s="159"/>
      <c r="AHE178" s="159"/>
      <c r="AHF178" s="159"/>
      <c r="AHG178" s="159"/>
      <c r="AHH178" s="159"/>
      <c r="AHI178" s="159"/>
      <c r="AHJ178" s="159"/>
      <c r="AHK178" s="159"/>
      <c r="AHL178" s="159"/>
      <c r="AHM178" s="159"/>
      <c r="AHN178" s="159"/>
      <c r="AHO178" s="159"/>
      <c r="AHP178" s="159"/>
      <c r="AHQ178" s="159"/>
      <c r="AHR178" s="159"/>
      <c r="AHS178" s="159"/>
      <c r="AHT178" s="159"/>
      <c r="AHU178" s="159"/>
      <c r="AHV178" s="159"/>
      <c r="AHW178" s="159"/>
      <c r="AHX178" s="159"/>
      <c r="AHY178" s="159"/>
      <c r="AHZ178" s="159"/>
      <c r="AIA178" s="159"/>
      <c r="AIB178" s="159"/>
      <c r="AIC178" s="159"/>
      <c r="AID178" s="159"/>
      <c r="AIE178" s="159"/>
      <c r="AIF178" s="159"/>
      <c r="AIG178" s="159"/>
      <c r="AIH178" s="159"/>
      <c r="AII178" s="159"/>
      <c r="AIJ178" s="159"/>
      <c r="AIK178" s="159"/>
      <c r="AIL178" s="159"/>
      <c r="AIM178" s="159"/>
      <c r="AIN178" s="159"/>
      <c r="AIO178" s="159"/>
      <c r="AIP178" s="159"/>
      <c r="AIQ178" s="159"/>
      <c r="AIR178" s="159"/>
      <c r="AIS178" s="159"/>
      <c r="AIT178" s="159"/>
      <c r="AIU178" s="159"/>
      <c r="AIV178" s="159"/>
      <c r="AIW178" s="159"/>
      <c r="AIX178" s="159"/>
      <c r="AIY178" s="159"/>
      <c r="AIZ178" s="159"/>
      <c r="AJA178" s="159"/>
      <c r="AJB178" s="159"/>
      <c r="AJC178" s="159"/>
      <c r="AJD178" s="159"/>
      <c r="AJE178" s="159"/>
      <c r="AJF178" s="159"/>
      <c r="AJG178" s="159"/>
      <c r="AJH178" s="159"/>
      <c r="AJI178" s="159"/>
      <c r="AJJ178" s="159"/>
      <c r="AJK178" s="159"/>
      <c r="AJL178" s="159"/>
      <c r="AJM178" s="159"/>
      <c r="AJN178" s="159"/>
      <c r="AJO178" s="159"/>
      <c r="AJP178" s="159"/>
      <c r="AJQ178" s="159"/>
      <c r="AJR178" s="159"/>
      <c r="AJS178" s="159"/>
      <c r="AJT178" s="159"/>
      <c r="AJU178" s="159"/>
      <c r="AJV178" s="159"/>
      <c r="AJW178" s="159"/>
      <c r="AJX178" s="159"/>
      <c r="AJY178" s="159"/>
      <c r="AJZ178" s="159"/>
      <c r="AKA178" s="159"/>
      <c r="AKB178" s="159"/>
      <c r="AKC178" s="159"/>
      <c r="AKD178" s="159"/>
      <c r="AKE178" s="159"/>
      <c r="AKF178" s="159"/>
      <c r="AKG178" s="159"/>
      <c r="AKH178" s="159"/>
      <c r="AKI178" s="159"/>
      <c r="AKJ178" s="159"/>
      <c r="AKK178" s="159"/>
      <c r="AKL178" s="159"/>
      <c r="AKM178" s="159"/>
      <c r="AKN178" s="159"/>
      <c r="AKO178" s="159"/>
      <c r="AKP178" s="159"/>
      <c r="AKQ178" s="159"/>
      <c r="AKR178" s="159"/>
      <c r="AKS178" s="159"/>
      <c r="AKT178" s="159"/>
      <c r="AKU178" s="159"/>
      <c r="AKV178" s="159"/>
      <c r="AKW178" s="159"/>
      <c r="AKX178" s="159"/>
      <c r="AKY178" s="159"/>
      <c r="AKZ178" s="159"/>
      <c r="ALA178" s="159"/>
      <c r="ALB178" s="159"/>
      <c r="ALC178" s="159"/>
      <c r="ALD178" s="159"/>
      <c r="ALE178" s="159"/>
      <c r="ALF178" s="159"/>
      <c r="ALG178" s="159"/>
      <c r="ALH178" s="159"/>
      <c r="ALI178" s="159"/>
      <c r="ALJ178" s="159"/>
      <c r="ALK178" s="159"/>
      <c r="ALL178" s="159"/>
      <c r="ALM178" s="159"/>
      <c r="ALN178" s="159"/>
      <c r="ALO178" s="159"/>
      <c r="ALP178" s="159"/>
      <c r="ALQ178" s="159"/>
      <c r="ALR178" s="159"/>
      <c r="ALS178" s="159"/>
      <c r="ALT178" s="159"/>
      <c r="ALU178" s="159"/>
      <c r="ALV178" s="159"/>
      <c r="ALW178" s="159"/>
      <c r="ALX178" s="159"/>
      <c r="ALY178" s="159"/>
      <c r="ALZ178" s="159"/>
      <c r="AMA178" s="159"/>
      <c r="AMB178" s="159"/>
      <c r="AMC178" s="159"/>
      <c r="AMD178" s="159"/>
      <c r="AME178" s="159"/>
      <c r="AMF178" s="159"/>
      <c r="AMG178" s="159"/>
      <c r="AMH178" s="159"/>
      <c r="AMI178" s="159"/>
      <c r="AMJ178" s="159"/>
      <c r="AMK178" s="159"/>
      <c r="AML178" s="159"/>
      <c r="AMM178" s="159"/>
      <c r="AMN178" s="159"/>
      <c r="AMO178" s="159"/>
    </row>
    <row r="179" spans="1:1029" s="161" customFormat="1" ht="39" thickTop="1" x14ac:dyDescent="0.25">
      <c r="A179" s="138">
        <v>46272</v>
      </c>
      <c r="B179" s="119" t="s">
        <v>29</v>
      </c>
      <c r="C179" s="119" t="s">
        <v>30</v>
      </c>
      <c r="D179" s="139" t="s">
        <v>31</v>
      </c>
      <c r="E179" s="120" t="s">
        <v>101</v>
      </c>
      <c r="F179" s="121" t="s">
        <v>119</v>
      </c>
      <c r="G179" s="121" t="s">
        <v>21</v>
      </c>
      <c r="H179" s="146" t="b">
        <f t="shared" si="12"/>
        <v>0</v>
      </c>
      <c r="I179" s="121" t="s">
        <v>19</v>
      </c>
      <c r="J179" s="121" t="s">
        <v>51</v>
      </c>
      <c r="K179" s="121" t="s">
        <v>21</v>
      </c>
      <c r="L179" s="143" t="b">
        <f t="shared" si="13"/>
        <v>0</v>
      </c>
      <c r="M179" s="121" t="s">
        <v>19</v>
      </c>
      <c r="N179" s="121" t="s">
        <v>160</v>
      </c>
      <c r="O179" s="121" t="s">
        <v>21</v>
      </c>
      <c r="P179" s="146" t="b">
        <f t="shared" si="14"/>
        <v>0</v>
      </c>
      <c r="Q179" s="121" t="s">
        <v>22</v>
      </c>
      <c r="R179" s="119" t="s">
        <v>130</v>
      </c>
      <c r="S179" s="119" t="s">
        <v>21</v>
      </c>
      <c r="T179" s="146" t="b">
        <f t="shared" si="15"/>
        <v>0</v>
      </c>
      <c r="U179" s="159"/>
      <c r="V179" s="159"/>
      <c r="W179" s="159"/>
      <c r="X179" s="159"/>
      <c r="Y179" s="159"/>
      <c r="Z179" s="159"/>
      <c r="AA179" s="159"/>
      <c r="AB179" s="159"/>
      <c r="AC179" s="159"/>
      <c r="AD179" s="159"/>
      <c r="AE179" s="159"/>
      <c r="AF179" s="159"/>
      <c r="AG179" s="159"/>
      <c r="AH179" s="159"/>
      <c r="AI179" s="159"/>
      <c r="AJ179" s="159"/>
      <c r="AK179" s="159"/>
      <c r="AL179" s="159"/>
      <c r="AM179" s="159"/>
      <c r="AN179" s="159"/>
      <c r="AO179" s="159"/>
      <c r="AP179" s="159"/>
      <c r="AQ179" s="159"/>
      <c r="AR179" s="159"/>
      <c r="AS179" s="159"/>
      <c r="AT179" s="159"/>
      <c r="AU179" s="159"/>
      <c r="AV179" s="159"/>
      <c r="AW179" s="159"/>
      <c r="AX179" s="159"/>
      <c r="AY179" s="159"/>
      <c r="AZ179" s="159"/>
      <c r="BA179" s="159"/>
      <c r="BB179" s="159"/>
      <c r="BC179" s="159"/>
      <c r="BD179" s="159"/>
      <c r="BE179" s="159"/>
      <c r="BF179" s="159"/>
      <c r="BG179" s="159"/>
      <c r="BH179" s="159"/>
      <c r="BI179" s="159"/>
      <c r="BJ179" s="159"/>
      <c r="BK179" s="159"/>
      <c r="BL179" s="159"/>
      <c r="BM179" s="159"/>
      <c r="BN179" s="159"/>
      <c r="BO179" s="159"/>
      <c r="BP179" s="159"/>
      <c r="BQ179" s="159"/>
      <c r="BR179" s="159"/>
      <c r="BS179" s="159"/>
      <c r="BT179" s="159"/>
      <c r="BU179" s="159"/>
      <c r="BV179" s="159"/>
      <c r="BW179" s="159"/>
      <c r="BX179" s="159"/>
      <c r="BY179" s="159"/>
      <c r="BZ179" s="159"/>
      <c r="CA179" s="159"/>
      <c r="CB179" s="159"/>
      <c r="CC179" s="159"/>
      <c r="CD179" s="159"/>
      <c r="CE179" s="159"/>
      <c r="CF179" s="159"/>
      <c r="CG179" s="159"/>
      <c r="CH179" s="159"/>
      <c r="CI179" s="159"/>
      <c r="CJ179" s="159"/>
      <c r="CK179" s="159"/>
      <c r="CL179" s="159"/>
      <c r="CM179" s="159"/>
      <c r="CN179" s="159"/>
      <c r="CO179" s="159"/>
      <c r="CP179" s="159"/>
      <c r="CQ179" s="159"/>
      <c r="CR179" s="159"/>
      <c r="CS179" s="159"/>
      <c r="CT179" s="159"/>
      <c r="CU179" s="159"/>
      <c r="CV179" s="159"/>
      <c r="CW179" s="159"/>
      <c r="CX179" s="159"/>
      <c r="CY179" s="159"/>
      <c r="CZ179" s="159"/>
      <c r="DA179" s="159"/>
      <c r="DB179" s="159"/>
      <c r="DC179" s="159"/>
      <c r="DD179" s="159"/>
      <c r="DE179" s="159"/>
      <c r="DF179" s="159"/>
      <c r="DG179" s="159"/>
      <c r="DH179" s="159"/>
      <c r="DI179" s="159"/>
      <c r="DJ179" s="159"/>
      <c r="DK179" s="159"/>
      <c r="DL179" s="159"/>
      <c r="DM179" s="159"/>
      <c r="DN179" s="159"/>
      <c r="DO179" s="159"/>
      <c r="DP179" s="159"/>
      <c r="DQ179" s="159"/>
      <c r="DR179" s="159"/>
      <c r="DS179" s="159"/>
      <c r="DT179" s="159"/>
      <c r="DU179" s="159"/>
      <c r="DV179" s="159"/>
      <c r="DW179" s="159"/>
      <c r="DX179" s="159"/>
      <c r="DY179" s="159"/>
      <c r="DZ179" s="159"/>
      <c r="EA179" s="159"/>
      <c r="EB179" s="159"/>
      <c r="EC179" s="159"/>
      <c r="ED179" s="159"/>
      <c r="EE179" s="159"/>
      <c r="EF179" s="159"/>
      <c r="EG179" s="159"/>
      <c r="EH179" s="159"/>
      <c r="EI179" s="159"/>
      <c r="EJ179" s="159"/>
      <c r="EK179" s="159"/>
      <c r="EL179" s="159"/>
      <c r="EM179" s="159"/>
      <c r="EN179" s="159"/>
      <c r="EO179" s="159"/>
      <c r="EP179" s="159"/>
      <c r="EQ179" s="159"/>
      <c r="ER179" s="159"/>
      <c r="ES179" s="159"/>
      <c r="ET179" s="159"/>
      <c r="EU179" s="159"/>
      <c r="EV179" s="159"/>
      <c r="EW179" s="159"/>
      <c r="EX179" s="159"/>
      <c r="EY179" s="159"/>
      <c r="EZ179" s="159"/>
      <c r="FA179" s="159"/>
      <c r="FB179" s="159"/>
      <c r="FC179" s="159"/>
      <c r="FD179" s="159"/>
      <c r="FE179" s="159"/>
      <c r="FF179" s="159"/>
      <c r="FG179" s="159"/>
      <c r="FH179" s="159"/>
      <c r="FI179" s="159"/>
      <c r="FJ179" s="159"/>
      <c r="FK179" s="159"/>
      <c r="FL179" s="159"/>
      <c r="FM179" s="159"/>
      <c r="FN179" s="159"/>
      <c r="FO179" s="159"/>
      <c r="FP179" s="159"/>
      <c r="FQ179" s="159"/>
      <c r="FR179" s="159"/>
      <c r="FS179" s="159"/>
      <c r="FT179" s="159"/>
      <c r="FU179" s="159"/>
      <c r="FV179" s="159"/>
      <c r="FW179" s="159"/>
      <c r="FX179" s="159"/>
      <c r="FY179" s="159"/>
      <c r="FZ179" s="159"/>
      <c r="GA179" s="159"/>
      <c r="GB179" s="159"/>
      <c r="GC179" s="159"/>
      <c r="GD179" s="159"/>
      <c r="GE179" s="159"/>
      <c r="GF179" s="159"/>
      <c r="GG179" s="159"/>
      <c r="GH179" s="159"/>
      <c r="GI179" s="159"/>
      <c r="GJ179" s="159"/>
      <c r="GK179" s="159"/>
      <c r="GL179" s="159"/>
      <c r="GM179" s="159"/>
      <c r="GN179" s="159"/>
      <c r="GO179" s="159"/>
      <c r="GP179" s="159"/>
      <c r="GQ179" s="159"/>
      <c r="GR179" s="159"/>
      <c r="GS179" s="159"/>
      <c r="GT179" s="159"/>
      <c r="GU179" s="159"/>
      <c r="GV179" s="159"/>
      <c r="GW179" s="159"/>
      <c r="GX179" s="159"/>
      <c r="GY179" s="159"/>
      <c r="GZ179" s="159"/>
      <c r="HA179" s="159"/>
      <c r="HB179" s="159"/>
      <c r="HC179" s="159"/>
      <c r="HD179" s="159"/>
      <c r="HE179" s="159"/>
      <c r="HF179" s="159"/>
      <c r="HG179" s="159"/>
      <c r="HH179" s="159"/>
      <c r="HI179" s="159"/>
      <c r="HJ179" s="159"/>
      <c r="HK179" s="159"/>
      <c r="HL179" s="159"/>
      <c r="HM179" s="159"/>
      <c r="HN179" s="159"/>
      <c r="HO179" s="159"/>
      <c r="HP179" s="159"/>
      <c r="HQ179" s="159"/>
      <c r="HR179" s="159"/>
      <c r="HS179" s="159"/>
      <c r="HT179" s="159"/>
      <c r="HU179" s="159"/>
      <c r="HV179" s="159"/>
      <c r="HW179" s="159"/>
      <c r="HX179" s="159"/>
      <c r="HY179" s="159"/>
      <c r="HZ179" s="159"/>
      <c r="IA179" s="159"/>
      <c r="IB179" s="159"/>
      <c r="IC179" s="159"/>
      <c r="ID179" s="159"/>
      <c r="IE179" s="159"/>
      <c r="IF179" s="159"/>
      <c r="IG179" s="159"/>
      <c r="IH179" s="159"/>
      <c r="II179" s="159"/>
      <c r="IJ179" s="159"/>
      <c r="IK179" s="159"/>
      <c r="IL179" s="159"/>
      <c r="IM179" s="159"/>
      <c r="IN179" s="159"/>
      <c r="IO179" s="159"/>
      <c r="IP179" s="159"/>
      <c r="IQ179" s="159"/>
      <c r="IR179" s="159"/>
      <c r="IS179" s="159"/>
      <c r="IT179" s="159"/>
      <c r="IU179" s="159"/>
      <c r="IV179" s="159"/>
      <c r="IW179" s="159"/>
      <c r="IX179" s="159"/>
      <c r="IY179" s="159"/>
      <c r="IZ179" s="159"/>
      <c r="JA179" s="159"/>
      <c r="JB179" s="159"/>
      <c r="JC179" s="159"/>
      <c r="JD179" s="159"/>
      <c r="JE179" s="159"/>
      <c r="JF179" s="159"/>
      <c r="JG179" s="159"/>
      <c r="JH179" s="159"/>
      <c r="JI179" s="159"/>
      <c r="JJ179" s="159"/>
      <c r="JK179" s="159"/>
      <c r="JL179" s="159"/>
      <c r="JM179" s="159"/>
      <c r="JN179" s="159"/>
      <c r="JO179" s="159"/>
      <c r="JP179" s="159"/>
      <c r="JQ179" s="159"/>
      <c r="JR179" s="159"/>
      <c r="JS179" s="159"/>
      <c r="JT179" s="159"/>
      <c r="JU179" s="159"/>
      <c r="JV179" s="159"/>
      <c r="JW179" s="159"/>
      <c r="JX179" s="159"/>
      <c r="JY179" s="159"/>
      <c r="JZ179" s="159"/>
      <c r="KA179" s="159"/>
      <c r="KB179" s="159"/>
      <c r="KC179" s="159"/>
      <c r="KD179" s="159"/>
      <c r="KE179" s="159"/>
      <c r="KF179" s="159"/>
      <c r="KG179" s="159"/>
      <c r="KH179" s="159"/>
      <c r="KI179" s="159"/>
      <c r="KJ179" s="159"/>
      <c r="KK179" s="159"/>
      <c r="KL179" s="159"/>
      <c r="KM179" s="159"/>
      <c r="KN179" s="159"/>
      <c r="KO179" s="159"/>
      <c r="KP179" s="159"/>
      <c r="KQ179" s="159"/>
      <c r="KR179" s="159"/>
      <c r="KS179" s="159"/>
      <c r="KT179" s="159"/>
      <c r="KU179" s="159"/>
      <c r="KV179" s="159"/>
      <c r="KW179" s="159"/>
      <c r="KX179" s="159"/>
      <c r="KY179" s="159"/>
      <c r="KZ179" s="159"/>
      <c r="LA179" s="159"/>
      <c r="LB179" s="159"/>
      <c r="LC179" s="159"/>
      <c r="LD179" s="159"/>
      <c r="LE179" s="159"/>
      <c r="LF179" s="159"/>
      <c r="LG179" s="159"/>
      <c r="LH179" s="159"/>
      <c r="LI179" s="159"/>
      <c r="LJ179" s="159"/>
      <c r="LK179" s="159"/>
      <c r="LL179" s="159"/>
      <c r="LM179" s="159"/>
      <c r="LN179" s="159"/>
      <c r="LO179" s="159"/>
      <c r="LP179" s="159"/>
      <c r="LQ179" s="159"/>
      <c r="LR179" s="159"/>
      <c r="LS179" s="159"/>
      <c r="LT179" s="159"/>
      <c r="LU179" s="159"/>
      <c r="LV179" s="159"/>
      <c r="LW179" s="159"/>
      <c r="LX179" s="159"/>
      <c r="LY179" s="159"/>
      <c r="LZ179" s="159"/>
      <c r="MA179" s="159"/>
      <c r="MB179" s="159"/>
      <c r="MC179" s="159"/>
      <c r="MD179" s="159"/>
      <c r="ME179" s="159"/>
      <c r="MF179" s="159"/>
      <c r="MG179" s="159"/>
      <c r="MH179" s="159"/>
      <c r="MI179" s="159"/>
      <c r="MJ179" s="159"/>
      <c r="MK179" s="159"/>
      <c r="ML179" s="159"/>
      <c r="MM179" s="159"/>
      <c r="MN179" s="159"/>
      <c r="MO179" s="159"/>
      <c r="MP179" s="159"/>
      <c r="MQ179" s="159"/>
      <c r="MR179" s="159"/>
      <c r="MS179" s="159"/>
      <c r="MT179" s="159"/>
      <c r="MU179" s="159"/>
      <c r="MV179" s="159"/>
      <c r="MW179" s="159"/>
      <c r="MX179" s="159"/>
      <c r="MY179" s="159"/>
      <c r="MZ179" s="159"/>
      <c r="NA179" s="159"/>
      <c r="NB179" s="159"/>
      <c r="NC179" s="159"/>
      <c r="ND179" s="159"/>
      <c r="NE179" s="159"/>
      <c r="NF179" s="159"/>
      <c r="NG179" s="159"/>
      <c r="NH179" s="159"/>
      <c r="NI179" s="159"/>
      <c r="NJ179" s="159"/>
      <c r="NK179" s="159"/>
      <c r="NL179" s="159"/>
      <c r="NM179" s="159"/>
      <c r="NN179" s="159"/>
      <c r="NO179" s="159"/>
      <c r="NP179" s="159"/>
      <c r="NQ179" s="159"/>
      <c r="NR179" s="159"/>
      <c r="NS179" s="159"/>
      <c r="NT179" s="159"/>
      <c r="NU179" s="159"/>
      <c r="NV179" s="159"/>
      <c r="NW179" s="159"/>
      <c r="NX179" s="159"/>
      <c r="NY179" s="159"/>
      <c r="NZ179" s="159"/>
      <c r="OA179" s="159"/>
      <c r="OB179" s="159"/>
      <c r="OC179" s="159"/>
      <c r="OD179" s="159"/>
      <c r="OE179" s="159"/>
      <c r="OF179" s="159"/>
      <c r="OG179" s="159"/>
      <c r="OH179" s="159"/>
      <c r="OI179" s="159"/>
      <c r="OJ179" s="159"/>
      <c r="OK179" s="159"/>
      <c r="OL179" s="159"/>
      <c r="OM179" s="159"/>
      <c r="ON179" s="159"/>
      <c r="OO179" s="159"/>
      <c r="OP179" s="159"/>
      <c r="OQ179" s="159"/>
      <c r="OR179" s="159"/>
      <c r="OS179" s="159"/>
      <c r="OT179" s="159"/>
      <c r="OU179" s="159"/>
      <c r="OV179" s="159"/>
      <c r="OW179" s="159"/>
      <c r="OX179" s="159"/>
      <c r="OY179" s="159"/>
      <c r="OZ179" s="159"/>
      <c r="PA179" s="159"/>
      <c r="PB179" s="159"/>
      <c r="PC179" s="159"/>
      <c r="PD179" s="159"/>
      <c r="PE179" s="159"/>
      <c r="PF179" s="159"/>
      <c r="PG179" s="159"/>
      <c r="PH179" s="159"/>
      <c r="PI179" s="159"/>
      <c r="PJ179" s="159"/>
      <c r="PK179" s="159"/>
      <c r="PL179" s="159"/>
      <c r="PM179" s="159"/>
      <c r="PN179" s="159"/>
      <c r="PO179" s="159"/>
      <c r="PP179" s="159"/>
      <c r="PQ179" s="159"/>
      <c r="PR179" s="159"/>
      <c r="PS179" s="159"/>
      <c r="PT179" s="159"/>
      <c r="PU179" s="159"/>
      <c r="PV179" s="159"/>
      <c r="PW179" s="159"/>
      <c r="PX179" s="159"/>
      <c r="PY179" s="159"/>
      <c r="PZ179" s="159"/>
      <c r="QA179" s="159"/>
      <c r="QB179" s="159"/>
      <c r="QC179" s="159"/>
      <c r="QD179" s="159"/>
      <c r="QE179" s="159"/>
      <c r="QF179" s="159"/>
      <c r="QG179" s="159"/>
      <c r="QH179" s="159"/>
      <c r="QI179" s="159"/>
      <c r="QJ179" s="159"/>
      <c r="QK179" s="159"/>
      <c r="QL179" s="159"/>
      <c r="QM179" s="159"/>
      <c r="QN179" s="159"/>
      <c r="QO179" s="159"/>
      <c r="QP179" s="159"/>
      <c r="QQ179" s="159"/>
      <c r="QR179" s="159"/>
      <c r="QS179" s="159"/>
      <c r="QT179" s="159"/>
      <c r="QU179" s="159"/>
      <c r="QV179" s="159"/>
      <c r="QW179" s="159"/>
      <c r="QX179" s="159"/>
      <c r="QY179" s="159"/>
      <c r="QZ179" s="159"/>
      <c r="RA179" s="159"/>
      <c r="RB179" s="159"/>
      <c r="RC179" s="159"/>
      <c r="RD179" s="159"/>
      <c r="RE179" s="159"/>
      <c r="RF179" s="159"/>
      <c r="RG179" s="159"/>
      <c r="RH179" s="159"/>
      <c r="RI179" s="159"/>
      <c r="RJ179" s="159"/>
      <c r="RK179" s="159"/>
      <c r="RL179" s="159"/>
      <c r="RM179" s="159"/>
      <c r="RN179" s="159"/>
      <c r="RO179" s="159"/>
      <c r="RP179" s="159"/>
      <c r="RQ179" s="159"/>
      <c r="RR179" s="159"/>
      <c r="RS179" s="159"/>
      <c r="RT179" s="159"/>
      <c r="RU179" s="159"/>
      <c r="RV179" s="159"/>
      <c r="RW179" s="159"/>
      <c r="RX179" s="159"/>
      <c r="RY179" s="159"/>
      <c r="RZ179" s="159"/>
      <c r="SA179" s="159"/>
      <c r="SB179" s="159"/>
      <c r="SC179" s="159"/>
      <c r="SD179" s="159"/>
      <c r="SE179" s="159"/>
      <c r="SF179" s="159"/>
      <c r="SG179" s="159"/>
      <c r="SH179" s="159"/>
      <c r="SI179" s="159"/>
      <c r="SJ179" s="159"/>
      <c r="SK179" s="159"/>
      <c r="SL179" s="159"/>
      <c r="SM179" s="159"/>
      <c r="SN179" s="159"/>
      <c r="SO179" s="159"/>
      <c r="SP179" s="159"/>
      <c r="SQ179" s="159"/>
      <c r="SR179" s="159"/>
      <c r="SS179" s="159"/>
      <c r="ST179" s="159"/>
      <c r="SU179" s="159"/>
      <c r="SV179" s="159"/>
      <c r="SW179" s="159"/>
      <c r="SX179" s="159"/>
      <c r="SY179" s="159"/>
      <c r="SZ179" s="159"/>
      <c r="TA179" s="159"/>
      <c r="TB179" s="159"/>
      <c r="TC179" s="159"/>
      <c r="TD179" s="159"/>
      <c r="TE179" s="159"/>
      <c r="TF179" s="159"/>
      <c r="TG179" s="159"/>
      <c r="TH179" s="159"/>
      <c r="TI179" s="159"/>
      <c r="TJ179" s="159"/>
      <c r="TK179" s="159"/>
      <c r="TL179" s="159"/>
      <c r="TM179" s="159"/>
      <c r="TN179" s="159"/>
      <c r="TO179" s="159"/>
      <c r="TP179" s="159"/>
      <c r="TQ179" s="159"/>
      <c r="TR179" s="159"/>
      <c r="TS179" s="159"/>
      <c r="TT179" s="159"/>
      <c r="TU179" s="159"/>
      <c r="TV179" s="159"/>
      <c r="TW179" s="159"/>
      <c r="TX179" s="159"/>
      <c r="TY179" s="159"/>
      <c r="TZ179" s="159"/>
      <c r="UA179" s="159"/>
      <c r="UB179" s="159"/>
      <c r="UC179" s="159"/>
      <c r="UD179" s="159"/>
      <c r="UE179" s="159"/>
      <c r="UF179" s="159"/>
      <c r="UG179" s="159"/>
      <c r="UH179" s="159"/>
      <c r="UI179" s="159"/>
      <c r="UJ179" s="159"/>
      <c r="UK179" s="159"/>
      <c r="UL179" s="159"/>
      <c r="UM179" s="159"/>
      <c r="UN179" s="159"/>
      <c r="UO179" s="159"/>
      <c r="UP179" s="159"/>
      <c r="UQ179" s="159"/>
      <c r="UR179" s="159"/>
      <c r="US179" s="159"/>
      <c r="UT179" s="159"/>
      <c r="UU179" s="159"/>
      <c r="UV179" s="159"/>
      <c r="UW179" s="159"/>
      <c r="UX179" s="159"/>
      <c r="UY179" s="159"/>
      <c r="UZ179" s="159"/>
      <c r="VA179" s="159"/>
      <c r="VB179" s="159"/>
      <c r="VC179" s="159"/>
      <c r="VD179" s="159"/>
      <c r="VE179" s="159"/>
      <c r="VF179" s="159"/>
      <c r="VG179" s="159"/>
      <c r="VH179" s="159"/>
      <c r="VI179" s="159"/>
      <c r="VJ179" s="159"/>
      <c r="VK179" s="159"/>
      <c r="VL179" s="159"/>
      <c r="VM179" s="159"/>
      <c r="VN179" s="159"/>
      <c r="VO179" s="159"/>
      <c r="VP179" s="159"/>
      <c r="VQ179" s="159"/>
      <c r="VR179" s="159"/>
      <c r="VS179" s="159"/>
      <c r="VT179" s="159"/>
      <c r="VU179" s="159"/>
      <c r="VV179" s="159"/>
      <c r="VW179" s="159"/>
      <c r="VX179" s="159"/>
      <c r="VY179" s="159"/>
      <c r="VZ179" s="159"/>
      <c r="WA179" s="159"/>
      <c r="WB179" s="159"/>
      <c r="WC179" s="159"/>
      <c r="WD179" s="159"/>
      <c r="WE179" s="159"/>
      <c r="WF179" s="159"/>
      <c r="WG179" s="159"/>
      <c r="WH179" s="159"/>
      <c r="WI179" s="159"/>
      <c r="WJ179" s="159"/>
      <c r="WK179" s="159"/>
      <c r="WL179" s="159"/>
      <c r="WM179" s="159"/>
      <c r="WN179" s="159"/>
      <c r="WO179" s="159"/>
      <c r="WP179" s="159"/>
      <c r="WQ179" s="159"/>
      <c r="WR179" s="159"/>
      <c r="WS179" s="159"/>
      <c r="WT179" s="159"/>
      <c r="WU179" s="159"/>
      <c r="WV179" s="159"/>
      <c r="WW179" s="159"/>
      <c r="WX179" s="159"/>
      <c r="WY179" s="159"/>
      <c r="WZ179" s="159"/>
      <c r="XA179" s="159"/>
      <c r="XB179" s="159"/>
      <c r="XC179" s="159"/>
      <c r="XD179" s="159"/>
      <c r="XE179" s="159"/>
      <c r="XF179" s="159"/>
      <c r="XG179" s="159"/>
      <c r="XH179" s="159"/>
      <c r="XI179" s="159"/>
      <c r="XJ179" s="159"/>
      <c r="XK179" s="159"/>
      <c r="XL179" s="159"/>
      <c r="XM179" s="159"/>
      <c r="XN179" s="159"/>
      <c r="XO179" s="159"/>
      <c r="XP179" s="159"/>
      <c r="XQ179" s="159"/>
      <c r="XR179" s="159"/>
      <c r="XS179" s="159"/>
      <c r="XT179" s="159"/>
      <c r="XU179" s="159"/>
      <c r="XV179" s="159"/>
      <c r="XW179" s="159"/>
      <c r="XX179" s="159"/>
      <c r="XY179" s="159"/>
      <c r="XZ179" s="159"/>
      <c r="YA179" s="159"/>
      <c r="YB179" s="159"/>
      <c r="YC179" s="159"/>
      <c r="YD179" s="159"/>
      <c r="YE179" s="159"/>
      <c r="YF179" s="159"/>
      <c r="YG179" s="159"/>
      <c r="YH179" s="159"/>
      <c r="YI179" s="159"/>
      <c r="YJ179" s="159"/>
      <c r="YK179" s="159"/>
      <c r="YL179" s="159"/>
      <c r="YM179" s="159"/>
      <c r="YN179" s="159"/>
      <c r="YO179" s="159"/>
      <c r="YP179" s="159"/>
      <c r="YQ179" s="159"/>
      <c r="YR179" s="159"/>
      <c r="YS179" s="159"/>
      <c r="YT179" s="159"/>
      <c r="YU179" s="159"/>
      <c r="YV179" s="159"/>
      <c r="YW179" s="159"/>
      <c r="YX179" s="159"/>
      <c r="YY179" s="159"/>
      <c r="YZ179" s="159"/>
      <c r="ZA179" s="159"/>
      <c r="ZB179" s="159"/>
      <c r="ZC179" s="159"/>
      <c r="ZD179" s="159"/>
      <c r="ZE179" s="159"/>
      <c r="ZF179" s="159"/>
      <c r="ZG179" s="159"/>
      <c r="ZH179" s="159"/>
      <c r="ZI179" s="159"/>
      <c r="ZJ179" s="159"/>
      <c r="ZK179" s="159"/>
      <c r="ZL179" s="159"/>
      <c r="ZM179" s="159"/>
      <c r="ZN179" s="159"/>
      <c r="ZO179" s="159"/>
      <c r="ZP179" s="159"/>
      <c r="ZQ179" s="159"/>
      <c r="ZR179" s="159"/>
      <c r="ZS179" s="159"/>
      <c r="ZT179" s="159"/>
      <c r="ZU179" s="159"/>
      <c r="ZV179" s="159"/>
      <c r="ZW179" s="159"/>
      <c r="ZX179" s="159"/>
      <c r="ZY179" s="159"/>
      <c r="ZZ179" s="159"/>
      <c r="AAA179" s="159"/>
      <c r="AAB179" s="159"/>
      <c r="AAC179" s="159"/>
      <c r="AAD179" s="159"/>
      <c r="AAE179" s="159"/>
      <c r="AAF179" s="159"/>
      <c r="AAG179" s="159"/>
      <c r="AAH179" s="159"/>
      <c r="AAI179" s="159"/>
      <c r="AAJ179" s="159"/>
      <c r="AAK179" s="159"/>
      <c r="AAL179" s="159"/>
      <c r="AAM179" s="159"/>
      <c r="AAN179" s="159"/>
      <c r="AAO179" s="159"/>
      <c r="AAP179" s="159"/>
      <c r="AAQ179" s="159"/>
      <c r="AAR179" s="159"/>
      <c r="AAS179" s="159"/>
      <c r="AAT179" s="159"/>
      <c r="AAU179" s="159"/>
      <c r="AAV179" s="159"/>
      <c r="AAW179" s="159"/>
      <c r="AAX179" s="159"/>
      <c r="AAY179" s="159"/>
      <c r="AAZ179" s="159"/>
      <c r="ABA179" s="159"/>
      <c r="ABB179" s="159"/>
      <c r="ABC179" s="159"/>
      <c r="ABD179" s="159"/>
      <c r="ABE179" s="159"/>
      <c r="ABF179" s="159"/>
      <c r="ABG179" s="159"/>
      <c r="ABH179" s="159"/>
      <c r="ABI179" s="159"/>
      <c r="ABJ179" s="159"/>
      <c r="ABK179" s="159"/>
      <c r="ABL179" s="159"/>
      <c r="ABM179" s="159"/>
      <c r="ABN179" s="159"/>
      <c r="ABO179" s="159"/>
      <c r="ABP179" s="159"/>
      <c r="ABQ179" s="159"/>
      <c r="ABR179" s="159"/>
      <c r="ABS179" s="159"/>
      <c r="ABT179" s="159"/>
      <c r="ABU179" s="159"/>
      <c r="ABV179" s="159"/>
      <c r="ABW179" s="159"/>
      <c r="ABX179" s="159"/>
      <c r="ABY179" s="159"/>
      <c r="ABZ179" s="159"/>
      <c r="ACA179" s="159"/>
      <c r="ACB179" s="159"/>
      <c r="ACC179" s="159"/>
      <c r="ACD179" s="159"/>
      <c r="ACE179" s="159"/>
      <c r="ACF179" s="159"/>
      <c r="ACG179" s="159"/>
      <c r="ACH179" s="159"/>
      <c r="ACI179" s="159"/>
      <c r="ACJ179" s="159"/>
      <c r="ACK179" s="159"/>
      <c r="ACL179" s="159"/>
      <c r="ACM179" s="159"/>
      <c r="ACN179" s="159"/>
      <c r="ACO179" s="159"/>
      <c r="ACP179" s="159"/>
      <c r="ACQ179" s="159"/>
      <c r="ACR179" s="159"/>
      <c r="ACS179" s="159"/>
      <c r="ACT179" s="159"/>
      <c r="ACU179" s="159"/>
      <c r="ACV179" s="159"/>
      <c r="ACW179" s="159"/>
      <c r="ACX179" s="159"/>
      <c r="ACY179" s="159"/>
      <c r="ACZ179" s="159"/>
      <c r="ADA179" s="159"/>
      <c r="ADB179" s="159"/>
      <c r="ADC179" s="159"/>
      <c r="ADD179" s="159"/>
      <c r="ADE179" s="159"/>
      <c r="ADF179" s="159"/>
      <c r="ADG179" s="159"/>
      <c r="ADH179" s="159"/>
      <c r="ADI179" s="159"/>
      <c r="ADJ179" s="159"/>
      <c r="ADK179" s="159"/>
      <c r="ADL179" s="159"/>
      <c r="ADM179" s="159"/>
      <c r="ADN179" s="159"/>
      <c r="ADO179" s="159"/>
      <c r="ADP179" s="159"/>
      <c r="ADQ179" s="159"/>
      <c r="ADR179" s="159"/>
      <c r="ADS179" s="159"/>
      <c r="ADT179" s="159"/>
      <c r="ADU179" s="159"/>
      <c r="ADV179" s="159"/>
      <c r="ADW179" s="159"/>
      <c r="ADX179" s="159"/>
      <c r="ADY179" s="159"/>
      <c r="ADZ179" s="159"/>
      <c r="AEA179" s="159"/>
      <c r="AEB179" s="159"/>
      <c r="AEC179" s="159"/>
      <c r="AED179" s="159"/>
      <c r="AEE179" s="159"/>
      <c r="AEF179" s="159"/>
      <c r="AEG179" s="159"/>
      <c r="AEH179" s="159"/>
      <c r="AEI179" s="159"/>
      <c r="AEJ179" s="159"/>
      <c r="AEK179" s="159"/>
      <c r="AEL179" s="159"/>
      <c r="AEM179" s="159"/>
      <c r="AEN179" s="159"/>
      <c r="AEO179" s="159"/>
      <c r="AEP179" s="159"/>
      <c r="AEQ179" s="159"/>
      <c r="AER179" s="159"/>
      <c r="AES179" s="159"/>
      <c r="AET179" s="159"/>
      <c r="AEU179" s="159"/>
      <c r="AEV179" s="159"/>
      <c r="AEW179" s="159"/>
      <c r="AEX179" s="159"/>
      <c r="AEY179" s="159"/>
      <c r="AEZ179" s="159"/>
      <c r="AFA179" s="159"/>
      <c r="AFB179" s="159"/>
      <c r="AFC179" s="159"/>
      <c r="AFD179" s="159"/>
      <c r="AFE179" s="159"/>
      <c r="AFF179" s="159"/>
      <c r="AFG179" s="159"/>
      <c r="AFH179" s="159"/>
      <c r="AFI179" s="159"/>
      <c r="AFJ179" s="159"/>
      <c r="AFK179" s="159"/>
      <c r="AFL179" s="159"/>
      <c r="AFM179" s="159"/>
      <c r="AFN179" s="159"/>
      <c r="AFO179" s="159"/>
      <c r="AFP179" s="159"/>
      <c r="AFQ179" s="159"/>
      <c r="AFR179" s="159"/>
      <c r="AFS179" s="159"/>
      <c r="AFT179" s="159"/>
      <c r="AFU179" s="159"/>
      <c r="AFV179" s="159"/>
      <c r="AFW179" s="159"/>
      <c r="AFX179" s="159"/>
      <c r="AFY179" s="159"/>
      <c r="AFZ179" s="159"/>
      <c r="AGA179" s="159"/>
      <c r="AGB179" s="159"/>
      <c r="AGC179" s="159"/>
      <c r="AGD179" s="159"/>
      <c r="AGE179" s="159"/>
      <c r="AGF179" s="159"/>
      <c r="AGG179" s="159"/>
      <c r="AGH179" s="159"/>
      <c r="AGI179" s="159"/>
      <c r="AGJ179" s="159"/>
      <c r="AGK179" s="159"/>
      <c r="AGL179" s="159"/>
      <c r="AGM179" s="159"/>
      <c r="AGN179" s="159"/>
      <c r="AGO179" s="159"/>
      <c r="AGP179" s="159"/>
      <c r="AGQ179" s="159"/>
      <c r="AGR179" s="159"/>
      <c r="AGS179" s="159"/>
      <c r="AGT179" s="159"/>
      <c r="AGU179" s="159"/>
      <c r="AGV179" s="159"/>
      <c r="AGW179" s="159"/>
      <c r="AGX179" s="159"/>
      <c r="AGY179" s="159"/>
      <c r="AGZ179" s="159"/>
      <c r="AHA179" s="159"/>
      <c r="AHB179" s="159"/>
      <c r="AHC179" s="159"/>
      <c r="AHD179" s="159"/>
      <c r="AHE179" s="159"/>
      <c r="AHF179" s="159"/>
      <c r="AHG179" s="159"/>
      <c r="AHH179" s="159"/>
      <c r="AHI179" s="159"/>
      <c r="AHJ179" s="159"/>
      <c r="AHK179" s="159"/>
      <c r="AHL179" s="159"/>
      <c r="AHM179" s="159"/>
      <c r="AHN179" s="159"/>
      <c r="AHO179" s="159"/>
      <c r="AHP179" s="159"/>
      <c r="AHQ179" s="159"/>
      <c r="AHR179" s="159"/>
      <c r="AHS179" s="159"/>
      <c r="AHT179" s="159"/>
      <c r="AHU179" s="159"/>
      <c r="AHV179" s="159"/>
      <c r="AHW179" s="159"/>
      <c r="AHX179" s="159"/>
      <c r="AHY179" s="159"/>
      <c r="AHZ179" s="159"/>
      <c r="AIA179" s="159"/>
      <c r="AIB179" s="159"/>
      <c r="AIC179" s="159"/>
      <c r="AID179" s="159"/>
      <c r="AIE179" s="159"/>
      <c r="AIF179" s="159"/>
      <c r="AIG179" s="159"/>
      <c r="AIH179" s="159"/>
      <c r="AII179" s="159"/>
      <c r="AIJ179" s="159"/>
      <c r="AIK179" s="159"/>
      <c r="AIL179" s="159"/>
      <c r="AIM179" s="159"/>
      <c r="AIN179" s="159"/>
      <c r="AIO179" s="159"/>
      <c r="AIP179" s="159"/>
      <c r="AIQ179" s="159"/>
      <c r="AIR179" s="159"/>
      <c r="AIS179" s="159"/>
      <c r="AIT179" s="159"/>
      <c r="AIU179" s="159"/>
      <c r="AIV179" s="159"/>
      <c r="AIW179" s="159"/>
      <c r="AIX179" s="159"/>
      <c r="AIY179" s="159"/>
      <c r="AIZ179" s="159"/>
      <c r="AJA179" s="159"/>
      <c r="AJB179" s="159"/>
      <c r="AJC179" s="159"/>
      <c r="AJD179" s="159"/>
      <c r="AJE179" s="159"/>
      <c r="AJF179" s="159"/>
      <c r="AJG179" s="159"/>
      <c r="AJH179" s="159"/>
      <c r="AJI179" s="159"/>
      <c r="AJJ179" s="159"/>
      <c r="AJK179" s="159"/>
      <c r="AJL179" s="159"/>
      <c r="AJM179" s="159"/>
      <c r="AJN179" s="159"/>
      <c r="AJO179" s="159"/>
      <c r="AJP179" s="159"/>
      <c r="AJQ179" s="159"/>
      <c r="AJR179" s="159"/>
      <c r="AJS179" s="159"/>
      <c r="AJT179" s="159"/>
      <c r="AJU179" s="159"/>
      <c r="AJV179" s="159"/>
      <c r="AJW179" s="159"/>
      <c r="AJX179" s="159"/>
      <c r="AJY179" s="159"/>
      <c r="AJZ179" s="159"/>
      <c r="AKA179" s="159"/>
      <c r="AKB179" s="159"/>
      <c r="AKC179" s="159"/>
      <c r="AKD179" s="159"/>
      <c r="AKE179" s="159"/>
      <c r="AKF179" s="159"/>
      <c r="AKG179" s="159"/>
      <c r="AKH179" s="159"/>
      <c r="AKI179" s="159"/>
      <c r="AKJ179" s="159"/>
      <c r="AKK179" s="159"/>
      <c r="AKL179" s="159"/>
      <c r="AKM179" s="159"/>
      <c r="AKN179" s="159"/>
      <c r="AKO179" s="159"/>
      <c r="AKP179" s="159"/>
      <c r="AKQ179" s="159"/>
      <c r="AKR179" s="159"/>
      <c r="AKS179" s="159"/>
      <c r="AKT179" s="159"/>
      <c r="AKU179" s="159"/>
      <c r="AKV179" s="159"/>
      <c r="AKW179" s="159"/>
      <c r="AKX179" s="159"/>
      <c r="AKY179" s="159"/>
      <c r="AKZ179" s="159"/>
      <c r="ALA179" s="159"/>
      <c r="ALB179" s="159"/>
      <c r="ALC179" s="159"/>
      <c r="ALD179" s="159"/>
      <c r="ALE179" s="159"/>
      <c r="ALF179" s="159"/>
      <c r="ALG179" s="159"/>
      <c r="ALH179" s="159"/>
      <c r="ALI179" s="159"/>
      <c r="ALJ179" s="159"/>
      <c r="ALK179" s="159"/>
      <c r="ALL179" s="159"/>
      <c r="ALM179" s="159"/>
      <c r="ALN179" s="159"/>
      <c r="ALO179" s="159"/>
      <c r="ALP179" s="159"/>
      <c r="ALQ179" s="159"/>
      <c r="ALR179" s="159"/>
      <c r="ALS179" s="159"/>
      <c r="ALT179" s="159"/>
      <c r="ALU179" s="159"/>
      <c r="ALV179" s="159"/>
      <c r="ALW179" s="159"/>
      <c r="ALX179" s="159"/>
      <c r="ALY179" s="159"/>
      <c r="ALZ179" s="159"/>
      <c r="AMA179" s="159"/>
      <c r="AMB179" s="159"/>
      <c r="AMC179" s="159"/>
      <c r="AMD179" s="159"/>
      <c r="AME179" s="159"/>
      <c r="AMF179" s="159"/>
      <c r="AMG179" s="159"/>
      <c r="AMH179" s="159"/>
      <c r="AMI179" s="159"/>
      <c r="AMJ179" s="159"/>
      <c r="AMK179" s="159"/>
      <c r="AML179" s="159"/>
      <c r="AMM179" s="159"/>
      <c r="AMN179" s="159"/>
      <c r="AMO179" s="159"/>
    </row>
    <row r="180" spans="1:1029" s="161" customFormat="1" ht="25.5" x14ac:dyDescent="0.25">
      <c r="A180" s="138">
        <v>46273</v>
      </c>
      <c r="B180" s="99" t="s">
        <v>8</v>
      </c>
      <c r="C180" s="99" t="s">
        <v>82</v>
      </c>
      <c r="D180" s="160" t="s">
        <v>13</v>
      </c>
      <c r="E180" s="118" t="s">
        <v>19</v>
      </c>
      <c r="F180" s="149" t="s">
        <v>130</v>
      </c>
      <c r="G180" s="149" t="s">
        <v>13</v>
      </c>
      <c r="H180" s="141">
        <f t="shared" si="12"/>
        <v>0.5</v>
      </c>
      <c r="I180" s="121" t="s">
        <v>8</v>
      </c>
      <c r="J180" s="121" t="s">
        <v>12</v>
      </c>
      <c r="K180" s="121" t="s">
        <v>168</v>
      </c>
      <c r="L180" s="141">
        <f t="shared" si="13"/>
        <v>1</v>
      </c>
      <c r="M180" s="121" t="s">
        <v>42</v>
      </c>
      <c r="N180" s="121" t="s">
        <v>287</v>
      </c>
      <c r="O180" s="121" t="s">
        <v>168</v>
      </c>
      <c r="P180" s="141" t="b">
        <f t="shared" si="14"/>
        <v>0</v>
      </c>
      <c r="Q180" s="149" t="s">
        <v>8</v>
      </c>
      <c r="R180" s="99" t="s">
        <v>82</v>
      </c>
      <c r="S180" s="99" t="s">
        <v>13</v>
      </c>
      <c r="T180" s="141">
        <f t="shared" si="15"/>
        <v>3</v>
      </c>
      <c r="U180" s="159"/>
      <c r="V180" s="159"/>
      <c r="W180" s="159"/>
      <c r="X180" s="159"/>
      <c r="Y180" s="159"/>
      <c r="Z180" s="159"/>
      <c r="AA180" s="159"/>
      <c r="AB180" s="159"/>
      <c r="AC180" s="159"/>
      <c r="AD180" s="159"/>
      <c r="AE180" s="159"/>
      <c r="AF180" s="159"/>
      <c r="AG180" s="159"/>
      <c r="AH180" s="159"/>
      <c r="AI180" s="159"/>
      <c r="AJ180" s="159"/>
      <c r="AK180" s="159"/>
      <c r="AL180" s="159"/>
      <c r="AM180" s="159"/>
      <c r="AN180" s="159"/>
      <c r="AO180" s="159"/>
      <c r="AP180" s="159"/>
      <c r="AQ180" s="159"/>
      <c r="AR180" s="159"/>
      <c r="AS180" s="159"/>
      <c r="AT180" s="159"/>
      <c r="AU180" s="159"/>
      <c r="AV180" s="159"/>
      <c r="AW180" s="159"/>
      <c r="AX180" s="159"/>
      <c r="AY180" s="159"/>
      <c r="AZ180" s="159"/>
      <c r="BA180" s="159"/>
      <c r="BB180" s="159"/>
      <c r="BC180" s="159"/>
      <c r="BD180" s="159"/>
      <c r="BE180" s="159"/>
      <c r="BF180" s="159"/>
      <c r="BG180" s="159"/>
      <c r="BH180" s="159"/>
      <c r="BI180" s="159"/>
      <c r="BJ180" s="159"/>
      <c r="BK180" s="159"/>
      <c r="BL180" s="159"/>
      <c r="BM180" s="159"/>
      <c r="BN180" s="159"/>
      <c r="BO180" s="159"/>
      <c r="BP180" s="159"/>
      <c r="BQ180" s="159"/>
      <c r="BR180" s="159"/>
      <c r="BS180" s="159"/>
      <c r="BT180" s="159"/>
      <c r="BU180" s="159"/>
      <c r="BV180" s="159"/>
      <c r="BW180" s="159"/>
      <c r="BX180" s="159"/>
      <c r="BY180" s="159"/>
      <c r="BZ180" s="159"/>
      <c r="CA180" s="159"/>
      <c r="CB180" s="159"/>
      <c r="CC180" s="159"/>
      <c r="CD180" s="159"/>
      <c r="CE180" s="159"/>
      <c r="CF180" s="159"/>
      <c r="CG180" s="159"/>
      <c r="CH180" s="159"/>
      <c r="CI180" s="159"/>
      <c r="CJ180" s="159"/>
      <c r="CK180" s="159"/>
      <c r="CL180" s="159"/>
      <c r="CM180" s="159"/>
      <c r="CN180" s="159"/>
      <c r="CO180" s="159"/>
      <c r="CP180" s="159"/>
      <c r="CQ180" s="159"/>
      <c r="CR180" s="159"/>
      <c r="CS180" s="159"/>
      <c r="CT180" s="159"/>
      <c r="CU180" s="159"/>
      <c r="CV180" s="159"/>
      <c r="CW180" s="159"/>
      <c r="CX180" s="159"/>
      <c r="CY180" s="159"/>
      <c r="CZ180" s="159"/>
      <c r="DA180" s="159"/>
      <c r="DB180" s="159"/>
      <c r="DC180" s="159"/>
      <c r="DD180" s="159"/>
      <c r="DE180" s="159"/>
      <c r="DF180" s="159"/>
      <c r="DG180" s="159"/>
      <c r="DH180" s="159"/>
      <c r="DI180" s="159"/>
      <c r="DJ180" s="159"/>
      <c r="DK180" s="159"/>
      <c r="DL180" s="159"/>
      <c r="DM180" s="159"/>
      <c r="DN180" s="159"/>
      <c r="DO180" s="159"/>
      <c r="DP180" s="159"/>
      <c r="DQ180" s="159"/>
      <c r="DR180" s="159"/>
      <c r="DS180" s="159"/>
      <c r="DT180" s="159"/>
      <c r="DU180" s="159"/>
      <c r="DV180" s="159"/>
      <c r="DW180" s="159"/>
      <c r="DX180" s="159"/>
      <c r="DY180" s="159"/>
      <c r="DZ180" s="159"/>
      <c r="EA180" s="159"/>
      <c r="EB180" s="159"/>
      <c r="EC180" s="159"/>
      <c r="ED180" s="159"/>
      <c r="EE180" s="159"/>
      <c r="EF180" s="159"/>
      <c r="EG180" s="159"/>
      <c r="EH180" s="159"/>
      <c r="EI180" s="159"/>
      <c r="EJ180" s="159"/>
      <c r="EK180" s="159"/>
      <c r="EL180" s="159"/>
      <c r="EM180" s="159"/>
      <c r="EN180" s="159"/>
      <c r="EO180" s="159"/>
      <c r="EP180" s="159"/>
      <c r="EQ180" s="159"/>
      <c r="ER180" s="159"/>
      <c r="ES180" s="159"/>
      <c r="ET180" s="159"/>
      <c r="EU180" s="159"/>
      <c r="EV180" s="159"/>
      <c r="EW180" s="159"/>
      <c r="EX180" s="159"/>
      <c r="EY180" s="159"/>
      <c r="EZ180" s="159"/>
      <c r="FA180" s="159"/>
      <c r="FB180" s="159"/>
      <c r="FC180" s="159"/>
      <c r="FD180" s="159"/>
      <c r="FE180" s="159"/>
      <c r="FF180" s="159"/>
      <c r="FG180" s="159"/>
      <c r="FH180" s="159"/>
      <c r="FI180" s="159"/>
      <c r="FJ180" s="159"/>
      <c r="FK180" s="159"/>
      <c r="FL180" s="159"/>
      <c r="FM180" s="159"/>
      <c r="FN180" s="159"/>
      <c r="FO180" s="159"/>
      <c r="FP180" s="159"/>
      <c r="FQ180" s="159"/>
      <c r="FR180" s="159"/>
      <c r="FS180" s="159"/>
      <c r="FT180" s="159"/>
      <c r="FU180" s="159"/>
      <c r="FV180" s="159"/>
      <c r="FW180" s="159"/>
      <c r="FX180" s="159"/>
      <c r="FY180" s="159"/>
      <c r="FZ180" s="159"/>
      <c r="GA180" s="159"/>
      <c r="GB180" s="159"/>
      <c r="GC180" s="159"/>
      <c r="GD180" s="159"/>
      <c r="GE180" s="159"/>
      <c r="GF180" s="159"/>
      <c r="GG180" s="159"/>
      <c r="GH180" s="159"/>
      <c r="GI180" s="159"/>
      <c r="GJ180" s="159"/>
      <c r="GK180" s="159"/>
      <c r="GL180" s="159"/>
      <c r="GM180" s="159"/>
      <c r="GN180" s="159"/>
      <c r="GO180" s="159"/>
      <c r="GP180" s="159"/>
      <c r="GQ180" s="159"/>
      <c r="GR180" s="159"/>
      <c r="GS180" s="159"/>
      <c r="GT180" s="159"/>
      <c r="GU180" s="159"/>
      <c r="GV180" s="159"/>
      <c r="GW180" s="159"/>
      <c r="GX180" s="159"/>
      <c r="GY180" s="159"/>
      <c r="GZ180" s="159"/>
      <c r="HA180" s="159"/>
      <c r="HB180" s="159"/>
      <c r="HC180" s="159"/>
      <c r="HD180" s="159"/>
      <c r="HE180" s="159"/>
      <c r="HF180" s="159"/>
      <c r="HG180" s="159"/>
      <c r="HH180" s="159"/>
      <c r="HI180" s="159"/>
      <c r="HJ180" s="159"/>
      <c r="HK180" s="159"/>
      <c r="HL180" s="159"/>
      <c r="HM180" s="159"/>
      <c r="HN180" s="159"/>
      <c r="HO180" s="159"/>
      <c r="HP180" s="159"/>
      <c r="HQ180" s="159"/>
      <c r="HR180" s="159"/>
      <c r="HS180" s="159"/>
      <c r="HT180" s="159"/>
      <c r="HU180" s="159"/>
      <c r="HV180" s="159"/>
      <c r="HW180" s="159"/>
      <c r="HX180" s="159"/>
      <c r="HY180" s="159"/>
      <c r="HZ180" s="159"/>
      <c r="IA180" s="159"/>
      <c r="IB180" s="159"/>
      <c r="IC180" s="159"/>
      <c r="ID180" s="159"/>
      <c r="IE180" s="159"/>
      <c r="IF180" s="159"/>
      <c r="IG180" s="159"/>
      <c r="IH180" s="159"/>
      <c r="II180" s="159"/>
      <c r="IJ180" s="159"/>
      <c r="IK180" s="159"/>
      <c r="IL180" s="159"/>
      <c r="IM180" s="159"/>
      <c r="IN180" s="159"/>
      <c r="IO180" s="159"/>
      <c r="IP180" s="159"/>
      <c r="IQ180" s="159"/>
      <c r="IR180" s="159"/>
      <c r="IS180" s="159"/>
      <c r="IT180" s="159"/>
      <c r="IU180" s="159"/>
      <c r="IV180" s="159"/>
      <c r="IW180" s="159"/>
      <c r="IX180" s="159"/>
      <c r="IY180" s="159"/>
      <c r="IZ180" s="159"/>
      <c r="JA180" s="159"/>
      <c r="JB180" s="159"/>
      <c r="JC180" s="159"/>
      <c r="JD180" s="159"/>
      <c r="JE180" s="159"/>
      <c r="JF180" s="159"/>
      <c r="JG180" s="159"/>
      <c r="JH180" s="159"/>
      <c r="JI180" s="159"/>
      <c r="JJ180" s="159"/>
      <c r="JK180" s="159"/>
      <c r="JL180" s="159"/>
      <c r="JM180" s="159"/>
      <c r="JN180" s="159"/>
      <c r="JO180" s="159"/>
      <c r="JP180" s="159"/>
      <c r="JQ180" s="159"/>
      <c r="JR180" s="159"/>
      <c r="JS180" s="159"/>
      <c r="JT180" s="159"/>
      <c r="JU180" s="159"/>
      <c r="JV180" s="159"/>
      <c r="JW180" s="159"/>
      <c r="JX180" s="159"/>
      <c r="JY180" s="159"/>
      <c r="JZ180" s="159"/>
      <c r="KA180" s="159"/>
      <c r="KB180" s="159"/>
      <c r="KC180" s="159"/>
      <c r="KD180" s="159"/>
      <c r="KE180" s="159"/>
      <c r="KF180" s="159"/>
      <c r="KG180" s="159"/>
      <c r="KH180" s="159"/>
      <c r="KI180" s="159"/>
      <c r="KJ180" s="159"/>
      <c r="KK180" s="159"/>
      <c r="KL180" s="159"/>
      <c r="KM180" s="159"/>
      <c r="KN180" s="159"/>
      <c r="KO180" s="159"/>
      <c r="KP180" s="159"/>
      <c r="KQ180" s="159"/>
      <c r="KR180" s="159"/>
      <c r="KS180" s="159"/>
      <c r="KT180" s="159"/>
      <c r="KU180" s="159"/>
      <c r="KV180" s="159"/>
      <c r="KW180" s="159"/>
      <c r="KX180" s="159"/>
      <c r="KY180" s="159"/>
      <c r="KZ180" s="159"/>
      <c r="LA180" s="159"/>
      <c r="LB180" s="159"/>
      <c r="LC180" s="159"/>
      <c r="LD180" s="159"/>
      <c r="LE180" s="159"/>
      <c r="LF180" s="159"/>
      <c r="LG180" s="159"/>
      <c r="LH180" s="159"/>
      <c r="LI180" s="159"/>
      <c r="LJ180" s="159"/>
      <c r="LK180" s="159"/>
      <c r="LL180" s="159"/>
      <c r="LM180" s="159"/>
      <c r="LN180" s="159"/>
      <c r="LO180" s="159"/>
      <c r="LP180" s="159"/>
      <c r="LQ180" s="159"/>
      <c r="LR180" s="159"/>
      <c r="LS180" s="159"/>
      <c r="LT180" s="159"/>
      <c r="LU180" s="159"/>
      <c r="LV180" s="159"/>
      <c r="LW180" s="159"/>
      <c r="LX180" s="159"/>
      <c r="LY180" s="159"/>
      <c r="LZ180" s="159"/>
      <c r="MA180" s="159"/>
      <c r="MB180" s="159"/>
      <c r="MC180" s="159"/>
      <c r="MD180" s="159"/>
      <c r="ME180" s="159"/>
      <c r="MF180" s="159"/>
      <c r="MG180" s="159"/>
      <c r="MH180" s="159"/>
      <c r="MI180" s="159"/>
      <c r="MJ180" s="159"/>
      <c r="MK180" s="159"/>
      <c r="ML180" s="159"/>
      <c r="MM180" s="159"/>
      <c r="MN180" s="159"/>
      <c r="MO180" s="159"/>
      <c r="MP180" s="159"/>
      <c r="MQ180" s="159"/>
      <c r="MR180" s="159"/>
      <c r="MS180" s="159"/>
      <c r="MT180" s="159"/>
      <c r="MU180" s="159"/>
      <c r="MV180" s="159"/>
      <c r="MW180" s="159"/>
      <c r="MX180" s="159"/>
      <c r="MY180" s="159"/>
      <c r="MZ180" s="159"/>
      <c r="NA180" s="159"/>
      <c r="NB180" s="159"/>
      <c r="NC180" s="159"/>
      <c r="ND180" s="159"/>
      <c r="NE180" s="159"/>
      <c r="NF180" s="159"/>
      <c r="NG180" s="159"/>
      <c r="NH180" s="159"/>
      <c r="NI180" s="159"/>
      <c r="NJ180" s="159"/>
      <c r="NK180" s="159"/>
      <c r="NL180" s="159"/>
      <c r="NM180" s="159"/>
      <c r="NN180" s="159"/>
      <c r="NO180" s="159"/>
      <c r="NP180" s="159"/>
      <c r="NQ180" s="159"/>
      <c r="NR180" s="159"/>
      <c r="NS180" s="159"/>
      <c r="NT180" s="159"/>
      <c r="NU180" s="159"/>
      <c r="NV180" s="159"/>
      <c r="NW180" s="159"/>
      <c r="NX180" s="159"/>
      <c r="NY180" s="159"/>
      <c r="NZ180" s="159"/>
      <c r="OA180" s="159"/>
      <c r="OB180" s="159"/>
      <c r="OC180" s="159"/>
      <c r="OD180" s="159"/>
      <c r="OE180" s="159"/>
      <c r="OF180" s="159"/>
      <c r="OG180" s="159"/>
      <c r="OH180" s="159"/>
      <c r="OI180" s="159"/>
      <c r="OJ180" s="159"/>
      <c r="OK180" s="159"/>
      <c r="OL180" s="159"/>
      <c r="OM180" s="159"/>
      <c r="ON180" s="159"/>
      <c r="OO180" s="159"/>
      <c r="OP180" s="159"/>
      <c r="OQ180" s="159"/>
      <c r="OR180" s="159"/>
      <c r="OS180" s="159"/>
      <c r="OT180" s="159"/>
      <c r="OU180" s="159"/>
      <c r="OV180" s="159"/>
      <c r="OW180" s="159"/>
      <c r="OX180" s="159"/>
      <c r="OY180" s="159"/>
      <c r="OZ180" s="159"/>
      <c r="PA180" s="159"/>
      <c r="PB180" s="159"/>
      <c r="PC180" s="159"/>
      <c r="PD180" s="159"/>
      <c r="PE180" s="159"/>
      <c r="PF180" s="159"/>
      <c r="PG180" s="159"/>
      <c r="PH180" s="159"/>
      <c r="PI180" s="159"/>
      <c r="PJ180" s="159"/>
      <c r="PK180" s="159"/>
      <c r="PL180" s="159"/>
      <c r="PM180" s="159"/>
      <c r="PN180" s="159"/>
      <c r="PO180" s="159"/>
      <c r="PP180" s="159"/>
      <c r="PQ180" s="159"/>
      <c r="PR180" s="159"/>
      <c r="PS180" s="159"/>
      <c r="PT180" s="159"/>
      <c r="PU180" s="159"/>
      <c r="PV180" s="159"/>
      <c r="PW180" s="159"/>
      <c r="PX180" s="159"/>
      <c r="PY180" s="159"/>
      <c r="PZ180" s="159"/>
      <c r="QA180" s="159"/>
      <c r="QB180" s="159"/>
      <c r="QC180" s="159"/>
      <c r="QD180" s="159"/>
      <c r="QE180" s="159"/>
      <c r="QF180" s="159"/>
      <c r="QG180" s="159"/>
      <c r="QH180" s="159"/>
      <c r="QI180" s="159"/>
      <c r="QJ180" s="159"/>
      <c r="QK180" s="159"/>
      <c r="QL180" s="159"/>
      <c r="QM180" s="159"/>
      <c r="QN180" s="159"/>
      <c r="QO180" s="159"/>
      <c r="QP180" s="159"/>
      <c r="QQ180" s="159"/>
      <c r="QR180" s="159"/>
      <c r="QS180" s="159"/>
      <c r="QT180" s="159"/>
      <c r="QU180" s="159"/>
      <c r="QV180" s="159"/>
      <c r="QW180" s="159"/>
      <c r="QX180" s="159"/>
      <c r="QY180" s="159"/>
      <c r="QZ180" s="159"/>
      <c r="RA180" s="159"/>
      <c r="RB180" s="159"/>
      <c r="RC180" s="159"/>
      <c r="RD180" s="159"/>
      <c r="RE180" s="159"/>
      <c r="RF180" s="159"/>
      <c r="RG180" s="159"/>
      <c r="RH180" s="159"/>
      <c r="RI180" s="159"/>
      <c r="RJ180" s="159"/>
      <c r="RK180" s="159"/>
      <c r="RL180" s="159"/>
      <c r="RM180" s="159"/>
      <c r="RN180" s="159"/>
      <c r="RO180" s="159"/>
      <c r="RP180" s="159"/>
      <c r="RQ180" s="159"/>
      <c r="RR180" s="159"/>
      <c r="RS180" s="159"/>
      <c r="RT180" s="159"/>
      <c r="RU180" s="159"/>
      <c r="RV180" s="159"/>
      <c r="RW180" s="159"/>
      <c r="RX180" s="159"/>
      <c r="RY180" s="159"/>
      <c r="RZ180" s="159"/>
      <c r="SA180" s="159"/>
      <c r="SB180" s="159"/>
      <c r="SC180" s="159"/>
      <c r="SD180" s="159"/>
      <c r="SE180" s="159"/>
      <c r="SF180" s="159"/>
      <c r="SG180" s="159"/>
      <c r="SH180" s="159"/>
      <c r="SI180" s="159"/>
      <c r="SJ180" s="159"/>
      <c r="SK180" s="159"/>
      <c r="SL180" s="159"/>
      <c r="SM180" s="159"/>
      <c r="SN180" s="159"/>
      <c r="SO180" s="159"/>
      <c r="SP180" s="159"/>
      <c r="SQ180" s="159"/>
      <c r="SR180" s="159"/>
      <c r="SS180" s="159"/>
      <c r="ST180" s="159"/>
      <c r="SU180" s="159"/>
      <c r="SV180" s="159"/>
      <c r="SW180" s="159"/>
      <c r="SX180" s="159"/>
      <c r="SY180" s="159"/>
      <c r="SZ180" s="159"/>
      <c r="TA180" s="159"/>
      <c r="TB180" s="159"/>
      <c r="TC180" s="159"/>
      <c r="TD180" s="159"/>
      <c r="TE180" s="159"/>
      <c r="TF180" s="159"/>
      <c r="TG180" s="159"/>
      <c r="TH180" s="159"/>
      <c r="TI180" s="159"/>
      <c r="TJ180" s="159"/>
      <c r="TK180" s="159"/>
      <c r="TL180" s="159"/>
      <c r="TM180" s="159"/>
      <c r="TN180" s="159"/>
      <c r="TO180" s="159"/>
      <c r="TP180" s="159"/>
      <c r="TQ180" s="159"/>
      <c r="TR180" s="159"/>
      <c r="TS180" s="159"/>
      <c r="TT180" s="159"/>
      <c r="TU180" s="159"/>
      <c r="TV180" s="159"/>
      <c r="TW180" s="159"/>
      <c r="TX180" s="159"/>
      <c r="TY180" s="159"/>
      <c r="TZ180" s="159"/>
      <c r="UA180" s="159"/>
      <c r="UB180" s="159"/>
      <c r="UC180" s="159"/>
      <c r="UD180" s="159"/>
      <c r="UE180" s="159"/>
      <c r="UF180" s="159"/>
      <c r="UG180" s="159"/>
      <c r="UH180" s="159"/>
      <c r="UI180" s="159"/>
      <c r="UJ180" s="159"/>
      <c r="UK180" s="159"/>
      <c r="UL180" s="159"/>
      <c r="UM180" s="159"/>
      <c r="UN180" s="159"/>
      <c r="UO180" s="159"/>
      <c r="UP180" s="159"/>
      <c r="UQ180" s="159"/>
      <c r="UR180" s="159"/>
      <c r="US180" s="159"/>
      <c r="UT180" s="159"/>
      <c r="UU180" s="159"/>
      <c r="UV180" s="159"/>
      <c r="UW180" s="159"/>
      <c r="UX180" s="159"/>
      <c r="UY180" s="159"/>
      <c r="UZ180" s="159"/>
      <c r="VA180" s="159"/>
      <c r="VB180" s="159"/>
      <c r="VC180" s="159"/>
      <c r="VD180" s="159"/>
      <c r="VE180" s="159"/>
      <c r="VF180" s="159"/>
      <c r="VG180" s="159"/>
      <c r="VH180" s="159"/>
      <c r="VI180" s="159"/>
      <c r="VJ180" s="159"/>
      <c r="VK180" s="159"/>
      <c r="VL180" s="159"/>
      <c r="VM180" s="159"/>
      <c r="VN180" s="159"/>
      <c r="VO180" s="159"/>
      <c r="VP180" s="159"/>
      <c r="VQ180" s="159"/>
      <c r="VR180" s="159"/>
      <c r="VS180" s="159"/>
      <c r="VT180" s="159"/>
      <c r="VU180" s="159"/>
      <c r="VV180" s="159"/>
      <c r="VW180" s="159"/>
      <c r="VX180" s="159"/>
      <c r="VY180" s="159"/>
      <c r="VZ180" s="159"/>
      <c r="WA180" s="159"/>
      <c r="WB180" s="159"/>
      <c r="WC180" s="159"/>
      <c r="WD180" s="159"/>
      <c r="WE180" s="159"/>
      <c r="WF180" s="159"/>
      <c r="WG180" s="159"/>
      <c r="WH180" s="159"/>
      <c r="WI180" s="159"/>
      <c r="WJ180" s="159"/>
      <c r="WK180" s="159"/>
      <c r="WL180" s="159"/>
      <c r="WM180" s="159"/>
      <c r="WN180" s="159"/>
      <c r="WO180" s="159"/>
      <c r="WP180" s="159"/>
      <c r="WQ180" s="159"/>
      <c r="WR180" s="159"/>
      <c r="WS180" s="159"/>
      <c r="WT180" s="159"/>
      <c r="WU180" s="159"/>
      <c r="WV180" s="159"/>
      <c r="WW180" s="159"/>
      <c r="WX180" s="159"/>
      <c r="WY180" s="159"/>
      <c r="WZ180" s="159"/>
      <c r="XA180" s="159"/>
      <c r="XB180" s="159"/>
      <c r="XC180" s="159"/>
      <c r="XD180" s="159"/>
      <c r="XE180" s="159"/>
      <c r="XF180" s="159"/>
      <c r="XG180" s="159"/>
      <c r="XH180" s="159"/>
      <c r="XI180" s="159"/>
      <c r="XJ180" s="159"/>
      <c r="XK180" s="159"/>
      <c r="XL180" s="159"/>
      <c r="XM180" s="159"/>
      <c r="XN180" s="159"/>
      <c r="XO180" s="159"/>
      <c r="XP180" s="159"/>
      <c r="XQ180" s="159"/>
      <c r="XR180" s="159"/>
      <c r="XS180" s="159"/>
      <c r="XT180" s="159"/>
      <c r="XU180" s="159"/>
      <c r="XV180" s="159"/>
      <c r="XW180" s="159"/>
      <c r="XX180" s="159"/>
      <c r="XY180" s="159"/>
      <c r="XZ180" s="159"/>
      <c r="YA180" s="159"/>
      <c r="YB180" s="159"/>
      <c r="YC180" s="159"/>
      <c r="YD180" s="159"/>
      <c r="YE180" s="159"/>
      <c r="YF180" s="159"/>
      <c r="YG180" s="159"/>
      <c r="YH180" s="159"/>
      <c r="YI180" s="159"/>
      <c r="YJ180" s="159"/>
      <c r="YK180" s="159"/>
      <c r="YL180" s="159"/>
      <c r="YM180" s="159"/>
      <c r="YN180" s="159"/>
      <c r="YO180" s="159"/>
      <c r="YP180" s="159"/>
      <c r="YQ180" s="159"/>
      <c r="YR180" s="159"/>
      <c r="YS180" s="159"/>
      <c r="YT180" s="159"/>
      <c r="YU180" s="159"/>
      <c r="YV180" s="159"/>
      <c r="YW180" s="159"/>
      <c r="YX180" s="159"/>
      <c r="YY180" s="159"/>
      <c r="YZ180" s="159"/>
      <c r="ZA180" s="159"/>
      <c r="ZB180" s="159"/>
      <c r="ZC180" s="159"/>
      <c r="ZD180" s="159"/>
      <c r="ZE180" s="159"/>
      <c r="ZF180" s="159"/>
      <c r="ZG180" s="159"/>
      <c r="ZH180" s="159"/>
      <c r="ZI180" s="159"/>
      <c r="ZJ180" s="159"/>
      <c r="ZK180" s="159"/>
      <c r="ZL180" s="159"/>
      <c r="ZM180" s="159"/>
      <c r="ZN180" s="159"/>
      <c r="ZO180" s="159"/>
      <c r="ZP180" s="159"/>
      <c r="ZQ180" s="159"/>
      <c r="ZR180" s="159"/>
      <c r="ZS180" s="159"/>
      <c r="ZT180" s="159"/>
      <c r="ZU180" s="159"/>
      <c r="ZV180" s="159"/>
      <c r="ZW180" s="159"/>
      <c r="ZX180" s="159"/>
      <c r="ZY180" s="159"/>
      <c r="ZZ180" s="159"/>
      <c r="AAA180" s="159"/>
      <c r="AAB180" s="159"/>
      <c r="AAC180" s="159"/>
      <c r="AAD180" s="159"/>
      <c r="AAE180" s="159"/>
      <c r="AAF180" s="159"/>
      <c r="AAG180" s="159"/>
      <c r="AAH180" s="159"/>
      <c r="AAI180" s="159"/>
      <c r="AAJ180" s="159"/>
      <c r="AAK180" s="159"/>
      <c r="AAL180" s="159"/>
      <c r="AAM180" s="159"/>
      <c r="AAN180" s="159"/>
      <c r="AAO180" s="159"/>
      <c r="AAP180" s="159"/>
      <c r="AAQ180" s="159"/>
      <c r="AAR180" s="159"/>
      <c r="AAS180" s="159"/>
      <c r="AAT180" s="159"/>
      <c r="AAU180" s="159"/>
      <c r="AAV180" s="159"/>
      <c r="AAW180" s="159"/>
      <c r="AAX180" s="159"/>
      <c r="AAY180" s="159"/>
      <c r="AAZ180" s="159"/>
      <c r="ABA180" s="159"/>
      <c r="ABB180" s="159"/>
      <c r="ABC180" s="159"/>
      <c r="ABD180" s="159"/>
      <c r="ABE180" s="159"/>
      <c r="ABF180" s="159"/>
      <c r="ABG180" s="159"/>
      <c r="ABH180" s="159"/>
      <c r="ABI180" s="159"/>
      <c r="ABJ180" s="159"/>
      <c r="ABK180" s="159"/>
      <c r="ABL180" s="159"/>
      <c r="ABM180" s="159"/>
      <c r="ABN180" s="159"/>
      <c r="ABO180" s="159"/>
      <c r="ABP180" s="159"/>
      <c r="ABQ180" s="159"/>
      <c r="ABR180" s="159"/>
      <c r="ABS180" s="159"/>
      <c r="ABT180" s="159"/>
      <c r="ABU180" s="159"/>
      <c r="ABV180" s="159"/>
      <c r="ABW180" s="159"/>
      <c r="ABX180" s="159"/>
      <c r="ABY180" s="159"/>
      <c r="ABZ180" s="159"/>
      <c r="ACA180" s="159"/>
      <c r="ACB180" s="159"/>
      <c r="ACC180" s="159"/>
      <c r="ACD180" s="159"/>
      <c r="ACE180" s="159"/>
      <c r="ACF180" s="159"/>
      <c r="ACG180" s="159"/>
      <c r="ACH180" s="159"/>
      <c r="ACI180" s="159"/>
      <c r="ACJ180" s="159"/>
      <c r="ACK180" s="159"/>
      <c r="ACL180" s="159"/>
      <c r="ACM180" s="159"/>
      <c r="ACN180" s="159"/>
      <c r="ACO180" s="159"/>
      <c r="ACP180" s="159"/>
      <c r="ACQ180" s="159"/>
      <c r="ACR180" s="159"/>
      <c r="ACS180" s="159"/>
      <c r="ACT180" s="159"/>
      <c r="ACU180" s="159"/>
      <c r="ACV180" s="159"/>
      <c r="ACW180" s="159"/>
      <c r="ACX180" s="159"/>
      <c r="ACY180" s="159"/>
      <c r="ACZ180" s="159"/>
      <c r="ADA180" s="159"/>
      <c r="ADB180" s="159"/>
      <c r="ADC180" s="159"/>
      <c r="ADD180" s="159"/>
      <c r="ADE180" s="159"/>
      <c r="ADF180" s="159"/>
      <c r="ADG180" s="159"/>
      <c r="ADH180" s="159"/>
      <c r="ADI180" s="159"/>
      <c r="ADJ180" s="159"/>
      <c r="ADK180" s="159"/>
      <c r="ADL180" s="159"/>
      <c r="ADM180" s="159"/>
      <c r="ADN180" s="159"/>
      <c r="ADO180" s="159"/>
      <c r="ADP180" s="159"/>
      <c r="ADQ180" s="159"/>
      <c r="ADR180" s="159"/>
      <c r="ADS180" s="159"/>
      <c r="ADT180" s="159"/>
      <c r="ADU180" s="159"/>
      <c r="ADV180" s="159"/>
      <c r="ADW180" s="159"/>
      <c r="ADX180" s="159"/>
      <c r="ADY180" s="159"/>
      <c r="ADZ180" s="159"/>
      <c r="AEA180" s="159"/>
      <c r="AEB180" s="159"/>
      <c r="AEC180" s="159"/>
      <c r="AED180" s="159"/>
      <c r="AEE180" s="159"/>
      <c r="AEF180" s="159"/>
      <c r="AEG180" s="159"/>
      <c r="AEH180" s="159"/>
      <c r="AEI180" s="159"/>
      <c r="AEJ180" s="159"/>
      <c r="AEK180" s="159"/>
      <c r="AEL180" s="159"/>
      <c r="AEM180" s="159"/>
      <c r="AEN180" s="159"/>
      <c r="AEO180" s="159"/>
      <c r="AEP180" s="159"/>
      <c r="AEQ180" s="159"/>
      <c r="AER180" s="159"/>
      <c r="AES180" s="159"/>
      <c r="AET180" s="159"/>
      <c r="AEU180" s="159"/>
      <c r="AEV180" s="159"/>
      <c r="AEW180" s="159"/>
      <c r="AEX180" s="159"/>
      <c r="AEY180" s="159"/>
      <c r="AEZ180" s="159"/>
      <c r="AFA180" s="159"/>
      <c r="AFB180" s="159"/>
      <c r="AFC180" s="159"/>
      <c r="AFD180" s="159"/>
      <c r="AFE180" s="159"/>
      <c r="AFF180" s="159"/>
      <c r="AFG180" s="159"/>
      <c r="AFH180" s="159"/>
      <c r="AFI180" s="159"/>
      <c r="AFJ180" s="159"/>
      <c r="AFK180" s="159"/>
      <c r="AFL180" s="159"/>
      <c r="AFM180" s="159"/>
      <c r="AFN180" s="159"/>
      <c r="AFO180" s="159"/>
      <c r="AFP180" s="159"/>
      <c r="AFQ180" s="159"/>
      <c r="AFR180" s="159"/>
      <c r="AFS180" s="159"/>
      <c r="AFT180" s="159"/>
      <c r="AFU180" s="159"/>
      <c r="AFV180" s="159"/>
      <c r="AFW180" s="159"/>
      <c r="AFX180" s="159"/>
      <c r="AFY180" s="159"/>
      <c r="AFZ180" s="159"/>
      <c r="AGA180" s="159"/>
      <c r="AGB180" s="159"/>
      <c r="AGC180" s="159"/>
      <c r="AGD180" s="159"/>
      <c r="AGE180" s="159"/>
      <c r="AGF180" s="159"/>
      <c r="AGG180" s="159"/>
      <c r="AGH180" s="159"/>
      <c r="AGI180" s="159"/>
      <c r="AGJ180" s="159"/>
      <c r="AGK180" s="159"/>
      <c r="AGL180" s="159"/>
      <c r="AGM180" s="159"/>
      <c r="AGN180" s="159"/>
      <c r="AGO180" s="159"/>
      <c r="AGP180" s="159"/>
      <c r="AGQ180" s="159"/>
      <c r="AGR180" s="159"/>
      <c r="AGS180" s="159"/>
      <c r="AGT180" s="159"/>
      <c r="AGU180" s="159"/>
      <c r="AGV180" s="159"/>
      <c r="AGW180" s="159"/>
      <c r="AGX180" s="159"/>
      <c r="AGY180" s="159"/>
      <c r="AGZ180" s="159"/>
      <c r="AHA180" s="159"/>
      <c r="AHB180" s="159"/>
      <c r="AHC180" s="159"/>
      <c r="AHD180" s="159"/>
      <c r="AHE180" s="159"/>
      <c r="AHF180" s="159"/>
      <c r="AHG180" s="159"/>
      <c r="AHH180" s="159"/>
      <c r="AHI180" s="159"/>
      <c r="AHJ180" s="159"/>
      <c r="AHK180" s="159"/>
      <c r="AHL180" s="159"/>
      <c r="AHM180" s="159"/>
      <c r="AHN180" s="159"/>
      <c r="AHO180" s="159"/>
      <c r="AHP180" s="159"/>
      <c r="AHQ180" s="159"/>
      <c r="AHR180" s="159"/>
      <c r="AHS180" s="159"/>
      <c r="AHT180" s="159"/>
      <c r="AHU180" s="159"/>
      <c r="AHV180" s="159"/>
      <c r="AHW180" s="159"/>
      <c r="AHX180" s="159"/>
      <c r="AHY180" s="159"/>
      <c r="AHZ180" s="159"/>
      <c r="AIA180" s="159"/>
      <c r="AIB180" s="159"/>
      <c r="AIC180" s="159"/>
      <c r="AID180" s="159"/>
      <c r="AIE180" s="159"/>
      <c r="AIF180" s="159"/>
      <c r="AIG180" s="159"/>
      <c r="AIH180" s="159"/>
      <c r="AII180" s="159"/>
      <c r="AIJ180" s="159"/>
      <c r="AIK180" s="159"/>
      <c r="AIL180" s="159"/>
      <c r="AIM180" s="159"/>
      <c r="AIN180" s="159"/>
      <c r="AIO180" s="159"/>
      <c r="AIP180" s="159"/>
      <c r="AIQ180" s="159"/>
      <c r="AIR180" s="159"/>
      <c r="AIS180" s="159"/>
      <c r="AIT180" s="159"/>
      <c r="AIU180" s="159"/>
      <c r="AIV180" s="159"/>
      <c r="AIW180" s="159"/>
      <c r="AIX180" s="159"/>
      <c r="AIY180" s="159"/>
      <c r="AIZ180" s="159"/>
      <c r="AJA180" s="159"/>
      <c r="AJB180" s="159"/>
      <c r="AJC180" s="159"/>
      <c r="AJD180" s="159"/>
      <c r="AJE180" s="159"/>
      <c r="AJF180" s="159"/>
      <c r="AJG180" s="159"/>
      <c r="AJH180" s="159"/>
      <c r="AJI180" s="159"/>
      <c r="AJJ180" s="159"/>
      <c r="AJK180" s="159"/>
      <c r="AJL180" s="159"/>
      <c r="AJM180" s="159"/>
      <c r="AJN180" s="159"/>
      <c r="AJO180" s="159"/>
      <c r="AJP180" s="159"/>
      <c r="AJQ180" s="159"/>
      <c r="AJR180" s="159"/>
      <c r="AJS180" s="159"/>
      <c r="AJT180" s="159"/>
      <c r="AJU180" s="159"/>
      <c r="AJV180" s="159"/>
      <c r="AJW180" s="159"/>
      <c r="AJX180" s="159"/>
      <c r="AJY180" s="159"/>
      <c r="AJZ180" s="159"/>
      <c r="AKA180" s="159"/>
      <c r="AKB180" s="159"/>
      <c r="AKC180" s="159"/>
      <c r="AKD180" s="159"/>
      <c r="AKE180" s="159"/>
      <c r="AKF180" s="159"/>
      <c r="AKG180" s="159"/>
      <c r="AKH180" s="159"/>
      <c r="AKI180" s="159"/>
      <c r="AKJ180" s="159"/>
      <c r="AKK180" s="159"/>
      <c r="AKL180" s="159"/>
      <c r="AKM180" s="159"/>
      <c r="AKN180" s="159"/>
      <c r="AKO180" s="159"/>
      <c r="AKP180" s="159"/>
      <c r="AKQ180" s="159"/>
      <c r="AKR180" s="159"/>
      <c r="AKS180" s="159"/>
      <c r="AKT180" s="159"/>
      <c r="AKU180" s="159"/>
      <c r="AKV180" s="159"/>
      <c r="AKW180" s="159"/>
      <c r="AKX180" s="159"/>
      <c r="AKY180" s="159"/>
      <c r="AKZ180" s="159"/>
      <c r="ALA180" s="159"/>
      <c r="ALB180" s="159"/>
      <c r="ALC180" s="159"/>
      <c r="ALD180" s="159"/>
      <c r="ALE180" s="159"/>
      <c r="ALF180" s="159"/>
      <c r="ALG180" s="159"/>
      <c r="ALH180" s="159"/>
      <c r="ALI180" s="159"/>
      <c r="ALJ180" s="159"/>
      <c r="ALK180" s="159"/>
      <c r="ALL180" s="159"/>
      <c r="ALM180" s="159"/>
      <c r="ALN180" s="159"/>
      <c r="ALO180" s="159"/>
      <c r="ALP180" s="159"/>
      <c r="ALQ180" s="159"/>
      <c r="ALR180" s="159"/>
      <c r="ALS180" s="159"/>
      <c r="ALT180" s="159"/>
      <c r="ALU180" s="159"/>
      <c r="ALV180" s="159"/>
      <c r="ALW180" s="159"/>
      <c r="ALX180" s="159"/>
      <c r="ALY180" s="159"/>
      <c r="ALZ180" s="159"/>
      <c r="AMA180" s="159"/>
      <c r="AMB180" s="159"/>
      <c r="AMC180" s="159"/>
      <c r="AMD180" s="159"/>
      <c r="AME180" s="159"/>
      <c r="AMF180" s="159"/>
      <c r="AMG180" s="159"/>
      <c r="AMH180" s="159"/>
      <c r="AMI180" s="159"/>
      <c r="AMJ180" s="159"/>
      <c r="AMK180" s="159"/>
      <c r="AML180" s="159"/>
      <c r="AMM180" s="159"/>
      <c r="AMN180" s="159"/>
      <c r="AMO180" s="159"/>
    </row>
    <row r="181" spans="1:1029" s="161" customFormat="1" ht="30" customHeight="1" x14ac:dyDescent="0.25">
      <c r="A181" s="138">
        <v>46274</v>
      </c>
      <c r="B181" s="99" t="s">
        <v>113</v>
      </c>
      <c r="C181" s="99" t="s">
        <v>36</v>
      </c>
      <c r="D181" s="160" t="s">
        <v>34</v>
      </c>
      <c r="E181" s="118" t="s">
        <v>113</v>
      </c>
      <c r="F181" s="149" t="s">
        <v>38</v>
      </c>
      <c r="G181" s="149" t="s">
        <v>16</v>
      </c>
      <c r="H181" s="141">
        <f t="shared" si="12"/>
        <v>1</v>
      </c>
      <c r="I181" s="121" t="s">
        <v>35</v>
      </c>
      <c r="J181" s="121" t="s">
        <v>36</v>
      </c>
      <c r="K181" s="121" t="s">
        <v>34</v>
      </c>
      <c r="L181" s="141">
        <f t="shared" si="13"/>
        <v>1</v>
      </c>
      <c r="M181" s="121" t="s">
        <v>101</v>
      </c>
      <c r="N181" s="121" t="s">
        <v>10</v>
      </c>
      <c r="O181" s="121" t="s">
        <v>11</v>
      </c>
      <c r="P181" s="141" t="b">
        <f t="shared" si="14"/>
        <v>0</v>
      </c>
      <c r="Q181" s="149" t="s">
        <v>101</v>
      </c>
      <c r="R181" s="99" t="s">
        <v>45</v>
      </c>
      <c r="S181" s="99" t="s">
        <v>21</v>
      </c>
      <c r="T181" s="141" t="b">
        <f t="shared" si="15"/>
        <v>0</v>
      </c>
      <c r="U181" s="159"/>
      <c r="V181" s="159"/>
      <c r="W181" s="159"/>
      <c r="X181" s="159"/>
      <c r="Y181" s="159"/>
      <c r="Z181" s="159"/>
      <c r="AA181" s="159"/>
      <c r="AB181" s="159"/>
      <c r="AC181" s="159"/>
      <c r="AD181" s="159"/>
      <c r="AE181" s="159"/>
      <c r="AF181" s="159"/>
      <c r="AG181" s="159"/>
      <c r="AH181" s="159"/>
      <c r="AI181" s="159"/>
      <c r="AJ181" s="159"/>
      <c r="AK181" s="159"/>
      <c r="AL181" s="159"/>
      <c r="AM181" s="159"/>
      <c r="AN181" s="159"/>
      <c r="AO181" s="159"/>
      <c r="AP181" s="159"/>
      <c r="AQ181" s="159"/>
      <c r="AR181" s="159"/>
      <c r="AS181" s="159"/>
      <c r="AT181" s="159"/>
      <c r="AU181" s="159"/>
      <c r="AV181" s="159"/>
      <c r="AW181" s="159"/>
      <c r="AX181" s="159"/>
      <c r="AY181" s="159"/>
      <c r="AZ181" s="159"/>
      <c r="BA181" s="159"/>
      <c r="BB181" s="159"/>
      <c r="BC181" s="159"/>
      <c r="BD181" s="159"/>
      <c r="BE181" s="159"/>
      <c r="BF181" s="159"/>
      <c r="BG181" s="159"/>
      <c r="BH181" s="159"/>
      <c r="BI181" s="159"/>
      <c r="BJ181" s="159"/>
      <c r="BK181" s="159"/>
      <c r="BL181" s="159"/>
      <c r="BM181" s="159"/>
      <c r="BN181" s="159"/>
      <c r="BO181" s="159"/>
      <c r="BP181" s="159"/>
      <c r="BQ181" s="159"/>
      <c r="BR181" s="159"/>
      <c r="BS181" s="159"/>
      <c r="BT181" s="159"/>
      <c r="BU181" s="159"/>
      <c r="BV181" s="159"/>
      <c r="BW181" s="159"/>
      <c r="BX181" s="159"/>
      <c r="BY181" s="159"/>
      <c r="BZ181" s="159"/>
      <c r="CA181" s="159"/>
      <c r="CB181" s="159"/>
      <c r="CC181" s="159"/>
      <c r="CD181" s="159"/>
      <c r="CE181" s="159"/>
      <c r="CF181" s="159"/>
      <c r="CG181" s="159"/>
      <c r="CH181" s="159"/>
      <c r="CI181" s="159"/>
      <c r="CJ181" s="159"/>
      <c r="CK181" s="159"/>
      <c r="CL181" s="159"/>
      <c r="CM181" s="159"/>
      <c r="CN181" s="159"/>
      <c r="CO181" s="159"/>
      <c r="CP181" s="159"/>
      <c r="CQ181" s="159"/>
      <c r="CR181" s="159"/>
      <c r="CS181" s="159"/>
      <c r="CT181" s="159"/>
      <c r="CU181" s="159"/>
      <c r="CV181" s="159"/>
      <c r="CW181" s="159"/>
      <c r="CX181" s="159"/>
      <c r="CY181" s="159"/>
      <c r="CZ181" s="159"/>
      <c r="DA181" s="159"/>
      <c r="DB181" s="159"/>
      <c r="DC181" s="159"/>
      <c r="DD181" s="159"/>
      <c r="DE181" s="159"/>
      <c r="DF181" s="159"/>
      <c r="DG181" s="159"/>
      <c r="DH181" s="159"/>
      <c r="DI181" s="159"/>
      <c r="DJ181" s="159"/>
      <c r="DK181" s="159"/>
      <c r="DL181" s="159"/>
      <c r="DM181" s="159"/>
      <c r="DN181" s="159"/>
      <c r="DO181" s="159"/>
      <c r="DP181" s="159"/>
      <c r="DQ181" s="159"/>
      <c r="DR181" s="159"/>
      <c r="DS181" s="159"/>
      <c r="DT181" s="159"/>
      <c r="DU181" s="159"/>
      <c r="DV181" s="159"/>
      <c r="DW181" s="159"/>
      <c r="DX181" s="159"/>
      <c r="DY181" s="159"/>
      <c r="DZ181" s="159"/>
      <c r="EA181" s="159"/>
      <c r="EB181" s="159"/>
      <c r="EC181" s="159"/>
      <c r="ED181" s="159"/>
      <c r="EE181" s="159"/>
      <c r="EF181" s="159"/>
      <c r="EG181" s="159"/>
      <c r="EH181" s="159"/>
      <c r="EI181" s="159"/>
      <c r="EJ181" s="159"/>
      <c r="EK181" s="159"/>
      <c r="EL181" s="159"/>
      <c r="EM181" s="159"/>
      <c r="EN181" s="159"/>
      <c r="EO181" s="159"/>
      <c r="EP181" s="159"/>
      <c r="EQ181" s="159"/>
      <c r="ER181" s="159"/>
      <c r="ES181" s="159"/>
      <c r="ET181" s="159"/>
      <c r="EU181" s="159"/>
      <c r="EV181" s="159"/>
      <c r="EW181" s="159"/>
      <c r="EX181" s="159"/>
      <c r="EY181" s="159"/>
      <c r="EZ181" s="159"/>
      <c r="FA181" s="159"/>
      <c r="FB181" s="159"/>
      <c r="FC181" s="159"/>
      <c r="FD181" s="159"/>
      <c r="FE181" s="159"/>
      <c r="FF181" s="159"/>
      <c r="FG181" s="159"/>
      <c r="FH181" s="159"/>
      <c r="FI181" s="159"/>
      <c r="FJ181" s="159"/>
      <c r="FK181" s="159"/>
      <c r="FL181" s="159"/>
      <c r="FM181" s="159"/>
      <c r="FN181" s="159"/>
      <c r="FO181" s="159"/>
      <c r="FP181" s="159"/>
      <c r="FQ181" s="159"/>
      <c r="FR181" s="159"/>
      <c r="FS181" s="159"/>
      <c r="FT181" s="159"/>
      <c r="FU181" s="159"/>
      <c r="FV181" s="159"/>
      <c r="FW181" s="159"/>
      <c r="FX181" s="159"/>
      <c r="FY181" s="159"/>
      <c r="FZ181" s="159"/>
      <c r="GA181" s="159"/>
      <c r="GB181" s="159"/>
      <c r="GC181" s="159"/>
      <c r="GD181" s="159"/>
      <c r="GE181" s="159"/>
      <c r="GF181" s="159"/>
      <c r="GG181" s="159"/>
      <c r="GH181" s="159"/>
      <c r="GI181" s="159"/>
      <c r="GJ181" s="159"/>
      <c r="GK181" s="159"/>
      <c r="GL181" s="159"/>
      <c r="GM181" s="159"/>
      <c r="GN181" s="159"/>
      <c r="GO181" s="159"/>
      <c r="GP181" s="159"/>
      <c r="GQ181" s="159"/>
      <c r="GR181" s="159"/>
      <c r="GS181" s="159"/>
      <c r="GT181" s="159"/>
      <c r="GU181" s="159"/>
      <c r="GV181" s="159"/>
      <c r="GW181" s="159"/>
      <c r="GX181" s="159"/>
      <c r="GY181" s="159"/>
      <c r="GZ181" s="159"/>
      <c r="HA181" s="159"/>
      <c r="HB181" s="159"/>
      <c r="HC181" s="159"/>
      <c r="HD181" s="159"/>
      <c r="HE181" s="159"/>
      <c r="HF181" s="159"/>
      <c r="HG181" s="159"/>
      <c r="HH181" s="159"/>
      <c r="HI181" s="159"/>
      <c r="HJ181" s="159"/>
      <c r="HK181" s="159"/>
      <c r="HL181" s="159"/>
      <c r="HM181" s="159"/>
      <c r="HN181" s="159"/>
      <c r="HO181" s="159"/>
      <c r="HP181" s="159"/>
      <c r="HQ181" s="159"/>
      <c r="HR181" s="159"/>
      <c r="HS181" s="159"/>
      <c r="HT181" s="159"/>
      <c r="HU181" s="159"/>
      <c r="HV181" s="159"/>
      <c r="HW181" s="159"/>
      <c r="HX181" s="159"/>
      <c r="HY181" s="159"/>
      <c r="HZ181" s="159"/>
      <c r="IA181" s="159"/>
      <c r="IB181" s="159"/>
      <c r="IC181" s="159"/>
      <c r="ID181" s="159"/>
      <c r="IE181" s="159"/>
      <c r="IF181" s="159"/>
      <c r="IG181" s="159"/>
      <c r="IH181" s="159"/>
      <c r="II181" s="159"/>
      <c r="IJ181" s="159"/>
      <c r="IK181" s="159"/>
      <c r="IL181" s="159"/>
      <c r="IM181" s="159"/>
      <c r="IN181" s="159"/>
      <c r="IO181" s="159"/>
      <c r="IP181" s="159"/>
      <c r="IQ181" s="159"/>
      <c r="IR181" s="159"/>
      <c r="IS181" s="159"/>
      <c r="IT181" s="159"/>
      <c r="IU181" s="159"/>
      <c r="IV181" s="159"/>
      <c r="IW181" s="159"/>
      <c r="IX181" s="159"/>
      <c r="IY181" s="159"/>
      <c r="IZ181" s="159"/>
      <c r="JA181" s="159"/>
      <c r="JB181" s="159"/>
      <c r="JC181" s="159"/>
      <c r="JD181" s="159"/>
      <c r="JE181" s="159"/>
      <c r="JF181" s="159"/>
      <c r="JG181" s="159"/>
      <c r="JH181" s="159"/>
      <c r="JI181" s="159"/>
      <c r="JJ181" s="159"/>
      <c r="JK181" s="159"/>
      <c r="JL181" s="159"/>
      <c r="JM181" s="159"/>
      <c r="JN181" s="159"/>
      <c r="JO181" s="159"/>
      <c r="JP181" s="159"/>
      <c r="JQ181" s="159"/>
      <c r="JR181" s="159"/>
      <c r="JS181" s="159"/>
      <c r="JT181" s="159"/>
      <c r="JU181" s="159"/>
      <c r="JV181" s="159"/>
      <c r="JW181" s="159"/>
      <c r="JX181" s="159"/>
      <c r="JY181" s="159"/>
      <c r="JZ181" s="159"/>
      <c r="KA181" s="159"/>
      <c r="KB181" s="159"/>
      <c r="KC181" s="159"/>
      <c r="KD181" s="159"/>
      <c r="KE181" s="159"/>
      <c r="KF181" s="159"/>
      <c r="KG181" s="159"/>
      <c r="KH181" s="159"/>
      <c r="KI181" s="159"/>
      <c r="KJ181" s="159"/>
      <c r="KK181" s="159"/>
      <c r="KL181" s="159"/>
      <c r="KM181" s="159"/>
      <c r="KN181" s="159"/>
      <c r="KO181" s="159"/>
      <c r="KP181" s="159"/>
      <c r="KQ181" s="159"/>
      <c r="KR181" s="159"/>
      <c r="KS181" s="159"/>
      <c r="KT181" s="159"/>
      <c r="KU181" s="159"/>
      <c r="KV181" s="159"/>
      <c r="KW181" s="159"/>
      <c r="KX181" s="159"/>
      <c r="KY181" s="159"/>
      <c r="KZ181" s="159"/>
      <c r="LA181" s="159"/>
      <c r="LB181" s="159"/>
      <c r="LC181" s="159"/>
      <c r="LD181" s="159"/>
      <c r="LE181" s="159"/>
      <c r="LF181" s="159"/>
      <c r="LG181" s="159"/>
      <c r="LH181" s="159"/>
      <c r="LI181" s="159"/>
      <c r="LJ181" s="159"/>
      <c r="LK181" s="159"/>
      <c r="LL181" s="159"/>
      <c r="LM181" s="159"/>
      <c r="LN181" s="159"/>
      <c r="LO181" s="159"/>
      <c r="LP181" s="159"/>
      <c r="LQ181" s="159"/>
      <c r="LR181" s="159"/>
      <c r="LS181" s="159"/>
      <c r="LT181" s="159"/>
      <c r="LU181" s="159"/>
      <c r="LV181" s="159"/>
      <c r="LW181" s="159"/>
      <c r="LX181" s="159"/>
      <c r="LY181" s="159"/>
      <c r="LZ181" s="159"/>
      <c r="MA181" s="159"/>
      <c r="MB181" s="159"/>
      <c r="MC181" s="159"/>
      <c r="MD181" s="159"/>
      <c r="ME181" s="159"/>
      <c r="MF181" s="159"/>
      <c r="MG181" s="159"/>
      <c r="MH181" s="159"/>
      <c r="MI181" s="159"/>
      <c r="MJ181" s="159"/>
      <c r="MK181" s="159"/>
      <c r="ML181" s="159"/>
      <c r="MM181" s="159"/>
      <c r="MN181" s="159"/>
      <c r="MO181" s="159"/>
      <c r="MP181" s="159"/>
      <c r="MQ181" s="159"/>
      <c r="MR181" s="159"/>
      <c r="MS181" s="159"/>
      <c r="MT181" s="159"/>
      <c r="MU181" s="159"/>
      <c r="MV181" s="159"/>
      <c r="MW181" s="159"/>
      <c r="MX181" s="159"/>
      <c r="MY181" s="159"/>
      <c r="MZ181" s="159"/>
      <c r="NA181" s="159"/>
      <c r="NB181" s="159"/>
      <c r="NC181" s="159"/>
      <c r="ND181" s="159"/>
      <c r="NE181" s="159"/>
      <c r="NF181" s="159"/>
      <c r="NG181" s="159"/>
      <c r="NH181" s="159"/>
      <c r="NI181" s="159"/>
      <c r="NJ181" s="159"/>
      <c r="NK181" s="159"/>
      <c r="NL181" s="159"/>
      <c r="NM181" s="159"/>
      <c r="NN181" s="159"/>
      <c r="NO181" s="159"/>
      <c r="NP181" s="159"/>
      <c r="NQ181" s="159"/>
      <c r="NR181" s="159"/>
      <c r="NS181" s="159"/>
      <c r="NT181" s="159"/>
      <c r="NU181" s="159"/>
      <c r="NV181" s="159"/>
      <c r="NW181" s="159"/>
      <c r="NX181" s="159"/>
      <c r="NY181" s="159"/>
      <c r="NZ181" s="159"/>
      <c r="OA181" s="159"/>
      <c r="OB181" s="159"/>
      <c r="OC181" s="159"/>
      <c r="OD181" s="159"/>
      <c r="OE181" s="159"/>
      <c r="OF181" s="159"/>
      <c r="OG181" s="159"/>
      <c r="OH181" s="159"/>
      <c r="OI181" s="159"/>
      <c r="OJ181" s="159"/>
      <c r="OK181" s="159"/>
      <c r="OL181" s="159"/>
      <c r="OM181" s="159"/>
      <c r="ON181" s="159"/>
      <c r="OO181" s="159"/>
      <c r="OP181" s="159"/>
      <c r="OQ181" s="159"/>
      <c r="OR181" s="159"/>
      <c r="OS181" s="159"/>
      <c r="OT181" s="159"/>
      <c r="OU181" s="159"/>
      <c r="OV181" s="159"/>
      <c r="OW181" s="159"/>
      <c r="OX181" s="159"/>
      <c r="OY181" s="159"/>
      <c r="OZ181" s="159"/>
      <c r="PA181" s="159"/>
      <c r="PB181" s="159"/>
      <c r="PC181" s="159"/>
      <c r="PD181" s="159"/>
      <c r="PE181" s="159"/>
      <c r="PF181" s="159"/>
      <c r="PG181" s="159"/>
      <c r="PH181" s="159"/>
      <c r="PI181" s="159"/>
      <c r="PJ181" s="159"/>
      <c r="PK181" s="159"/>
      <c r="PL181" s="159"/>
      <c r="PM181" s="159"/>
      <c r="PN181" s="159"/>
      <c r="PO181" s="159"/>
      <c r="PP181" s="159"/>
      <c r="PQ181" s="159"/>
      <c r="PR181" s="159"/>
      <c r="PS181" s="159"/>
      <c r="PT181" s="159"/>
      <c r="PU181" s="159"/>
      <c r="PV181" s="159"/>
      <c r="PW181" s="159"/>
      <c r="PX181" s="159"/>
      <c r="PY181" s="159"/>
      <c r="PZ181" s="159"/>
      <c r="QA181" s="159"/>
      <c r="QB181" s="159"/>
      <c r="QC181" s="159"/>
      <c r="QD181" s="159"/>
      <c r="QE181" s="159"/>
      <c r="QF181" s="159"/>
      <c r="QG181" s="159"/>
      <c r="QH181" s="159"/>
      <c r="QI181" s="159"/>
      <c r="QJ181" s="159"/>
      <c r="QK181" s="159"/>
      <c r="QL181" s="159"/>
      <c r="QM181" s="159"/>
      <c r="QN181" s="159"/>
      <c r="QO181" s="159"/>
      <c r="QP181" s="159"/>
      <c r="QQ181" s="159"/>
      <c r="QR181" s="159"/>
      <c r="QS181" s="159"/>
      <c r="QT181" s="159"/>
      <c r="QU181" s="159"/>
      <c r="QV181" s="159"/>
      <c r="QW181" s="159"/>
      <c r="QX181" s="159"/>
      <c r="QY181" s="159"/>
      <c r="QZ181" s="159"/>
      <c r="RA181" s="159"/>
      <c r="RB181" s="159"/>
      <c r="RC181" s="159"/>
      <c r="RD181" s="159"/>
      <c r="RE181" s="159"/>
      <c r="RF181" s="159"/>
      <c r="RG181" s="159"/>
      <c r="RH181" s="159"/>
      <c r="RI181" s="159"/>
      <c r="RJ181" s="159"/>
      <c r="RK181" s="159"/>
      <c r="RL181" s="159"/>
      <c r="RM181" s="159"/>
      <c r="RN181" s="159"/>
      <c r="RO181" s="159"/>
      <c r="RP181" s="159"/>
      <c r="RQ181" s="159"/>
      <c r="RR181" s="159"/>
      <c r="RS181" s="159"/>
      <c r="RT181" s="159"/>
      <c r="RU181" s="159"/>
      <c r="RV181" s="159"/>
      <c r="RW181" s="159"/>
      <c r="RX181" s="159"/>
      <c r="RY181" s="159"/>
      <c r="RZ181" s="159"/>
      <c r="SA181" s="159"/>
      <c r="SB181" s="159"/>
      <c r="SC181" s="159"/>
      <c r="SD181" s="159"/>
      <c r="SE181" s="159"/>
      <c r="SF181" s="159"/>
      <c r="SG181" s="159"/>
      <c r="SH181" s="159"/>
      <c r="SI181" s="159"/>
      <c r="SJ181" s="159"/>
      <c r="SK181" s="159"/>
      <c r="SL181" s="159"/>
      <c r="SM181" s="159"/>
      <c r="SN181" s="159"/>
      <c r="SO181" s="159"/>
      <c r="SP181" s="159"/>
      <c r="SQ181" s="159"/>
      <c r="SR181" s="159"/>
      <c r="SS181" s="159"/>
      <c r="ST181" s="159"/>
      <c r="SU181" s="159"/>
      <c r="SV181" s="159"/>
      <c r="SW181" s="159"/>
      <c r="SX181" s="159"/>
      <c r="SY181" s="159"/>
      <c r="SZ181" s="159"/>
      <c r="TA181" s="159"/>
      <c r="TB181" s="159"/>
      <c r="TC181" s="159"/>
      <c r="TD181" s="159"/>
      <c r="TE181" s="159"/>
      <c r="TF181" s="159"/>
      <c r="TG181" s="159"/>
      <c r="TH181" s="159"/>
      <c r="TI181" s="159"/>
      <c r="TJ181" s="159"/>
      <c r="TK181" s="159"/>
      <c r="TL181" s="159"/>
      <c r="TM181" s="159"/>
      <c r="TN181" s="159"/>
      <c r="TO181" s="159"/>
      <c r="TP181" s="159"/>
      <c r="TQ181" s="159"/>
      <c r="TR181" s="159"/>
      <c r="TS181" s="159"/>
      <c r="TT181" s="159"/>
      <c r="TU181" s="159"/>
      <c r="TV181" s="159"/>
      <c r="TW181" s="159"/>
      <c r="TX181" s="159"/>
      <c r="TY181" s="159"/>
      <c r="TZ181" s="159"/>
      <c r="UA181" s="159"/>
      <c r="UB181" s="159"/>
      <c r="UC181" s="159"/>
      <c r="UD181" s="159"/>
      <c r="UE181" s="159"/>
      <c r="UF181" s="159"/>
      <c r="UG181" s="159"/>
      <c r="UH181" s="159"/>
      <c r="UI181" s="159"/>
      <c r="UJ181" s="159"/>
      <c r="UK181" s="159"/>
      <c r="UL181" s="159"/>
      <c r="UM181" s="159"/>
      <c r="UN181" s="159"/>
      <c r="UO181" s="159"/>
      <c r="UP181" s="159"/>
      <c r="UQ181" s="159"/>
      <c r="UR181" s="159"/>
      <c r="US181" s="159"/>
      <c r="UT181" s="159"/>
      <c r="UU181" s="159"/>
      <c r="UV181" s="159"/>
      <c r="UW181" s="159"/>
      <c r="UX181" s="159"/>
      <c r="UY181" s="159"/>
      <c r="UZ181" s="159"/>
      <c r="VA181" s="159"/>
      <c r="VB181" s="159"/>
      <c r="VC181" s="159"/>
      <c r="VD181" s="159"/>
      <c r="VE181" s="159"/>
      <c r="VF181" s="159"/>
      <c r="VG181" s="159"/>
      <c r="VH181" s="159"/>
      <c r="VI181" s="159"/>
      <c r="VJ181" s="159"/>
      <c r="VK181" s="159"/>
      <c r="VL181" s="159"/>
      <c r="VM181" s="159"/>
      <c r="VN181" s="159"/>
      <c r="VO181" s="159"/>
      <c r="VP181" s="159"/>
      <c r="VQ181" s="159"/>
      <c r="VR181" s="159"/>
      <c r="VS181" s="159"/>
      <c r="VT181" s="159"/>
      <c r="VU181" s="159"/>
      <c r="VV181" s="159"/>
      <c r="VW181" s="159"/>
      <c r="VX181" s="159"/>
      <c r="VY181" s="159"/>
      <c r="VZ181" s="159"/>
      <c r="WA181" s="159"/>
      <c r="WB181" s="159"/>
      <c r="WC181" s="159"/>
      <c r="WD181" s="159"/>
      <c r="WE181" s="159"/>
      <c r="WF181" s="159"/>
      <c r="WG181" s="159"/>
      <c r="WH181" s="159"/>
      <c r="WI181" s="159"/>
      <c r="WJ181" s="159"/>
      <c r="WK181" s="159"/>
      <c r="WL181" s="159"/>
      <c r="WM181" s="159"/>
      <c r="WN181" s="159"/>
      <c r="WO181" s="159"/>
      <c r="WP181" s="159"/>
      <c r="WQ181" s="159"/>
      <c r="WR181" s="159"/>
      <c r="WS181" s="159"/>
      <c r="WT181" s="159"/>
      <c r="WU181" s="159"/>
      <c r="WV181" s="159"/>
      <c r="WW181" s="159"/>
      <c r="WX181" s="159"/>
      <c r="WY181" s="159"/>
      <c r="WZ181" s="159"/>
      <c r="XA181" s="159"/>
      <c r="XB181" s="159"/>
      <c r="XC181" s="159"/>
      <c r="XD181" s="159"/>
      <c r="XE181" s="159"/>
      <c r="XF181" s="159"/>
      <c r="XG181" s="159"/>
      <c r="XH181" s="159"/>
      <c r="XI181" s="159"/>
      <c r="XJ181" s="159"/>
      <c r="XK181" s="159"/>
      <c r="XL181" s="159"/>
      <c r="XM181" s="159"/>
      <c r="XN181" s="159"/>
      <c r="XO181" s="159"/>
      <c r="XP181" s="159"/>
      <c r="XQ181" s="159"/>
      <c r="XR181" s="159"/>
      <c r="XS181" s="159"/>
      <c r="XT181" s="159"/>
      <c r="XU181" s="159"/>
      <c r="XV181" s="159"/>
      <c r="XW181" s="159"/>
      <c r="XX181" s="159"/>
      <c r="XY181" s="159"/>
      <c r="XZ181" s="159"/>
      <c r="YA181" s="159"/>
      <c r="YB181" s="159"/>
      <c r="YC181" s="159"/>
      <c r="YD181" s="159"/>
      <c r="YE181" s="159"/>
      <c r="YF181" s="159"/>
      <c r="YG181" s="159"/>
      <c r="YH181" s="159"/>
      <c r="YI181" s="159"/>
      <c r="YJ181" s="159"/>
      <c r="YK181" s="159"/>
      <c r="YL181" s="159"/>
      <c r="YM181" s="159"/>
      <c r="YN181" s="159"/>
      <c r="YO181" s="159"/>
      <c r="YP181" s="159"/>
      <c r="YQ181" s="159"/>
      <c r="YR181" s="159"/>
      <c r="YS181" s="159"/>
      <c r="YT181" s="159"/>
      <c r="YU181" s="159"/>
      <c r="YV181" s="159"/>
      <c r="YW181" s="159"/>
      <c r="YX181" s="159"/>
      <c r="YY181" s="159"/>
      <c r="YZ181" s="159"/>
      <c r="ZA181" s="159"/>
      <c r="ZB181" s="159"/>
      <c r="ZC181" s="159"/>
      <c r="ZD181" s="159"/>
      <c r="ZE181" s="159"/>
      <c r="ZF181" s="159"/>
      <c r="ZG181" s="159"/>
      <c r="ZH181" s="159"/>
      <c r="ZI181" s="159"/>
      <c r="ZJ181" s="159"/>
      <c r="ZK181" s="159"/>
      <c r="ZL181" s="159"/>
      <c r="ZM181" s="159"/>
      <c r="ZN181" s="159"/>
      <c r="ZO181" s="159"/>
      <c r="ZP181" s="159"/>
      <c r="ZQ181" s="159"/>
      <c r="ZR181" s="159"/>
      <c r="ZS181" s="159"/>
      <c r="ZT181" s="159"/>
      <c r="ZU181" s="159"/>
      <c r="ZV181" s="159"/>
      <c r="ZW181" s="159"/>
      <c r="ZX181" s="159"/>
      <c r="ZY181" s="159"/>
      <c r="ZZ181" s="159"/>
      <c r="AAA181" s="159"/>
      <c r="AAB181" s="159"/>
      <c r="AAC181" s="159"/>
      <c r="AAD181" s="159"/>
      <c r="AAE181" s="159"/>
      <c r="AAF181" s="159"/>
      <c r="AAG181" s="159"/>
      <c r="AAH181" s="159"/>
      <c r="AAI181" s="159"/>
      <c r="AAJ181" s="159"/>
      <c r="AAK181" s="159"/>
      <c r="AAL181" s="159"/>
      <c r="AAM181" s="159"/>
      <c r="AAN181" s="159"/>
      <c r="AAO181" s="159"/>
      <c r="AAP181" s="159"/>
      <c r="AAQ181" s="159"/>
      <c r="AAR181" s="159"/>
      <c r="AAS181" s="159"/>
      <c r="AAT181" s="159"/>
      <c r="AAU181" s="159"/>
      <c r="AAV181" s="159"/>
      <c r="AAW181" s="159"/>
      <c r="AAX181" s="159"/>
      <c r="AAY181" s="159"/>
      <c r="AAZ181" s="159"/>
      <c r="ABA181" s="159"/>
      <c r="ABB181" s="159"/>
      <c r="ABC181" s="159"/>
      <c r="ABD181" s="159"/>
      <c r="ABE181" s="159"/>
      <c r="ABF181" s="159"/>
      <c r="ABG181" s="159"/>
      <c r="ABH181" s="159"/>
      <c r="ABI181" s="159"/>
      <c r="ABJ181" s="159"/>
      <c r="ABK181" s="159"/>
      <c r="ABL181" s="159"/>
      <c r="ABM181" s="159"/>
      <c r="ABN181" s="159"/>
      <c r="ABO181" s="159"/>
      <c r="ABP181" s="159"/>
      <c r="ABQ181" s="159"/>
      <c r="ABR181" s="159"/>
      <c r="ABS181" s="159"/>
      <c r="ABT181" s="159"/>
      <c r="ABU181" s="159"/>
      <c r="ABV181" s="159"/>
      <c r="ABW181" s="159"/>
      <c r="ABX181" s="159"/>
      <c r="ABY181" s="159"/>
      <c r="ABZ181" s="159"/>
      <c r="ACA181" s="159"/>
      <c r="ACB181" s="159"/>
      <c r="ACC181" s="159"/>
      <c r="ACD181" s="159"/>
      <c r="ACE181" s="159"/>
      <c r="ACF181" s="159"/>
      <c r="ACG181" s="159"/>
      <c r="ACH181" s="159"/>
      <c r="ACI181" s="159"/>
      <c r="ACJ181" s="159"/>
      <c r="ACK181" s="159"/>
      <c r="ACL181" s="159"/>
      <c r="ACM181" s="159"/>
      <c r="ACN181" s="159"/>
      <c r="ACO181" s="159"/>
      <c r="ACP181" s="159"/>
      <c r="ACQ181" s="159"/>
      <c r="ACR181" s="159"/>
      <c r="ACS181" s="159"/>
      <c r="ACT181" s="159"/>
      <c r="ACU181" s="159"/>
      <c r="ACV181" s="159"/>
      <c r="ACW181" s="159"/>
      <c r="ACX181" s="159"/>
      <c r="ACY181" s="159"/>
      <c r="ACZ181" s="159"/>
      <c r="ADA181" s="159"/>
      <c r="ADB181" s="159"/>
      <c r="ADC181" s="159"/>
      <c r="ADD181" s="159"/>
      <c r="ADE181" s="159"/>
      <c r="ADF181" s="159"/>
      <c r="ADG181" s="159"/>
      <c r="ADH181" s="159"/>
      <c r="ADI181" s="159"/>
      <c r="ADJ181" s="159"/>
      <c r="ADK181" s="159"/>
      <c r="ADL181" s="159"/>
      <c r="ADM181" s="159"/>
      <c r="ADN181" s="159"/>
      <c r="ADO181" s="159"/>
      <c r="ADP181" s="159"/>
      <c r="ADQ181" s="159"/>
      <c r="ADR181" s="159"/>
      <c r="ADS181" s="159"/>
      <c r="ADT181" s="159"/>
      <c r="ADU181" s="159"/>
      <c r="ADV181" s="159"/>
      <c r="ADW181" s="159"/>
      <c r="ADX181" s="159"/>
      <c r="ADY181" s="159"/>
      <c r="ADZ181" s="159"/>
      <c r="AEA181" s="159"/>
      <c r="AEB181" s="159"/>
      <c r="AEC181" s="159"/>
      <c r="AED181" s="159"/>
      <c r="AEE181" s="159"/>
      <c r="AEF181" s="159"/>
      <c r="AEG181" s="159"/>
      <c r="AEH181" s="159"/>
      <c r="AEI181" s="159"/>
      <c r="AEJ181" s="159"/>
      <c r="AEK181" s="159"/>
      <c r="AEL181" s="159"/>
      <c r="AEM181" s="159"/>
      <c r="AEN181" s="159"/>
      <c r="AEO181" s="159"/>
      <c r="AEP181" s="159"/>
      <c r="AEQ181" s="159"/>
      <c r="AER181" s="159"/>
      <c r="AES181" s="159"/>
      <c r="AET181" s="159"/>
      <c r="AEU181" s="159"/>
      <c r="AEV181" s="159"/>
      <c r="AEW181" s="159"/>
      <c r="AEX181" s="159"/>
      <c r="AEY181" s="159"/>
      <c r="AEZ181" s="159"/>
      <c r="AFA181" s="159"/>
      <c r="AFB181" s="159"/>
      <c r="AFC181" s="159"/>
      <c r="AFD181" s="159"/>
      <c r="AFE181" s="159"/>
      <c r="AFF181" s="159"/>
      <c r="AFG181" s="159"/>
      <c r="AFH181" s="159"/>
      <c r="AFI181" s="159"/>
      <c r="AFJ181" s="159"/>
      <c r="AFK181" s="159"/>
      <c r="AFL181" s="159"/>
      <c r="AFM181" s="159"/>
      <c r="AFN181" s="159"/>
      <c r="AFO181" s="159"/>
      <c r="AFP181" s="159"/>
      <c r="AFQ181" s="159"/>
      <c r="AFR181" s="159"/>
      <c r="AFS181" s="159"/>
      <c r="AFT181" s="159"/>
      <c r="AFU181" s="159"/>
      <c r="AFV181" s="159"/>
      <c r="AFW181" s="159"/>
      <c r="AFX181" s="159"/>
      <c r="AFY181" s="159"/>
      <c r="AFZ181" s="159"/>
      <c r="AGA181" s="159"/>
      <c r="AGB181" s="159"/>
      <c r="AGC181" s="159"/>
      <c r="AGD181" s="159"/>
      <c r="AGE181" s="159"/>
      <c r="AGF181" s="159"/>
      <c r="AGG181" s="159"/>
      <c r="AGH181" s="159"/>
      <c r="AGI181" s="159"/>
      <c r="AGJ181" s="159"/>
      <c r="AGK181" s="159"/>
      <c r="AGL181" s="159"/>
      <c r="AGM181" s="159"/>
      <c r="AGN181" s="159"/>
      <c r="AGO181" s="159"/>
      <c r="AGP181" s="159"/>
      <c r="AGQ181" s="159"/>
      <c r="AGR181" s="159"/>
      <c r="AGS181" s="159"/>
      <c r="AGT181" s="159"/>
      <c r="AGU181" s="159"/>
      <c r="AGV181" s="159"/>
      <c r="AGW181" s="159"/>
      <c r="AGX181" s="159"/>
      <c r="AGY181" s="159"/>
      <c r="AGZ181" s="159"/>
      <c r="AHA181" s="159"/>
      <c r="AHB181" s="159"/>
      <c r="AHC181" s="159"/>
      <c r="AHD181" s="159"/>
      <c r="AHE181" s="159"/>
      <c r="AHF181" s="159"/>
      <c r="AHG181" s="159"/>
      <c r="AHH181" s="159"/>
      <c r="AHI181" s="159"/>
      <c r="AHJ181" s="159"/>
      <c r="AHK181" s="159"/>
      <c r="AHL181" s="159"/>
      <c r="AHM181" s="159"/>
      <c r="AHN181" s="159"/>
      <c r="AHO181" s="159"/>
      <c r="AHP181" s="159"/>
      <c r="AHQ181" s="159"/>
      <c r="AHR181" s="159"/>
      <c r="AHS181" s="159"/>
      <c r="AHT181" s="159"/>
      <c r="AHU181" s="159"/>
      <c r="AHV181" s="159"/>
      <c r="AHW181" s="159"/>
      <c r="AHX181" s="159"/>
      <c r="AHY181" s="159"/>
      <c r="AHZ181" s="159"/>
      <c r="AIA181" s="159"/>
      <c r="AIB181" s="159"/>
      <c r="AIC181" s="159"/>
      <c r="AID181" s="159"/>
      <c r="AIE181" s="159"/>
      <c r="AIF181" s="159"/>
      <c r="AIG181" s="159"/>
      <c r="AIH181" s="159"/>
      <c r="AII181" s="159"/>
      <c r="AIJ181" s="159"/>
      <c r="AIK181" s="159"/>
      <c r="AIL181" s="159"/>
      <c r="AIM181" s="159"/>
      <c r="AIN181" s="159"/>
      <c r="AIO181" s="159"/>
      <c r="AIP181" s="159"/>
      <c r="AIQ181" s="159"/>
      <c r="AIR181" s="159"/>
      <c r="AIS181" s="159"/>
      <c r="AIT181" s="159"/>
      <c r="AIU181" s="159"/>
      <c r="AIV181" s="159"/>
      <c r="AIW181" s="159"/>
      <c r="AIX181" s="159"/>
      <c r="AIY181" s="159"/>
      <c r="AIZ181" s="159"/>
      <c r="AJA181" s="159"/>
      <c r="AJB181" s="159"/>
      <c r="AJC181" s="159"/>
      <c r="AJD181" s="159"/>
      <c r="AJE181" s="159"/>
      <c r="AJF181" s="159"/>
      <c r="AJG181" s="159"/>
      <c r="AJH181" s="159"/>
      <c r="AJI181" s="159"/>
      <c r="AJJ181" s="159"/>
      <c r="AJK181" s="159"/>
      <c r="AJL181" s="159"/>
      <c r="AJM181" s="159"/>
      <c r="AJN181" s="159"/>
      <c r="AJO181" s="159"/>
      <c r="AJP181" s="159"/>
      <c r="AJQ181" s="159"/>
      <c r="AJR181" s="159"/>
      <c r="AJS181" s="159"/>
      <c r="AJT181" s="159"/>
      <c r="AJU181" s="159"/>
      <c r="AJV181" s="159"/>
      <c r="AJW181" s="159"/>
      <c r="AJX181" s="159"/>
      <c r="AJY181" s="159"/>
      <c r="AJZ181" s="159"/>
      <c r="AKA181" s="159"/>
      <c r="AKB181" s="159"/>
      <c r="AKC181" s="159"/>
      <c r="AKD181" s="159"/>
      <c r="AKE181" s="159"/>
      <c r="AKF181" s="159"/>
      <c r="AKG181" s="159"/>
      <c r="AKH181" s="159"/>
      <c r="AKI181" s="159"/>
      <c r="AKJ181" s="159"/>
      <c r="AKK181" s="159"/>
      <c r="AKL181" s="159"/>
      <c r="AKM181" s="159"/>
      <c r="AKN181" s="159"/>
      <c r="AKO181" s="159"/>
      <c r="AKP181" s="159"/>
      <c r="AKQ181" s="159"/>
      <c r="AKR181" s="159"/>
      <c r="AKS181" s="159"/>
      <c r="AKT181" s="159"/>
      <c r="AKU181" s="159"/>
      <c r="AKV181" s="159"/>
      <c r="AKW181" s="159"/>
      <c r="AKX181" s="159"/>
      <c r="AKY181" s="159"/>
      <c r="AKZ181" s="159"/>
      <c r="ALA181" s="159"/>
      <c r="ALB181" s="159"/>
      <c r="ALC181" s="159"/>
      <c r="ALD181" s="159"/>
      <c r="ALE181" s="159"/>
      <c r="ALF181" s="159"/>
      <c r="ALG181" s="159"/>
      <c r="ALH181" s="159"/>
      <c r="ALI181" s="159"/>
      <c r="ALJ181" s="159"/>
      <c r="ALK181" s="159"/>
      <c r="ALL181" s="159"/>
      <c r="ALM181" s="159"/>
      <c r="ALN181" s="159"/>
      <c r="ALO181" s="159"/>
      <c r="ALP181" s="159"/>
      <c r="ALQ181" s="159"/>
      <c r="ALR181" s="159"/>
      <c r="ALS181" s="159"/>
      <c r="ALT181" s="159"/>
      <c r="ALU181" s="159"/>
      <c r="ALV181" s="159"/>
      <c r="ALW181" s="159"/>
      <c r="ALX181" s="159"/>
      <c r="ALY181" s="159"/>
      <c r="ALZ181" s="159"/>
      <c r="AMA181" s="159"/>
      <c r="AMB181" s="159"/>
      <c r="AMC181" s="159"/>
      <c r="AMD181" s="159"/>
      <c r="AME181" s="159"/>
      <c r="AMF181" s="159"/>
      <c r="AMG181" s="159"/>
      <c r="AMH181" s="159"/>
      <c r="AMI181" s="159"/>
      <c r="AMJ181" s="159"/>
      <c r="AMK181" s="159"/>
      <c r="AML181" s="159"/>
      <c r="AMM181" s="159"/>
      <c r="AMN181" s="159"/>
      <c r="AMO181" s="159"/>
    </row>
    <row r="182" spans="1:1029" s="161" customFormat="1" ht="25.5" x14ac:dyDescent="0.25">
      <c r="A182" s="138">
        <v>46275</v>
      </c>
      <c r="B182" s="99" t="s">
        <v>64</v>
      </c>
      <c r="C182" s="99" t="s">
        <v>288</v>
      </c>
      <c r="D182" s="160" t="s">
        <v>289</v>
      </c>
      <c r="E182" s="118" t="s">
        <v>193</v>
      </c>
      <c r="F182" s="149" t="s">
        <v>10</v>
      </c>
      <c r="G182" s="149" t="s">
        <v>11</v>
      </c>
      <c r="H182" s="141" t="b">
        <f t="shared" si="12"/>
        <v>0</v>
      </c>
      <c r="I182" s="121" t="str">
        <f>CHOOSE(MATCH(MAX(SUM(H$9:$H181), SUM(P$9:$P181), SUM(T$9:$T181)),CHOOSE({1;2;3}, SUM(H$9:$H181), SUM(P$9:$P181), SUM(T$9:$T181)),0),E182,M182,Q182)</f>
        <v>Aglio Olio</v>
      </c>
      <c r="J182" s="121" t="str">
        <f>CHOOSE(MATCH(MAX(SUM($H$9:H181), SUM($P$9:P181), SUM($T$9:T181)),CHOOSE({1;2;3}, SUM($H$9:H181), SUM($P$9:P181), SUM($T$9:T181)),0),F182,N182,R182)</f>
        <v>Leberkas</v>
      </c>
      <c r="K182" s="121" t="str">
        <f>CHOOSE(MATCH(MAX(SUM($H$9:H181), SUM($P$9:P181), SUM($T$9:T181)),CHOOSE({1;2;3}, SUM($H$9:H181), SUM($P$9:P181), SUM($T$9:T181)),0),G182,O182,S182)</f>
        <v>Röstkartoffeln</v>
      </c>
      <c r="L182" s="141" t="b">
        <f t="shared" si="13"/>
        <v>0</v>
      </c>
      <c r="M182" s="121" t="s">
        <v>42</v>
      </c>
      <c r="N182" s="121" t="s">
        <v>57</v>
      </c>
      <c r="O182" s="121" t="s">
        <v>31</v>
      </c>
      <c r="P182" s="141" t="b">
        <f t="shared" si="14"/>
        <v>0</v>
      </c>
      <c r="Q182" s="149" t="s">
        <v>193</v>
      </c>
      <c r="R182" s="99" t="s">
        <v>38</v>
      </c>
      <c r="S182" s="99" t="s">
        <v>16</v>
      </c>
      <c r="T182" s="141" t="b">
        <f t="shared" si="15"/>
        <v>0</v>
      </c>
      <c r="U182" s="159"/>
      <c r="V182" s="159"/>
      <c r="W182" s="159"/>
      <c r="X182" s="159"/>
      <c r="Y182" s="159"/>
      <c r="Z182" s="159"/>
      <c r="AA182" s="159"/>
      <c r="AB182" s="159"/>
      <c r="AC182" s="159"/>
      <c r="AD182" s="159"/>
      <c r="AE182" s="159"/>
      <c r="AF182" s="159"/>
      <c r="AG182" s="159"/>
      <c r="AH182" s="159"/>
      <c r="AI182" s="159"/>
      <c r="AJ182" s="159"/>
      <c r="AK182" s="159"/>
      <c r="AL182" s="159"/>
      <c r="AM182" s="159"/>
      <c r="AN182" s="159"/>
      <c r="AO182" s="159"/>
      <c r="AP182" s="159"/>
      <c r="AQ182" s="159"/>
      <c r="AR182" s="159"/>
      <c r="AS182" s="159"/>
      <c r="AT182" s="159"/>
      <c r="AU182" s="159"/>
      <c r="AV182" s="159"/>
      <c r="AW182" s="159"/>
      <c r="AX182" s="159"/>
      <c r="AY182" s="159"/>
      <c r="AZ182" s="159"/>
      <c r="BA182" s="159"/>
      <c r="BB182" s="159"/>
      <c r="BC182" s="159"/>
      <c r="BD182" s="159"/>
      <c r="BE182" s="159"/>
      <c r="BF182" s="159"/>
      <c r="BG182" s="159"/>
      <c r="BH182" s="159"/>
      <c r="BI182" s="159"/>
      <c r="BJ182" s="159"/>
      <c r="BK182" s="159"/>
      <c r="BL182" s="159"/>
      <c r="BM182" s="159"/>
      <c r="BN182" s="159"/>
      <c r="BO182" s="159"/>
      <c r="BP182" s="159"/>
      <c r="BQ182" s="159"/>
      <c r="BR182" s="159"/>
      <c r="BS182" s="159"/>
      <c r="BT182" s="159"/>
      <c r="BU182" s="159"/>
      <c r="BV182" s="159"/>
      <c r="BW182" s="159"/>
      <c r="BX182" s="159"/>
      <c r="BY182" s="159"/>
      <c r="BZ182" s="159"/>
      <c r="CA182" s="159"/>
      <c r="CB182" s="159"/>
      <c r="CC182" s="159"/>
      <c r="CD182" s="159"/>
      <c r="CE182" s="159"/>
      <c r="CF182" s="159"/>
      <c r="CG182" s="159"/>
      <c r="CH182" s="159"/>
      <c r="CI182" s="159"/>
      <c r="CJ182" s="159"/>
      <c r="CK182" s="159"/>
      <c r="CL182" s="159"/>
      <c r="CM182" s="159"/>
      <c r="CN182" s="159"/>
      <c r="CO182" s="159"/>
      <c r="CP182" s="159"/>
      <c r="CQ182" s="159"/>
      <c r="CR182" s="159"/>
      <c r="CS182" s="159"/>
      <c r="CT182" s="159"/>
      <c r="CU182" s="159"/>
      <c r="CV182" s="159"/>
      <c r="CW182" s="159"/>
      <c r="CX182" s="159"/>
      <c r="CY182" s="159"/>
      <c r="CZ182" s="159"/>
      <c r="DA182" s="159"/>
      <c r="DB182" s="159"/>
      <c r="DC182" s="159"/>
      <c r="DD182" s="159"/>
      <c r="DE182" s="159"/>
      <c r="DF182" s="159"/>
      <c r="DG182" s="159"/>
      <c r="DH182" s="159"/>
      <c r="DI182" s="159"/>
      <c r="DJ182" s="159"/>
      <c r="DK182" s="159"/>
      <c r="DL182" s="159"/>
      <c r="DM182" s="159"/>
      <c r="DN182" s="159"/>
      <c r="DO182" s="159"/>
      <c r="DP182" s="159"/>
      <c r="DQ182" s="159"/>
      <c r="DR182" s="159"/>
      <c r="DS182" s="159"/>
      <c r="DT182" s="159"/>
      <c r="DU182" s="159"/>
      <c r="DV182" s="159"/>
      <c r="DW182" s="159"/>
      <c r="DX182" s="159"/>
      <c r="DY182" s="159"/>
      <c r="DZ182" s="159"/>
      <c r="EA182" s="159"/>
      <c r="EB182" s="159"/>
      <c r="EC182" s="159"/>
      <c r="ED182" s="159"/>
      <c r="EE182" s="159"/>
      <c r="EF182" s="159"/>
      <c r="EG182" s="159"/>
      <c r="EH182" s="159"/>
      <c r="EI182" s="159"/>
      <c r="EJ182" s="159"/>
      <c r="EK182" s="159"/>
      <c r="EL182" s="159"/>
      <c r="EM182" s="159"/>
      <c r="EN182" s="159"/>
      <c r="EO182" s="159"/>
      <c r="EP182" s="159"/>
      <c r="EQ182" s="159"/>
      <c r="ER182" s="159"/>
      <c r="ES182" s="159"/>
      <c r="ET182" s="159"/>
      <c r="EU182" s="159"/>
      <c r="EV182" s="159"/>
      <c r="EW182" s="159"/>
      <c r="EX182" s="159"/>
      <c r="EY182" s="159"/>
      <c r="EZ182" s="159"/>
      <c r="FA182" s="159"/>
      <c r="FB182" s="159"/>
      <c r="FC182" s="159"/>
      <c r="FD182" s="159"/>
      <c r="FE182" s="159"/>
      <c r="FF182" s="159"/>
      <c r="FG182" s="159"/>
      <c r="FH182" s="159"/>
      <c r="FI182" s="159"/>
      <c r="FJ182" s="159"/>
      <c r="FK182" s="159"/>
      <c r="FL182" s="159"/>
      <c r="FM182" s="159"/>
      <c r="FN182" s="159"/>
      <c r="FO182" s="159"/>
      <c r="FP182" s="159"/>
      <c r="FQ182" s="159"/>
      <c r="FR182" s="159"/>
      <c r="FS182" s="159"/>
      <c r="FT182" s="159"/>
      <c r="FU182" s="159"/>
      <c r="FV182" s="159"/>
      <c r="FW182" s="159"/>
      <c r="FX182" s="159"/>
      <c r="FY182" s="159"/>
      <c r="FZ182" s="159"/>
      <c r="GA182" s="159"/>
      <c r="GB182" s="159"/>
      <c r="GC182" s="159"/>
      <c r="GD182" s="159"/>
      <c r="GE182" s="159"/>
      <c r="GF182" s="159"/>
      <c r="GG182" s="159"/>
      <c r="GH182" s="159"/>
      <c r="GI182" s="159"/>
      <c r="GJ182" s="159"/>
      <c r="GK182" s="159"/>
      <c r="GL182" s="159"/>
      <c r="GM182" s="159"/>
      <c r="GN182" s="159"/>
      <c r="GO182" s="159"/>
      <c r="GP182" s="159"/>
      <c r="GQ182" s="159"/>
      <c r="GR182" s="159"/>
      <c r="GS182" s="159"/>
      <c r="GT182" s="159"/>
      <c r="GU182" s="159"/>
      <c r="GV182" s="159"/>
      <c r="GW182" s="159"/>
      <c r="GX182" s="159"/>
      <c r="GY182" s="159"/>
      <c r="GZ182" s="159"/>
      <c r="HA182" s="159"/>
      <c r="HB182" s="159"/>
      <c r="HC182" s="159"/>
      <c r="HD182" s="159"/>
      <c r="HE182" s="159"/>
      <c r="HF182" s="159"/>
      <c r="HG182" s="159"/>
      <c r="HH182" s="159"/>
      <c r="HI182" s="159"/>
      <c r="HJ182" s="159"/>
      <c r="HK182" s="159"/>
      <c r="HL182" s="159"/>
      <c r="HM182" s="159"/>
      <c r="HN182" s="159"/>
      <c r="HO182" s="159"/>
      <c r="HP182" s="159"/>
      <c r="HQ182" s="159"/>
      <c r="HR182" s="159"/>
      <c r="HS182" s="159"/>
      <c r="HT182" s="159"/>
      <c r="HU182" s="159"/>
      <c r="HV182" s="159"/>
      <c r="HW182" s="159"/>
      <c r="HX182" s="159"/>
      <c r="HY182" s="159"/>
      <c r="HZ182" s="159"/>
      <c r="IA182" s="159"/>
      <c r="IB182" s="159"/>
      <c r="IC182" s="159"/>
      <c r="ID182" s="159"/>
      <c r="IE182" s="159"/>
      <c r="IF182" s="159"/>
      <c r="IG182" s="159"/>
      <c r="IH182" s="159"/>
      <c r="II182" s="159"/>
      <c r="IJ182" s="159"/>
      <c r="IK182" s="159"/>
      <c r="IL182" s="159"/>
      <c r="IM182" s="159"/>
      <c r="IN182" s="159"/>
      <c r="IO182" s="159"/>
      <c r="IP182" s="159"/>
      <c r="IQ182" s="159"/>
      <c r="IR182" s="159"/>
      <c r="IS182" s="159"/>
      <c r="IT182" s="159"/>
      <c r="IU182" s="159"/>
      <c r="IV182" s="159"/>
      <c r="IW182" s="159"/>
      <c r="IX182" s="159"/>
      <c r="IY182" s="159"/>
      <c r="IZ182" s="159"/>
      <c r="JA182" s="159"/>
      <c r="JB182" s="159"/>
      <c r="JC182" s="159"/>
      <c r="JD182" s="159"/>
      <c r="JE182" s="159"/>
      <c r="JF182" s="159"/>
      <c r="JG182" s="159"/>
      <c r="JH182" s="159"/>
      <c r="JI182" s="159"/>
      <c r="JJ182" s="159"/>
      <c r="JK182" s="159"/>
      <c r="JL182" s="159"/>
      <c r="JM182" s="159"/>
      <c r="JN182" s="159"/>
      <c r="JO182" s="159"/>
      <c r="JP182" s="159"/>
      <c r="JQ182" s="159"/>
      <c r="JR182" s="159"/>
      <c r="JS182" s="159"/>
      <c r="JT182" s="159"/>
      <c r="JU182" s="159"/>
      <c r="JV182" s="159"/>
      <c r="JW182" s="159"/>
      <c r="JX182" s="159"/>
      <c r="JY182" s="159"/>
      <c r="JZ182" s="159"/>
      <c r="KA182" s="159"/>
      <c r="KB182" s="159"/>
      <c r="KC182" s="159"/>
      <c r="KD182" s="159"/>
      <c r="KE182" s="159"/>
      <c r="KF182" s="159"/>
      <c r="KG182" s="159"/>
      <c r="KH182" s="159"/>
      <c r="KI182" s="159"/>
      <c r="KJ182" s="159"/>
      <c r="KK182" s="159"/>
      <c r="KL182" s="159"/>
      <c r="KM182" s="159"/>
      <c r="KN182" s="159"/>
      <c r="KO182" s="159"/>
      <c r="KP182" s="159"/>
      <c r="KQ182" s="159"/>
      <c r="KR182" s="159"/>
      <c r="KS182" s="159"/>
      <c r="KT182" s="159"/>
      <c r="KU182" s="159"/>
      <c r="KV182" s="159"/>
      <c r="KW182" s="159"/>
      <c r="KX182" s="159"/>
      <c r="KY182" s="159"/>
      <c r="KZ182" s="159"/>
      <c r="LA182" s="159"/>
      <c r="LB182" s="159"/>
      <c r="LC182" s="159"/>
      <c r="LD182" s="159"/>
      <c r="LE182" s="159"/>
      <c r="LF182" s="159"/>
      <c r="LG182" s="159"/>
      <c r="LH182" s="159"/>
      <c r="LI182" s="159"/>
      <c r="LJ182" s="159"/>
      <c r="LK182" s="159"/>
      <c r="LL182" s="159"/>
      <c r="LM182" s="159"/>
      <c r="LN182" s="159"/>
      <c r="LO182" s="159"/>
      <c r="LP182" s="159"/>
      <c r="LQ182" s="159"/>
      <c r="LR182" s="159"/>
      <c r="LS182" s="159"/>
      <c r="LT182" s="159"/>
      <c r="LU182" s="159"/>
      <c r="LV182" s="159"/>
      <c r="LW182" s="159"/>
      <c r="LX182" s="159"/>
      <c r="LY182" s="159"/>
      <c r="LZ182" s="159"/>
      <c r="MA182" s="159"/>
      <c r="MB182" s="159"/>
      <c r="MC182" s="159"/>
      <c r="MD182" s="159"/>
      <c r="ME182" s="159"/>
      <c r="MF182" s="159"/>
      <c r="MG182" s="159"/>
      <c r="MH182" s="159"/>
      <c r="MI182" s="159"/>
      <c r="MJ182" s="159"/>
      <c r="MK182" s="159"/>
      <c r="ML182" s="159"/>
      <c r="MM182" s="159"/>
      <c r="MN182" s="159"/>
      <c r="MO182" s="159"/>
      <c r="MP182" s="159"/>
      <c r="MQ182" s="159"/>
      <c r="MR182" s="159"/>
      <c r="MS182" s="159"/>
      <c r="MT182" s="159"/>
      <c r="MU182" s="159"/>
      <c r="MV182" s="159"/>
      <c r="MW182" s="159"/>
      <c r="MX182" s="159"/>
      <c r="MY182" s="159"/>
      <c r="MZ182" s="159"/>
      <c r="NA182" s="159"/>
      <c r="NB182" s="159"/>
      <c r="NC182" s="159"/>
      <c r="ND182" s="159"/>
      <c r="NE182" s="159"/>
      <c r="NF182" s="159"/>
      <c r="NG182" s="159"/>
      <c r="NH182" s="159"/>
      <c r="NI182" s="159"/>
      <c r="NJ182" s="159"/>
      <c r="NK182" s="159"/>
      <c r="NL182" s="159"/>
      <c r="NM182" s="159"/>
      <c r="NN182" s="159"/>
      <c r="NO182" s="159"/>
      <c r="NP182" s="159"/>
      <c r="NQ182" s="159"/>
      <c r="NR182" s="159"/>
      <c r="NS182" s="159"/>
      <c r="NT182" s="159"/>
      <c r="NU182" s="159"/>
      <c r="NV182" s="159"/>
      <c r="NW182" s="159"/>
      <c r="NX182" s="159"/>
      <c r="NY182" s="159"/>
      <c r="NZ182" s="159"/>
      <c r="OA182" s="159"/>
      <c r="OB182" s="159"/>
      <c r="OC182" s="159"/>
      <c r="OD182" s="159"/>
      <c r="OE182" s="159"/>
      <c r="OF182" s="159"/>
      <c r="OG182" s="159"/>
      <c r="OH182" s="159"/>
      <c r="OI182" s="159"/>
      <c r="OJ182" s="159"/>
      <c r="OK182" s="159"/>
      <c r="OL182" s="159"/>
      <c r="OM182" s="159"/>
      <c r="ON182" s="159"/>
      <c r="OO182" s="159"/>
      <c r="OP182" s="159"/>
      <c r="OQ182" s="159"/>
      <c r="OR182" s="159"/>
      <c r="OS182" s="159"/>
      <c r="OT182" s="159"/>
      <c r="OU182" s="159"/>
      <c r="OV182" s="159"/>
      <c r="OW182" s="159"/>
      <c r="OX182" s="159"/>
      <c r="OY182" s="159"/>
      <c r="OZ182" s="159"/>
      <c r="PA182" s="159"/>
      <c r="PB182" s="159"/>
      <c r="PC182" s="159"/>
      <c r="PD182" s="159"/>
      <c r="PE182" s="159"/>
      <c r="PF182" s="159"/>
      <c r="PG182" s="159"/>
      <c r="PH182" s="159"/>
      <c r="PI182" s="159"/>
      <c r="PJ182" s="159"/>
      <c r="PK182" s="159"/>
      <c r="PL182" s="159"/>
      <c r="PM182" s="159"/>
      <c r="PN182" s="159"/>
      <c r="PO182" s="159"/>
      <c r="PP182" s="159"/>
      <c r="PQ182" s="159"/>
      <c r="PR182" s="159"/>
      <c r="PS182" s="159"/>
      <c r="PT182" s="159"/>
      <c r="PU182" s="159"/>
      <c r="PV182" s="159"/>
      <c r="PW182" s="159"/>
      <c r="PX182" s="159"/>
      <c r="PY182" s="159"/>
      <c r="PZ182" s="159"/>
      <c r="QA182" s="159"/>
      <c r="QB182" s="159"/>
      <c r="QC182" s="159"/>
      <c r="QD182" s="159"/>
      <c r="QE182" s="159"/>
      <c r="QF182" s="159"/>
      <c r="QG182" s="159"/>
      <c r="QH182" s="159"/>
      <c r="QI182" s="159"/>
      <c r="QJ182" s="159"/>
      <c r="QK182" s="159"/>
      <c r="QL182" s="159"/>
      <c r="QM182" s="159"/>
      <c r="QN182" s="159"/>
      <c r="QO182" s="159"/>
      <c r="QP182" s="159"/>
      <c r="QQ182" s="159"/>
      <c r="QR182" s="159"/>
      <c r="QS182" s="159"/>
      <c r="QT182" s="159"/>
      <c r="QU182" s="159"/>
      <c r="QV182" s="159"/>
      <c r="QW182" s="159"/>
      <c r="QX182" s="159"/>
      <c r="QY182" s="159"/>
      <c r="QZ182" s="159"/>
      <c r="RA182" s="159"/>
      <c r="RB182" s="159"/>
      <c r="RC182" s="159"/>
      <c r="RD182" s="159"/>
      <c r="RE182" s="159"/>
      <c r="RF182" s="159"/>
      <c r="RG182" s="159"/>
      <c r="RH182" s="159"/>
      <c r="RI182" s="159"/>
      <c r="RJ182" s="159"/>
      <c r="RK182" s="159"/>
      <c r="RL182" s="159"/>
      <c r="RM182" s="159"/>
      <c r="RN182" s="159"/>
      <c r="RO182" s="159"/>
      <c r="RP182" s="159"/>
      <c r="RQ182" s="159"/>
      <c r="RR182" s="159"/>
      <c r="RS182" s="159"/>
      <c r="RT182" s="159"/>
      <c r="RU182" s="159"/>
      <c r="RV182" s="159"/>
      <c r="RW182" s="159"/>
      <c r="RX182" s="159"/>
      <c r="RY182" s="159"/>
      <c r="RZ182" s="159"/>
      <c r="SA182" s="159"/>
      <c r="SB182" s="159"/>
      <c r="SC182" s="159"/>
      <c r="SD182" s="159"/>
      <c r="SE182" s="159"/>
      <c r="SF182" s="159"/>
      <c r="SG182" s="159"/>
      <c r="SH182" s="159"/>
      <c r="SI182" s="159"/>
      <c r="SJ182" s="159"/>
      <c r="SK182" s="159"/>
      <c r="SL182" s="159"/>
      <c r="SM182" s="159"/>
      <c r="SN182" s="159"/>
      <c r="SO182" s="159"/>
      <c r="SP182" s="159"/>
      <c r="SQ182" s="159"/>
      <c r="SR182" s="159"/>
      <c r="SS182" s="159"/>
      <c r="ST182" s="159"/>
      <c r="SU182" s="159"/>
      <c r="SV182" s="159"/>
      <c r="SW182" s="159"/>
      <c r="SX182" s="159"/>
      <c r="SY182" s="159"/>
      <c r="SZ182" s="159"/>
      <c r="TA182" s="159"/>
      <c r="TB182" s="159"/>
      <c r="TC182" s="159"/>
      <c r="TD182" s="159"/>
      <c r="TE182" s="159"/>
      <c r="TF182" s="159"/>
      <c r="TG182" s="159"/>
      <c r="TH182" s="159"/>
      <c r="TI182" s="159"/>
      <c r="TJ182" s="159"/>
      <c r="TK182" s="159"/>
      <c r="TL182" s="159"/>
      <c r="TM182" s="159"/>
      <c r="TN182" s="159"/>
      <c r="TO182" s="159"/>
      <c r="TP182" s="159"/>
      <c r="TQ182" s="159"/>
      <c r="TR182" s="159"/>
      <c r="TS182" s="159"/>
      <c r="TT182" s="159"/>
      <c r="TU182" s="159"/>
      <c r="TV182" s="159"/>
      <c r="TW182" s="159"/>
      <c r="TX182" s="159"/>
      <c r="TY182" s="159"/>
      <c r="TZ182" s="159"/>
      <c r="UA182" s="159"/>
      <c r="UB182" s="159"/>
      <c r="UC182" s="159"/>
      <c r="UD182" s="159"/>
      <c r="UE182" s="159"/>
      <c r="UF182" s="159"/>
      <c r="UG182" s="159"/>
      <c r="UH182" s="159"/>
      <c r="UI182" s="159"/>
      <c r="UJ182" s="159"/>
      <c r="UK182" s="159"/>
      <c r="UL182" s="159"/>
      <c r="UM182" s="159"/>
      <c r="UN182" s="159"/>
      <c r="UO182" s="159"/>
      <c r="UP182" s="159"/>
      <c r="UQ182" s="159"/>
      <c r="UR182" s="159"/>
      <c r="US182" s="159"/>
      <c r="UT182" s="159"/>
      <c r="UU182" s="159"/>
      <c r="UV182" s="159"/>
      <c r="UW182" s="159"/>
      <c r="UX182" s="159"/>
      <c r="UY182" s="159"/>
      <c r="UZ182" s="159"/>
      <c r="VA182" s="159"/>
      <c r="VB182" s="159"/>
      <c r="VC182" s="159"/>
      <c r="VD182" s="159"/>
      <c r="VE182" s="159"/>
      <c r="VF182" s="159"/>
      <c r="VG182" s="159"/>
      <c r="VH182" s="159"/>
      <c r="VI182" s="159"/>
      <c r="VJ182" s="159"/>
      <c r="VK182" s="159"/>
      <c r="VL182" s="159"/>
      <c r="VM182" s="159"/>
      <c r="VN182" s="159"/>
      <c r="VO182" s="159"/>
      <c r="VP182" s="159"/>
      <c r="VQ182" s="159"/>
      <c r="VR182" s="159"/>
      <c r="VS182" s="159"/>
      <c r="VT182" s="159"/>
      <c r="VU182" s="159"/>
      <c r="VV182" s="159"/>
      <c r="VW182" s="159"/>
      <c r="VX182" s="159"/>
      <c r="VY182" s="159"/>
      <c r="VZ182" s="159"/>
      <c r="WA182" s="159"/>
      <c r="WB182" s="159"/>
      <c r="WC182" s="159"/>
      <c r="WD182" s="159"/>
      <c r="WE182" s="159"/>
      <c r="WF182" s="159"/>
      <c r="WG182" s="159"/>
      <c r="WH182" s="159"/>
      <c r="WI182" s="159"/>
      <c r="WJ182" s="159"/>
      <c r="WK182" s="159"/>
      <c r="WL182" s="159"/>
      <c r="WM182" s="159"/>
      <c r="WN182" s="159"/>
      <c r="WO182" s="159"/>
      <c r="WP182" s="159"/>
      <c r="WQ182" s="159"/>
      <c r="WR182" s="159"/>
      <c r="WS182" s="159"/>
      <c r="WT182" s="159"/>
      <c r="WU182" s="159"/>
      <c r="WV182" s="159"/>
      <c r="WW182" s="159"/>
      <c r="WX182" s="159"/>
      <c r="WY182" s="159"/>
      <c r="WZ182" s="159"/>
      <c r="XA182" s="159"/>
      <c r="XB182" s="159"/>
      <c r="XC182" s="159"/>
      <c r="XD182" s="159"/>
      <c r="XE182" s="159"/>
      <c r="XF182" s="159"/>
      <c r="XG182" s="159"/>
      <c r="XH182" s="159"/>
      <c r="XI182" s="159"/>
      <c r="XJ182" s="159"/>
      <c r="XK182" s="159"/>
      <c r="XL182" s="159"/>
      <c r="XM182" s="159"/>
      <c r="XN182" s="159"/>
      <c r="XO182" s="159"/>
      <c r="XP182" s="159"/>
      <c r="XQ182" s="159"/>
      <c r="XR182" s="159"/>
      <c r="XS182" s="159"/>
      <c r="XT182" s="159"/>
      <c r="XU182" s="159"/>
      <c r="XV182" s="159"/>
      <c r="XW182" s="159"/>
      <c r="XX182" s="159"/>
      <c r="XY182" s="159"/>
      <c r="XZ182" s="159"/>
      <c r="YA182" s="159"/>
      <c r="YB182" s="159"/>
      <c r="YC182" s="159"/>
      <c r="YD182" s="159"/>
      <c r="YE182" s="159"/>
      <c r="YF182" s="159"/>
      <c r="YG182" s="159"/>
      <c r="YH182" s="159"/>
      <c r="YI182" s="159"/>
      <c r="YJ182" s="159"/>
      <c r="YK182" s="159"/>
      <c r="YL182" s="159"/>
      <c r="YM182" s="159"/>
      <c r="YN182" s="159"/>
      <c r="YO182" s="159"/>
      <c r="YP182" s="159"/>
      <c r="YQ182" s="159"/>
      <c r="YR182" s="159"/>
      <c r="YS182" s="159"/>
      <c r="YT182" s="159"/>
      <c r="YU182" s="159"/>
      <c r="YV182" s="159"/>
      <c r="YW182" s="159"/>
      <c r="YX182" s="159"/>
      <c r="YY182" s="159"/>
      <c r="YZ182" s="159"/>
      <c r="ZA182" s="159"/>
      <c r="ZB182" s="159"/>
      <c r="ZC182" s="159"/>
      <c r="ZD182" s="159"/>
      <c r="ZE182" s="159"/>
      <c r="ZF182" s="159"/>
      <c r="ZG182" s="159"/>
      <c r="ZH182" s="159"/>
      <c r="ZI182" s="159"/>
      <c r="ZJ182" s="159"/>
      <c r="ZK182" s="159"/>
      <c r="ZL182" s="159"/>
      <c r="ZM182" s="159"/>
      <c r="ZN182" s="159"/>
      <c r="ZO182" s="159"/>
      <c r="ZP182" s="159"/>
      <c r="ZQ182" s="159"/>
      <c r="ZR182" s="159"/>
      <c r="ZS182" s="159"/>
      <c r="ZT182" s="159"/>
      <c r="ZU182" s="159"/>
      <c r="ZV182" s="159"/>
      <c r="ZW182" s="159"/>
      <c r="ZX182" s="159"/>
      <c r="ZY182" s="159"/>
      <c r="ZZ182" s="159"/>
      <c r="AAA182" s="159"/>
      <c r="AAB182" s="159"/>
      <c r="AAC182" s="159"/>
      <c r="AAD182" s="159"/>
      <c r="AAE182" s="159"/>
      <c r="AAF182" s="159"/>
      <c r="AAG182" s="159"/>
      <c r="AAH182" s="159"/>
      <c r="AAI182" s="159"/>
      <c r="AAJ182" s="159"/>
      <c r="AAK182" s="159"/>
      <c r="AAL182" s="159"/>
      <c r="AAM182" s="159"/>
      <c r="AAN182" s="159"/>
      <c r="AAO182" s="159"/>
      <c r="AAP182" s="159"/>
      <c r="AAQ182" s="159"/>
      <c r="AAR182" s="159"/>
      <c r="AAS182" s="159"/>
      <c r="AAT182" s="159"/>
      <c r="AAU182" s="159"/>
      <c r="AAV182" s="159"/>
      <c r="AAW182" s="159"/>
      <c r="AAX182" s="159"/>
      <c r="AAY182" s="159"/>
      <c r="AAZ182" s="159"/>
      <c r="ABA182" s="159"/>
      <c r="ABB182" s="159"/>
      <c r="ABC182" s="159"/>
      <c r="ABD182" s="159"/>
      <c r="ABE182" s="159"/>
      <c r="ABF182" s="159"/>
      <c r="ABG182" s="159"/>
      <c r="ABH182" s="159"/>
      <c r="ABI182" s="159"/>
      <c r="ABJ182" s="159"/>
      <c r="ABK182" s="159"/>
      <c r="ABL182" s="159"/>
      <c r="ABM182" s="159"/>
      <c r="ABN182" s="159"/>
      <c r="ABO182" s="159"/>
      <c r="ABP182" s="159"/>
      <c r="ABQ182" s="159"/>
      <c r="ABR182" s="159"/>
      <c r="ABS182" s="159"/>
      <c r="ABT182" s="159"/>
      <c r="ABU182" s="159"/>
      <c r="ABV182" s="159"/>
      <c r="ABW182" s="159"/>
      <c r="ABX182" s="159"/>
      <c r="ABY182" s="159"/>
      <c r="ABZ182" s="159"/>
      <c r="ACA182" s="159"/>
      <c r="ACB182" s="159"/>
      <c r="ACC182" s="159"/>
      <c r="ACD182" s="159"/>
      <c r="ACE182" s="159"/>
      <c r="ACF182" s="159"/>
      <c r="ACG182" s="159"/>
      <c r="ACH182" s="159"/>
      <c r="ACI182" s="159"/>
      <c r="ACJ182" s="159"/>
      <c r="ACK182" s="159"/>
      <c r="ACL182" s="159"/>
      <c r="ACM182" s="159"/>
      <c r="ACN182" s="159"/>
      <c r="ACO182" s="159"/>
      <c r="ACP182" s="159"/>
      <c r="ACQ182" s="159"/>
      <c r="ACR182" s="159"/>
      <c r="ACS182" s="159"/>
      <c r="ACT182" s="159"/>
      <c r="ACU182" s="159"/>
      <c r="ACV182" s="159"/>
      <c r="ACW182" s="159"/>
      <c r="ACX182" s="159"/>
      <c r="ACY182" s="159"/>
      <c r="ACZ182" s="159"/>
      <c r="ADA182" s="159"/>
      <c r="ADB182" s="159"/>
      <c r="ADC182" s="159"/>
      <c r="ADD182" s="159"/>
      <c r="ADE182" s="159"/>
      <c r="ADF182" s="159"/>
      <c r="ADG182" s="159"/>
      <c r="ADH182" s="159"/>
      <c r="ADI182" s="159"/>
      <c r="ADJ182" s="159"/>
      <c r="ADK182" s="159"/>
      <c r="ADL182" s="159"/>
      <c r="ADM182" s="159"/>
      <c r="ADN182" s="159"/>
      <c r="ADO182" s="159"/>
      <c r="ADP182" s="159"/>
      <c r="ADQ182" s="159"/>
      <c r="ADR182" s="159"/>
      <c r="ADS182" s="159"/>
      <c r="ADT182" s="159"/>
      <c r="ADU182" s="159"/>
      <c r="ADV182" s="159"/>
      <c r="ADW182" s="159"/>
      <c r="ADX182" s="159"/>
      <c r="ADY182" s="159"/>
      <c r="ADZ182" s="159"/>
      <c r="AEA182" s="159"/>
      <c r="AEB182" s="159"/>
      <c r="AEC182" s="159"/>
      <c r="AED182" s="159"/>
      <c r="AEE182" s="159"/>
      <c r="AEF182" s="159"/>
      <c r="AEG182" s="159"/>
      <c r="AEH182" s="159"/>
      <c r="AEI182" s="159"/>
      <c r="AEJ182" s="159"/>
      <c r="AEK182" s="159"/>
      <c r="AEL182" s="159"/>
      <c r="AEM182" s="159"/>
      <c r="AEN182" s="159"/>
      <c r="AEO182" s="159"/>
      <c r="AEP182" s="159"/>
      <c r="AEQ182" s="159"/>
      <c r="AER182" s="159"/>
      <c r="AES182" s="159"/>
      <c r="AET182" s="159"/>
      <c r="AEU182" s="159"/>
      <c r="AEV182" s="159"/>
      <c r="AEW182" s="159"/>
      <c r="AEX182" s="159"/>
      <c r="AEY182" s="159"/>
      <c r="AEZ182" s="159"/>
      <c r="AFA182" s="159"/>
      <c r="AFB182" s="159"/>
      <c r="AFC182" s="159"/>
      <c r="AFD182" s="159"/>
      <c r="AFE182" s="159"/>
      <c r="AFF182" s="159"/>
      <c r="AFG182" s="159"/>
      <c r="AFH182" s="159"/>
      <c r="AFI182" s="159"/>
      <c r="AFJ182" s="159"/>
      <c r="AFK182" s="159"/>
      <c r="AFL182" s="159"/>
      <c r="AFM182" s="159"/>
      <c r="AFN182" s="159"/>
      <c r="AFO182" s="159"/>
      <c r="AFP182" s="159"/>
      <c r="AFQ182" s="159"/>
      <c r="AFR182" s="159"/>
      <c r="AFS182" s="159"/>
      <c r="AFT182" s="159"/>
      <c r="AFU182" s="159"/>
      <c r="AFV182" s="159"/>
      <c r="AFW182" s="159"/>
      <c r="AFX182" s="159"/>
      <c r="AFY182" s="159"/>
      <c r="AFZ182" s="159"/>
      <c r="AGA182" s="159"/>
      <c r="AGB182" s="159"/>
      <c r="AGC182" s="159"/>
      <c r="AGD182" s="159"/>
      <c r="AGE182" s="159"/>
      <c r="AGF182" s="159"/>
      <c r="AGG182" s="159"/>
      <c r="AGH182" s="159"/>
      <c r="AGI182" s="159"/>
      <c r="AGJ182" s="159"/>
      <c r="AGK182" s="159"/>
      <c r="AGL182" s="159"/>
      <c r="AGM182" s="159"/>
      <c r="AGN182" s="159"/>
      <c r="AGO182" s="159"/>
      <c r="AGP182" s="159"/>
      <c r="AGQ182" s="159"/>
      <c r="AGR182" s="159"/>
      <c r="AGS182" s="159"/>
      <c r="AGT182" s="159"/>
      <c r="AGU182" s="159"/>
      <c r="AGV182" s="159"/>
      <c r="AGW182" s="159"/>
      <c r="AGX182" s="159"/>
      <c r="AGY182" s="159"/>
      <c r="AGZ182" s="159"/>
      <c r="AHA182" s="159"/>
      <c r="AHB182" s="159"/>
      <c r="AHC182" s="159"/>
      <c r="AHD182" s="159"/>
      <c r="AHE182" s="159"/>
      <c r="AHF182" s="159"/>
      <c r="AHG182" s="159"/>
      <c r="AHH182" s="159"/>
      <c r="AHI182" s="159"/>
      <c r="AHJ182" s="159"/>
      <c r="AHK182" s="159"/>
      <c r="AHL182" s="159"/>
      <c r="AHM182" s="159"/>
      <c r="AHN182" s="159"/>
      <c r="AHO182" s="159"/>
      <c r="AHP182" s="159"/>
      <c r="AHQ182" s="159"/>
      <c r="AHR182" s="159"/>
      <c r="AHS182" s="159"/>
      <c r="AHT182" s="159"/>
      <c r="AHU182" s="159"/>
      <c r="AHV182" s="159"/>
      <c r="AHW182" s="159"/>
      <c r="AHX182" s="159"/>
      <c r="AHY182" s="159"/>
      <c r="AHZ182" s="159"/>
      <c r="AIA182" s="159"/>
      <c r="AIB182" s="159"/>
      <c r="AIC182" s="159"/>
      <c r="AID182" s="159"/>
      <c r="AIE182" s="159"/>
      <c r="AIF182" s="159"/>
      <c r="AIG182" s="159"/>
      <c r="AIH182" s="159"/>
      <c r="AII182" s="159"/>
      <c r="AIJ182" s="159"/>
      <c r="AIK182" s="159"/>
      <c r="AIL182" s="159"/>
      <c r="AIM182" s="159"/>
      <c r="AIN182" s="159"/>
      <c r="AIO182" s="159"/>
      <c r="AIP182" s="159"/>
      <c r="AIQ182" s="159"/>
      <c r="AIR182" s="159"/>
      <c r="AIS182" s="159"/>
      <c r="AIT182" s="159"/>
      <c r="AIU182" s="159"/>
      <c r="AIV182" s="159"/>
      <c r="AIW182" s="159"/>
      <c r="AIX182" s="159"/>
      <c r="AIY182" s="159"/>
      <c r="AIZ182" s="159"/>
      <c r="AJA182" s="159"/>
      <c r="AJB182" s="159"/>
      <c r="AJC182" s="159"/>
      <c r="AJD182" s="159"/>
      <c r="AJE182" s="159"/>
      <c r="AJF182" s="159"/>
      <c r="AJG182" s="159"/>
      <c r="AJH182" s="159"/>
      <c r="AJI182" s="159"/>
      <c r="AJJ182" s="159"/>
      <c r="AJK182" s="159"/>
      <c r="AJL182" s="159"/>
      <c r="AJM182" s="159"/>
      <c r="AJN182" s="159"/>
      <c r="AJO182" s="159"/>
      <c r="AJP182" s="159"/>
      <c r="AJQ182" s="159"/>
      <c r="AJR182" s="159"/>
      <c r="AJS182" s="159"/>
      <c r="AJT182" s="159"/>
      <c r="AJU182" s="159"/>
      <c r="AJV182" s="159"/>
      <c r="AJW182" s="159"/>
      <c r="AJX182" s="159"/>
      <c r="AJY182" s="159"/>
      <c r="AJZ182" s="159"/>
      <c r="AKA182" s="159"/>
      <c r="AKB182" s="159"/>
      <c r="AKC182" s="159"/>
      <c r="AKD182" s="159"/>
      <c r="AKE182" s="159"/>
      <c r="AKF182" s="159"/>
      <c r="AKG182" s="159"/>
      <c r="AKH182" s="159"/>
      <c r="AKI182" s="159"/>
      <c r="AKJ182" s="159"/>
      <c r="AKK182" s="159"/>
      <c r="AKL182" s="159"/>
      <c r="AKM182" s="159"/>
      <c r="AKN182" s="159"/>
      <c r="AKO182" s="159"/>
      <c r="AKP182" s="159"/>
      <c r="AKQ182" s="159"/>
      <c r="AKR182" s="159"/>
      <c r="AKS182" s="159"/>
      <c r="AKT182" s="159"/>
      <c r="AKU182" s="159"/>
      <c r="AKV182" s="159"/>
      <c r="AKW182" s="159"/>
      <c r="AKX182" s="159"/>
      <c r="AKY182" s="159"/>
      <c r="AKZ182" s="159"/>
      <c r="ALA182" s="159"/>
      <c r="ALB182" s="159"/>
      <c r="ALC182" s="159"/>
      <c r="ALD182" s="159"/>
      <c r="ALE182" s="159"/>
      <c r="ALF182" s="159"/>
      <c r="ALG182" s="159"/>
      <c r="ALH182" s="159"/>
      <c r="ALI182" s="159"/>
      <c r="ALJ182" s="159"/>
      <c r="ALK182" s="159"/>
      <c r="ALL182" s="159"/>
      <c r="ALM182" s="159"/>
      <c r="ALN182" s="159"/>
      <c r="ALO182" s="159"/>
      <c r="ALP182" s="159"/>
      <c r="ALQ182" s="159"/>
      <c r="ALR182" s="159"/>
      <c r="ALS182" s="159"/>
      <c r="ALT182" s="159"/>
      <c r="ALU182" s="159"/>
      <c r="ALV182" s="159"/>
      <c r="ALW182" s="159"/>
      <c r="ALX182" s="159"/>
      <c r="ALY182" s="159"/>
      <c r="ALZ182" s="159"/>
      <c r="AMA182" s="159"/>
      <c r="AMB182" s="159"/>
      <c r="AMC182" s="159"/>
      <c r="AMD182" s="159"/>
      <c r="AME182" s="159"/>
      <c r="AMF182" s="159"/>
      <c r="AMG182" s="159"/>
      <c r="AMH182" s="159"/>
      <c r="AMI182" s="159"/>
      <c r="AMJ182" s="159"/>
      <c r="AMK182" s="159"/>
      <c r="AML182" s="159"/>
      <c r="AMM182" s="159"/>
      <c r="AMN182" s="159"/>
      <c r="AMO182" s="159"/>
    </row>
    <row r="183" spans="1:1029" s="161" customFormat="1" ht="39" thickBot="1" x14ac:dyDescent="0.3">
      <c r="A183" s="163">
        <v>46276</v>
      </c>
      <c r="B183" s="155" t="s">
        <v>101</v>
      </c>
      <c r="C183" s="155" t="s">
        <v>38</v>
      </c>
      <c r="D183" s="164" t="s">
        <v>16</v>
      </c>
      <c r="E183" s="154" t="s">
        <v>35</v>
      </c>
      <c r="F183" s="156" t="s">
        <v>51</v>
      </c>
      <c r="G183" s="156" t="s">
        <v>52</v>
      </c>
      <c r="H183" s="147" t="b">
        <f t="shared" si="12"/>
        <v>0</v>
      </c>
      <c r="I183" s="135" t="s">
        <v>73</v>
      </c>
      <c r="J183" s="135" t="s">
        <v>38</v>
      </c>
      <c r="K183" s="135" t="s">
        <v>16</v>
      </c>
      <c r="L183" s="147">
        <f t="shared" si="13"/>
        <v>1</v>
      </c>
      <c r="M183" s="135" t="s">
        <v>35</v>
      </c>
      <c r="N183" s="135" t="s">
        <v>160</v>
      </c>
      <c r="O183" s="135" t="s">
        <v>90</v>
      </c>
      <c r="P183" s="147" t="b">
        <f t="shared" si="14"/>
        <v>0</v>
      </c>
      <c r="Q183" s="156" t="s">
        <v>50</v>
      </c>
      <c r="R183" s="155" t="s">
        <v>151</v>
      </c>
      <c r="S183" s="155" t="s">
        <v>52</v>
      </c>
      <c r="T183" s="147" t="b">
        <f t="shared" si="15"/>
        <v>0</v>
      </c>
      <c r="U183" s="159"/>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59"/>
      <c r="AT183" s="159"/>
      <c r="AU183" s="159"/>
      <c r="AV183" s="159"/>
      <c r="AW183" s="159"/>
      <c r="AX183" s="159"/>
      <c r="AY183" s="159"/>
      <c r="AZ183" s="159"/>
      <c r="BA183" s="159"/>
      <c r="BB183" s="159"/>
      <c r="BC183" s="159"/>
      <c r="BD183" s="159"/>
      <c r="BE183" s="159"/>
      <c r="BF183" s="159"/>
      <c r="BG183" s="159"/>
      <c r="BH183" s="159"/>
      <c r="BI183" s="159"/>
      <c r="BJ183" s="159"/>
      <c r="BK183" s="159"/>
      <c r="BL183" s="159"/>
      <c r="BM183" s="159"/>
      <c r="BN183" s="159"/>
      <c r="BO183" s="159"/>
      <c r="BP183" s="159"/>
      <c r="BQ183" s="159"/>
      <c r="BR183" s="159"/>
      <c r="BS183" s="159"/>
      <c r="BT183" s="159"/>
      <c r="BU183" s="159"/>
      <c r="BV183" s="159"/>
      <c r="BW183" s="159"/>
      <c r="BX183" s="159"/>
      <c r="BY183" s="159"/>
      <c r="BZ183" s="159"/>
      <c r="CA183" s="159"/>
      <c r="CB183" s="159"/>
      <c r="CC183" s="159"/>
      <c r="CD183" s="159"/>
      <c r="CE183" s="159"/>
      <c r="CF183" s="159"/>
      <c r="CG183" s="159"/>
      <c r="CH183" s="159"/>
      <c r="CI183" s="159"/>
      <c r="CJ183" s="159"/>
      <c r="CK183" s="159"/>
      <c r="CL183" s="159"/>
      <c r="CM183" s="159"/>
      <c r="CN183" s="159"/>
      <c r="CO183" s="159"/>
      <c r="CP183" s="159"/>
      <c r="CQ183" s="159"/>
      <c r="CR183" s="159"/>
      <c r="CS183" s="159"/>
      <c r="CT183" s="159"/>
      <c r="CU183" s="159"/>
      <c r="CV183" s="159"/>
      <c r="CW183" s="159"/>
      <c r="CX183" s="159"/>
      <c r="CY183" s="159"/>
      <c r="CZ183" s="159"/>
      <c r="DA183" s="159"/>
      <c r="DB183" s="159"/>
      <c r="DC183" s="159"/>
      <c r="DD183" s="159"/>
      <c r="DE183" s="159"/>
      <c r="DF183" s="159"/>
      <c r="DG183" s="159"/>
      <c r="DH183" s="159"/>
      <c r="DI183" s="159"/>
      <c r="DJ183" s="159"/>
      <c r="DK183" s="159"/>
      <c r="DL183" s="159"/>
      <c r="DM183" s="159"/>
      <c r="DN183" s="159"/>
      <c r="DO183" s="159"/>
      <c r="DP183" s="159"/>
      <c r="DQ183" s="159"/>
      <c r="DR183" s="159"/>
      <c r="DS183" s="159"/>
      <c r="DT183" s="159"/>
      <c r="DU183" s="159"/>
      <c r="DV183" s="159"/>
      <c r="DW183" s="159"/>
      <c r="DX183" s="159"/>
      <c r="DY183" s="159"/>
      <c r="DZ183" s="159"/>
      <c r="EA183" s="159"/>
      <c r="EB183" s="159"/>
      <c r="EC183" s="159"/>
      <c r="ED183" s="159"/>
      <c r="EE183" s="159"/>
      <c r="EF183" s="159"/>
      <c r="EG183" s="159"/>
      <c r="EH183" s="159"/>
      <c r="EI183" s="159"/>
      <c r="EJ183" s="159"/>
      <c r="EK183" s="159"/>
      <c r="EL183" s="159"/>
      <c r="EM183" s="159"/>
      <c r="EN183" s="159"/>
      <c r="EO183" s="159"/>
      <c r="EP183" s="159"/>
      <c r="EQ183" s="159"/>
      <c r="ER183" s="159"/>
      <c r="ES183" s="159"/>
      <c r="ET183" s="159"/>
      <c r="EU183" s="159"/>
      <c r="EV183" s="159"/>
      <c r="EW183" s="159"/>
      <c r="EX183" s="159"/>
      <c r="EY183" s="159"/>
      <c r="EZ183" s="159"/>
      <c r="FA183" s="159"/>
      <c r="FB183" s="159"/>
      <c r="FC183" s="159"/>
      <c r="FD183" s="159"/>
      <c r="FE183" s="159"/>
      <c r="FF183" s="159"/>
      <c r="FG183" s="159"/>
      <c r="FH183" s="159"/>
      <c r="FI183" s="159"/>
      <c r="FJ183" s="159"/>
      <c r="FK183" s="159"/>
      <c r="FL183" s="159"/>
      <c r="FM183" s="159"/>
      <c r="FN183" s="159"/>
      <c r="FO183" s="159"/>
      <c r="FP183" s="159"/>
      <c r="FQ183" s="159"/>
      <c r="FR183" s="159"/>
      <c r="FS183" s="159"/>
      <c r="FT183" s="159"/>
      <c r="FU183" s="159"/>
      <c r="FV183" s="159"/>
      <c r="FW183" s="159"/>
      <c r="FX183" s="159"/>
      <c r="FY183" s="159"/>
      <c r="FZ183" s="159"/>
      <c r="GA183" s="159"/>
      <c r="GB183" s="159"/>
      <c r="GC183" s="159"/>
      <c r="GD183" s="159"/>
      <c r="GE183" s="159"/>
      <c r="GF183" s="159"/>
      <c r="GG183" s="159"/>
      <c r="GH183" s="159"/>
      <c r="GI183" s="159"/>
      <c r="GJ183" s="159"/>
      <c r="GK183" s="159"/>
      <c r="GL183" s="159"/>
      <c r="GM183" s="159"/>
      <c r="GN183" s="159"/>
      <c r="GO183" s="159"/>
      <c r="GP183" s="159"/>
      <c r="GQ183" s="159"/>
      <c r="GR183" s="159"/>
      <c r="GS183" s="159"/>
      <c r="GT183" s="159"/>
      <c r="GU183" s="159"/>
      <c r="GV183" s="159"/>
      <c r="GW183" s="159"/>
      <c r="GX183" s="159"/>
      <c r="GY183" s="159"/>
      <c r="GZ183" s="159"/>
      <c r="HA183" s="159"/>
      <c r="HB183" s="159"/>
      <c r="HC183" s="159"/>
      <c r="HD183" s="159"/>
      <c r="HE183" s="159"/>
      <c r="HF183" s="159"/>
      <c r="HG183" s="159"/>
      <c r="HH183" s="159"/>
      <c r="HI183" s="159"/>
      <c r="HJ183" s="159"/>
      <c r="HK183" s="159"/>
      <c r="HL183" s="159"/>
      <c r="HM183" s="159"/>
      <c r="HN183" s="159"/>
      <c r="HO183" s="159"/>
      <c r="HP183" s="159"/>
      <c r="HQ183" s="159"/>
      <c r="HR183" s="159"/>
      <c r="HS183" s="159"/>
      <c r="HT183" s="159"/>
      <c r="HU183" s="159"/>
      <c r="HV183" s="159"/>
      <c r="HW183" s="159"/>
      <c r="HX183" s="159"/>
      <c r="HY183" s="159"/>
      <c r="HZ183" s="159"/>
      <c r="IA183" s="159"/>
      <c r="IB183" s="159"/>
      <c r="IC183" s="159"/>
      <c r="ID183" s="159"/>
      <c r="IE183" s="159"/>
      <c r="IF183" s="159"/>
      <c r="IG183" s="159"/>
      <c r="IH183" s="159"/>
      <c r="II183" s="159"/>
      <c r="IJ183" s="159"/>
      <c r="IK183" s="159"/>
      <c r="IL183" s="159"/>
      <c r="IM183" s="159"/>
      <c r="IN183" s="159"/>
      <c r="IO183" s="159"/>
      <c r="IP183" s="159"/>
      <c r="IQ183" s="159"/>
      <c r="IR183" s="159"/>
      <c r="IS183" s="159"/>
      <c r="IT183" s="159"/>
      <c r="IU183" s="159"/>
      <c r="IV183" s="159"/>
      <c r="IW183" s="159"/>
      <c r="IX183" s="159"/>
      <c r="IY183" s="159"/>
      <c r="IZ183" s="159"/>
      <c r="JA183" s="159"/>
      <c r="JB183" s="159"/>
      <c r="JC183" s="159"/>
      <c r="JD183" s="159"/>
      <c r="JE183" s="159"/>
      <c r="JF183" s="159"/>
      <c r="JG183" s="159"/>
      <c r="JH183" s="159"/>
      <c r="JI183" s="159"/>
      <c r="JJ183" s="159"/>
      <c r="JK183" s="159"/>
      <c r="JL183" s="159"/>
      <c r="JM183" s="159"/>
      <c r="JN183" s="159"/>
      <c r="JO183" s="159"/>
      <c r="JP183" s="159"/>
      <c r="JQ183" s="159"/>
      <c r="JR183" s="159"/>
      <c r="JS183" s="159"/>
      <c r="JT183" s="159"/>
      <c r="JU183" s="159"/>
      <c r="JV183" s="159"/>
      <c r="JW183" s="159"/>
      <c r="JX183" s="159"/>
      <c r="JY183" s="159"/>
      <c r="JZ183" s="159"/>
      <c r="KA183" s="159"/>
      <c r="KB183" s="159"/>
      <c r="KC183" s="159"/>
      <c r="KD183" s="159"/>
      <c r="KE183" s="159"/>
      <c r="KF183" s="159"/>
      <c r="KG183" s="159"/>
      <c r="KH183" s="159"/>
      <c r="KI183" s="159"/>
      <c r="KJ183" s="159"/>
      <c r="KK183" s="159"/>
      <c r="KL183" s="159"/>
      <c r="KM183" s="159"/>
      <c r="KN183" s="159"/>
      <c r="KO183" s="159"/>
      <c r="KP183" s="159"/>
      <c r="KQ183" s="159"/>
      <c r="KR183" s="159"/>
      <c r="KS183" s="159"/>
      <c r="KT183" s="159"/>
      <c r="KU183" s="159"/>
      <c r="KV183" s="159"/>
      <c r="KW183" s="159"/>
      <c r="KX183" s="159"/>
      <c r="KY183" s="159"/>
      <c r="KZ183" s="159"/>
      <c r="LA183" s="159"/>
      <c r="LB183" s="159"/>
      <c r="LC183" s="159"/>
      <c r="LD183" s="159"/>
      <c r="LE183" s="159"/>
      <c r="LF183" s="159"/>
      <c r="LG183" s="159"/>
      <c r="LH183" s="159"/>
      <c r="LI183" s="159"/>
      <c r="LJ183" s="159"/>
      <c r="LK183" s="159"/>
      <c r="LL183" s="159"/>
      <c r="LM183" s="159"/>
      <c r="LN183" s="159"/>
      <c r="LO183" s="159"/>
      <c r="LP183" s="159"/>
      <c r="LQ183" s="159"/>
      <c r="LR183" s="159"/>
      <c r="LS183" s="159"/>
      <c r="LT183" s="159"/>
      <c r="LU183" s="159"/>
      <c r="LV183" s="159"/>
      <c r="LW183" s="159"/>
      <c r="LX183" s="159"/>
      <c r="LY183" s="159"/>
      <c r="LZ183" s="159"/>
      <c r="MA183" s="159"/>
      <c r="MB183" s="159"/>
      <c r="MC183" s="159"/>
      <c r="MD183" s="159"/>
      <c r="ME183" s="159"/>
      <c r="MF183" s="159"/>
      <c r="MG183" s="159"/>
      <c r="MH183" s="159"/>
      <c r="MI183" s="159"/>
      <c r="MJ183" s="159"/>
      <c r="MK183" s="159"/>
      <c r="ML183" s="159"/>
      <c r="MM183" s="159"/>
      <c r="MN183" s="159"/>
      <c r="MO183" s="159"/>
      <c r="MP183" s="159"/>
      <c r="MQ183" s="159"/>
      <c r="MR183" s="159"/>
      <c r="MS183" s="159"/>
      <c r="MT183" s="159"/>
      <c r="MU183" s="159"/>
      <c r="MV183" s="159"/>
      <c r="MW183" s="159"/>
      <c r="MX183" s="159"/>
      <c r="MY183" s="159"/>
      <c r="MZ183" s="159"/>
      <c r="NA183" s="159"/>
      <c r="NB183" s="159"/>
      <c r="NC183" s="159"/>
      <c r="ND183" s="159"/>
      <c r="NE183" s="159"/>
      <c r="NF183" s="159"/>
      <c r="NG183" s="159"/>
      <c r="NH183" s="159"/>
      <c r="NI183" s="159"/>
      <c r="NJ183" s="159"/>
      <c r="NK183" s="159"/>
      <c r="NL183" s="159"/>
      <c r="NM183" s="159"/>
      <c r="NN183" s="159"/>
      <c r="NO183" s="159"/>
      <c r="NP183" s="159"/>
      <c r="NQ183" s="159"/>
      <c r="NR183" s="159"/>
      <c r="NS183" s="159"/>
      <c r="NT183" s="159"/>
      <c r="NU183" s="159"/>
      <c r="NV183" s="159"/>
      <c r="NW183" s="159"/>
      <c r="NX183" s="159"/>
      <c r="NY183" s="159"/>
      <c r="NZ183" s="159"/>
      <c r="OA183" s="159"/>
      <c r="OB183" s="159"/>
      <c r="OC183" s="159"/>
      <c r="OD183" s="159"/>
      <c r="OE183" s="159"/>
      <c r="OF183" s="159"/>
      <c r="OG183" s="159"/>
      <c r="OH183" s="159"/>
      <c r="OI183" s="159"/>
      <c r="OJ183" s="159"/>
      <c r="OK183" s="159"/>
      <c r="OL183" s="159"/>
      <c r="OM183" s="159"/>
      <c r="ON183" s="159"/>
      <c r="OO183" s="159"/>
      <c r="OP183" s="159"/>
      <c r="OQ183" s="159"/>
      <c r="OR183" s="159"/>
      <c r="OS183" s="159"/>
      <c r="OT183" s="159"/>
      <c r="OU183" s="159"/>
      <c r="OV183" s="159"/>
      <c r="OW183" s="159"/>
      <c r="OX183" s="159"/>
      <c r="OY183" s="159"/>
      <c r="OZ183" s="159"/>
      <c r="PA183" s="159"/>
      <c r="PB183" s="159"/>
      <c r="PC183" s="159"/>
      <c r="PD183" s="159"/>
      <c r="PE183" s="159"/>
      <c r="PF183" s="159"/>
      <c r="PG183" s="159"/>
      <c r="PH183" s="159"/>
      <c r="PI183" s="159"/>
      <c r="PJ183" s="159"/>
      <c r="PK183" s="159"/>
      <c r="PL183" s="159"/>
      <c r="PM183" s="159"/>
      <c r="PN183" s="159"/>
      <c r="PO183" s="159"/>
      <c r="PP183" s="159"/>
      <c r="PQ183" s="159"/>
      <c r="PR183" s="159"/>
      <c r="PS183" s="159"/>
      <c r="PT183" s="159"/>
      <c r="PU183" s="159"/>
      <c r="PV183" s="159"/>
      <c r="PW183" s="159"/>
      <c r="PX183" s="159"/>
      <c r="PY183" s="159"/>
      <c r="PZ183" s="159"/>
      <c r="QA183" s="159"/>
      <c r="QB183" s="159"/>
      <c r="QC183" s="159"/>
      <c r="QD183" s="159"/>
      <c r="QE183" s="159"/>
      <c r="QF183" s="159"/>
      <c r="QG183" s="159"/>
      <c r="QH183" s="159"/>
      <c r="QI183" s="159"/>
      <c r="QJ183" s="159"/>
      <c r="QK183" s="159"/>
      <c r="QL183" s="159"/>
      <c r="QM183" s="159"/>
      <c r="QN183" s="159"/>
      <c r="QO183" s="159"/>
      <c r="QP183" s="159"/>
      <c r="QQ183" s="159"/>
      <c r="QR183" s="159"/>
      <c r="QS183" s="159"/>
      <c r="QT183" s="159"/>
      <c r="QU183" s="159"/>
      <c r="QV183" s="159"/>
      <c r="QW183" s="159"/>
      <c r="QX183" s="159"/>
      <c r="QY183" s="159"/>
      <c r="QZ183" s="159"/>
      <c r="RA183" s="159"/>
      <c r="RB183" s="159"/>
      <c r="RC183" s="159"/>
      <c r="RD183" s="159"/>
      <c r="RE183" s="159"/>
      <c r="RF183" s="159"/>
      <c r="RG183" s="159"/>
      <c r="RH183" s="159"/>
      <c r="RI183" s="159"/>
      <c r="RJ183" s="159"/>
      <c r="RK183" s="159"/>
      <c r="RL183" s="159"/>
      <c r="RM183" s="159"/>
      <c r="RN183" s="159"/>
      <c r="RO183" s="159"/>
      <c r="RP183" s="159"/>
      <c r="RQ183" s="159"/>
      <c r="RR183" s="159"/>
      <c r="RS183" s="159"/>
      <c r="RT183" s="159"/>
      <c r="RU183" s="159"/>
      <c r="RV183" s="159"/>
      <c r="RW183" s="159"/>
      <c r="RX183" s="159"/>
      <c r="RY183" s="159"/>
      <c r="RZ183" s="159"/>
      <c r="SA183" s="159"/>
      <c r="SB183" s="159"/>
      <c r="SC183" s="159"/>
      <c r="SD183" s="159"/>
      <c r="SE183" s="159"/>
      <c r="SF183" s="159"/>
      <c r="SG183" s="159"/>
      <c r="SH183" s="159"/>
      <c r="SI183" s="159"/>
      <c r="SJ183" s="159"/>
      <c r="SK183" s="159"/>
      <c r="SL183" s="159"/>
      <c r="SM183" s="159"/>
      <c r="SN183" s="159"/>
      <c r="SO183" s="159"/>
      <c r="SP183" s="159"/>
      <c r="SQ183" s="159"/>
      <c r="SR183" s="159"/>
      <c r="SS183" s="159"/>
      <c r="ST183" s="159"/>
      <c r="SU183" s="159"/>
      <c r="SV183" s="159"/>
      <c r="SW183" s="159"/>
      <c r="SX183" s="159"/>
      <c r="SY183" s="159"/>
      <c r="SZ183" s="159"/>
      <c r="TA183" s="159"/>
      <c r="TB183" s="159"/>
      <c r="TC183" s="159"/>
      <c r="TD183" s="159"/>
      <c r="TE183" s="159"/>
      <c r="TF183" s="159"/>
      <c r="TG183" s="159"/>
      <c r="TH183" s="159"/>
      <c r="TI183" s="159"/>
      <c r="TJ183" s="159"/>
      <c r="TK183" s="159"/>
      <c r="TL183" s="159"/>
      <c r="TM183" s="159"/>
      <c r="TN183" s="159"/>
      <c r="TO183" s="159"/>
      <c r="TP183" s="159"/>
      <c r="TQ183" s="159"/>
      <c r="TR183" s="159"/>
      <c r="TS183" s="159"/>
      <c r="TT183" s="159"/>
      <c r="TU183" s="159"/>
      <c r="TV183" s="159"/>
      <c r="TW183" s="159"/>
      <c r="TX183" s="159"/>
      <c r="TY183" s="159"/>
      <c r="TZ183" s="159"/>
      <c r="UA183" s="159"/>
      <c r="UB183" s="159"/>
      <c r="UC183" s="159"/>
      <c r="UD183" s="159"/>
      <c r="UE183" s="159"/>
      <c r="UF183" s="159"/>
      <c r="UG183" s="159"/>
      <c r="UH183" s="159"/>
      <c r="UI183" s="159"/>
      <c r="UJ183" s="159"/>
      <c r="UK183" s="159"/>
      <c r="UL183" s="159"/>
      <c r="UM183" s="159"/>
      <c r="UN183" s="159"/>
      <c r="UO183" s="159"/>
      <c r="UP183" s="159"/>
      <c r="UQ183" s="159"/>
      <c r="UR183" s="159"/>
      <c r="US183" s="159"/>
      <c r="UT183" s="159"/>
      <c r="UU183" s="159"/>
      <c r="UV183" s="159"/>
      <c r="UW183" s="159"/>
      <c r="UX183" s="159"/>
      <c r="UY183" s="159"/>
      <c r="UZ183" s="159"/>
      <c r="VA183" s="159"/>
      <c r="VB183" s="159"/>
      <c r="VC183" s="159"/>
      <c r="VD183" s="159"/>
      <c r="VE183" s="159"/>
      <c r="VF183" s="159"/>
      <c r="VG183" s="159"/>
      <c r="VH183" s="159"/>
      <c r="VI183" s="159"/>
      <c r="VJ183" s="159"/>
      <c r="VK183" s="159"/>
      <c r="VL183" s="159"/>
      <c r="VM183" s="159"/>
      <c r="VN183" s="159"/>
      <c r="VO183" s="159"/>
      <c r="VP183" s="159"/>
      <c r="VQ183" s="159"/>
      <c r="VR183" s="159"/>
      <c r="VS183" s="159"/>
      <c r="VT183" s="159"/>
      <c r="VU183" s="159"/>
      <c r="VV183" s="159"/>
      <c r="VW183" s="159"/>
      <c r="VX183" s="159"/>
      <c r="VY183" s="159"/>
      <c r="VZ183" s="159"/>
      <c r="WA183" s="159"/>
      <c r="WB183" s="159"/>
      <c r="WC183" s="159"/>
      <c r="WD183" s="159"/>
      <c r="WE183" s="159"/>
      <c r="WF183" s="159"/>
      <c r="WG183" s="159"/>
      <c r="WH183" s="159"/>
      <c r="WI183" s="159"/>
      <c r="WJ183" s="159"/>
      <c r="WK183" s="159"/>
      <c r="WL183" s="159"/>
      <c r="WM183" s="159"/>
      <c r="WN183" s="159"/>
      <c r="WO183" s="159"/>
      <c r="WP183" s="159"/>
      <c r="WQ183" s="159"/>
      <c r="WR183" s="159"/>
      <c r="WS183" s="159"/>
      <c r="WT183" s="159"/>
      <c r="WU183" s="159"/>
      <c r="WV183" s="159"/>
      <c r="WW183" s="159"/>
      <c r="WX183" s="159"/>
      <c r="WY183" s="159"/>
      <c r="WZ183" s="159"/>
      <c r="XA183" s="159"/>
      <c r="XB183" s="159"/>
      <c r="XC183" s="159"/>
      <c r="XD183" s="159"/>
      <c r="XE183" s="159"/>
      <c r="XF183" s="159"/>
      <c r="XG183" s="159"/>
      <c r="XH183" s="159"/>
      <c r="XI183" s="159"/>
      <c r="XJ183" s="159"/>
      <c r="XK183" s="159"/>
      <c r="XL183" s="159"/>
      <c r="XM183" s="159"/>
      <c r="XN183" s="159"/>
      <c r="XO183" s="159"/>
      <c r="XP183" s="159"/>
      <c r="XQ183" s="159"/>
      <c r="XR183" s="159"/>
      <c r="XS183" s="159"/>
      <c r="XT183" s="159"/>
      <c r="XU183" s="159"/>
      <c r="XV183" s="159"/>
      <c r="XW183" s="159"/>
      <c r="XX183" s="159"/>
      <c r="XY183" s="159"/>
      <c r="XZ183" s="159"/>
      <c r="YA183" s="159"/>
      <c r="YB183" s="159"/>
      <c r="YC183" s="159"/>
      <c r="YD183" s="159"/>
      <c r="YE183" s="159"/>
      <c r="YF183" s="159"/>
      <c r="YG183" s="159"/>
      <c r="YH183" s="159"/>
      <c r="YI183" s="159"/>
      <c r="YJ183" s="159"/>
      <c r="YK183" s="159"/>
      <c r="YL183" s="159"/>
      <c r="YM183" s="159"/>
      <c r="YN183" s="159"/>
      <c r="YO183" s="159"/>
      <c r="YP183" s="159"/>
      <c r="YQ183" s="159"/>
      <c r="YR183" s="159"/>
      <c r="YS183" s="159"/>
      <c r="YT183" s="159"/>
      <c r="YU183" s="159"/>
      <c r="YV183" s="159"/>
      <c r="YW183" s="159"/>
      <c r="YX183" s="159"/>
      <c r="YY183" s="159"/>
      <c r="YZ183" s="159"/>
      <c r="ZA183" s="159"/>
      <c r="ZB183" s="159"/>
      <c r="ZC183" s="159"/>
      <c r="ZD183" s="159"/>
      <c r="ZE183" s="159"/>
      <c r="ZF183" s="159"/>
      <c r="ZG183" s="159"/>
      <c r="ZH183" s="159"/>
      <c r="ZI183" s="159"/>
      <c r="ZJ183" s="159"/>
      <c r="ZK183" s="159"/>
      <c r="ZL183" s="159"/>
      <c r="ZM183" s="159"/>
      <c r="ZN183" s="159"/>
      <c r="ZO183" s="159"/>
      <c r="ZP183" s="159"/>
      <c r="ZQ183" s="159"/>
      <c r="ZR183" s="159"/>
      <c r="ZS183" s="159"/>
      <c r="ZT183" s="159"/>
      <c r="ZU183" s="159"/>
      <c r="ZV183" s="159"/>
      <c r="ZW183" s="159"/>
      <c r="ZX183" s="159"/>
      <c r="ZY183" s="159"/>
      <c r="ZZ183" s="159"/>
      <c r="AAA183" s="159"/>
      <c r="AAB183" s="159"/>
      <c r="AAC183" s="159"/>
      <c r="AAD183" s="159"/>
      <c r="AAE183" s="159"/>
      <c r="AAF183" s="159"/>
      <c r="AAG183" s="159"/>
      <c r="AAH183" s="159"/>
      <c r="AAI183" s="159"/>
      <c r="AAJ183" s="159"/>
      <c r="AAK183" s="159"/>
      <c r="AAL183" s="159"/>
      <c r="AAM183" s="159"/>
      <c r="AAN183" s="159"/>
      <c r="AAO183" s="159"/>
      <c r="AAP183" s="159"/>
      <c r="AAQ183" s="159"/>
      <c r="AAR183" s="159"/>
      <c r="AAS183" s="159"/>
      <c r="AAT183" s="159"/>
      <c r="AAU183" s="159"/>
      <c r="AAV183" s="159"/>
      <c r="AAW183" s="159"/>
      <c r="AAX183" s="159"/>
      <c r="AAY183" s="159"/>
      <c r="AAZ183" s="159"/>
      <c r="ABA183" s="159"/>
      <c r="ABB183" s="159"/>
      <c r="ABC183" s="159"/>
      <c r="ABD183" s="159"/>
      <c r="ABE183" s="159"/>
      <c r="ABF183" s="159"/>
      <c r="ABG183" s="159"/>
      <c r="ABH183" s="159"/>
      <c r="ABI183" s="159"/>
      <c r="ABJ183" s="159"/>
      <c r="ABK183" s="159"/>
      <c r="ABL183" s="159"/>
      <c r="ABM183" s="159"/>
      <c r="ABN183" s="159"/>
      <c r="ABO183" s="159"/>
      <c r="ABP183" s="159"/>
      <c r="ABQ183" s="159"/>
      <c r="ABR183" s="159"/>
      <c r="ABS183" s="159"/>
      <c r="ABT183" s="159"/>
      <c r="ABU183" s="159"/>
      <c r="ABV183" s="159"/>
      <c r="ABW183" s="159"/>
      <c r="ABX183" s="159"/>
      <c r="ABY183" s="159"/>
      <c r="ABZ183" s="159"/>
      <c r="ACA183" s="159"/>
      <c r="ACB183" s="159"/>
      <c r="ACC183" s="159"/>
      <c r="ACD183" s="159"/>
      <c r="ACE183" s="159"/>
      <c r="ACF183" s="159"/>
      <c r="ACG183" s="159"/>
      <c r="ACH183" s="159"/>
      <c r="ACI183" s="159"/>
      <c r="ACJ183" s="159"/>
      <c r="ACK183" s="159"/>
      <c r="ACL183" s="159"/>
      <c r="ACM183" s="159"/>
      <c r="ACN183" s="159"/>
      <c r="ACO183" s="159"/>
      <c r="ACP183" s="159"/>
      <c r="ACQ183" s="159"/>
      <c r="ACR183" s="159"/>
      <c r="ACS183" s="159"/>
      <c r="ACT183" s="159"/>
      <c r="ACU183" s="159"/>
      <c r="ACV183" s="159"/>
      <c r="ACW183" s="159"/>
      <c r="ACX183" s="159"/>
      <c r="ACY183" s="159"/>
      <c r="ACZ183" s="159"/>
      <c r="ADA183" s="159"/>
      <c r="ADB183" s="159"/>
      <c r="ADC183" s="159"/>
      <c r="ADD183" s="159"/>
      <c r="ADE183" s="159"/>
      <c r="ADF183" s="159"/>
      <c r="ADG183" s="159"/>
      <c r="ADH183" s="159"/>
      <c r="ADI183" s="159"/>
      <c r="ADJ183" s="159"/>
      <c r="ADK183" s="159"/>
      <c r="ADL183" s="159"/>
      <c r="ADM183" s="159"/>
      <c r="ADN183" s="159"/>
      <c r="ADO183" s="159"/>
      <c r="ADP183" s="159"/>
      <c r="ADQ183" s="159"/>
      <c r="ADR183" s="159"/>
      <c r="ADS183" s="159"/>
      <c r="ADT183" s="159"/>
      <c r="ADU183" s="159"/>
      <c r="ADV183" s="159"/>
      <c r="ADW183" s="159"/>
      <c r="ADX183" s="159"/>
      <c r="ADY183" s="159"/>
      <c r="ADZ183" s="159"/>
      <c r="AEA183" s="159"/>
      <c r="AEB183" s="159"/>
      <c r="AEC183" s="159"/>
      <c r="AED183" s="159"/>
      <c r="AEE183" s="159"/>
      <c r="AEF183" s="159"/>
      <c r="AEG183" s="159"/>
      <c r="AEH183" s="159"/>
      <c r="AEI183" s="159"/>
      <c r="AEJ183" s="159"/>
      <c r="AEK183" s="159"/>
      <c r="AEL183" s="159"/>
      <c r="AEM183" s="159"/>
      <c r="AEN183" s="159"/>
      <c r="AEO183" s="159"/>
      <c r="AEP183" s="159"/>
      <c r="AEQ183" s="159"/>
      <c r="AER183" s="159"/>
      <c r="AES183" s="159"/>
      <c r="AET183" s="159"/>
      <c r="AEU183" s="159"/>
      <c r="AEV183" s="159"/>
      <c r="AEW183" s="159"/>
      <c r="AEX183" s="159"/>
      <c r="AEY183" s="159"/>
      <c r="AEZ183" s="159"/>
      <c r="AFA183" s="159"/>
      <c r="AFB183" s="159"/>
      <c r="AFC183" s="159"/>
      <c r="AFD183" s="159"/>
      <c r="AFE183" s="159"/>
      <c r="AFF183" s="159"/>
      <c r="AFG183" s="159"/>
      <c r="AFH183" s="159"/>
      <c r="AFI183" s="159"/>
      <c r="AFJ183" s="159"/>
      <c r="AFK183" s="159"/>
      <c r="AFL183" s="159"/>
      <c r="AFM183" s="159"/>
      <c r="AFN183" s="159"/>
      <c r="AFO183" s="159"/>
      <c r="AFP183" s="159"/>
      <c r="AFQ183" s="159"/>
      <c r="AFR183" s="159"/>
      <c r="AFS183" s="159"/>
      <c r="AFT183" s="159"/>
      <c r="AFU183" s="159"/>
      <c r="AFV183" s="159"/>
      <c r="AFW183" s="159"/>
      <c r="AFX183" s="159"/>
      <c r="AFY183" s="159"/>
      <c r="AFZ183" s="159"/>
      <c r="AGA183" s="159"/>
      <c r="AGB183" s="159"/>
      <c r="AGC183" s="159"/>
      <c r="AGD183" s="159"/>
      <c r="AGE183" s="159"/>
      <c r="AGF183" s="159"/>
      <c r="AGG183" s="159"/>
      <c r="AGH183" s="159"/>
      <c r="AGI183" s="159"/>
      <c r="AGJ183" s="159"/>
      <c r="AGK183" s="159"/>
      <c r="AGL183" s="159"/>
      <c r="AGM183" s="159"/>
      <c r="AGN183" s="159"/>
      <c r="AGO183" s="159"/>
      <c r="AGP183" s="159"/>
      <c r="AGQ183" s="159"/>
      <c r="AGR183" s="159"/>
      <c r="AGS183" s="159"/>
      <c r="AGT183" s="159"/>
      <c r="AGU183" s="159"/>
      <c r="AGV183" s="159"/>
      <c r="AGW183" s="159"/>
      <c r="AGX183" s="159"/>
      <c r="AGY183" s="159"/>
      <c r="AGZ183" s="159"/>
      <c r="AHA183" s="159"/>
      <c r="AHB183" s="159"/>
      <c r="AHC183" s="159"/>
      <c r="AHD183" s="159"/>
      <c r="AHE183" s="159"/>
      <c r="AHF183" s="159"/>
      <c r="AHG183" s="159"/>
      <c r="AHH183" s="159"/>
      <c r="AHI183" s="159"/>
      <c r="AHJ183" s="159"/>
      <c r="AHK183" s="159"/>
      <c r="AHL183" s="159"/>
      <c r="AHM183" s="159"/>
      <c r="AHN183" s="159"/>
      <c r="AHO183" s="159"/>
      <c r="AHP183" s="159"/>
      <c r="AHQ183" s="159"/>
      <c r="AHR183" s="159"/>
      <c r="AHS183" s="159"/>
      <c r="AHT183" s="159"/>
      <c r="AHU183" s="159"/>
      <c r="AHV183" s="159"/>
      <c r="AHW183" s="159"/>
      <c r="AHX183" s="159"/>
      <c r="AHY183" s="159"/>
      <c r="AHZ183" s="159"/>
      <c r="AIA183" s="159"/>
      <c r="AIB183" s="159"/>
      <c r="AIC183" s="159"/>
      <c r="AID183" s="159"/>
      <c r="AIE183" s="159"/>
      <c r="AIF183" s="159"/>
      <c r="AIG183" s="159"/>
      <c r="AIH183" s="159"/>
      <c r="AII183" s="159"/>
      <c r="AIJ183" s="159"/>
      <c r="AIK183" s="159"/>
      <c r="AIL183" s="159"/>
      <c r="AIM183" s="159"/>
      <c r="AIN183" s="159"/>
      <c r="AIO183" s="159"/>
      <c r="AIP183" s="159"/>
      <c r="AIQ183" s="159"/>
      <c r="AIR183" s="159"/>
      <c r="AIS183" s="159"/>
      <c r="AIT183" s="159"/>
      <c r="AIU183" s="159"/>
      <c r="AIV183" s="159"/>
      <c r="AIW183" s="159"/>
      <c r="AIX183" s="159"/>
      <c r="AIY183" s="159"/>
      <c r="AIZ183" s="159"/>
      <c r="AJA183" s="159"/>
      <c r="AJB183" s="159"/>
      <c r="AJC183" s="159"/>
      <c r="AJD183" s="159"/>
      <c r="AJE183" s="159"/>
      <c r="AJF183" s="159"/>
      <c r="AJG183" s="159"/>
      <c r="AJH183" s="159"/>
      <c r="AJI183" s="159"/>
      <c r="AJJ183" s="159"/>
      <c r="AJK183" s="159"/>
      <c r="AJL183" s="159"/>
      <c r="AJM183" s="159"/>
      <c r="AJN183" s="159"/>
      <c r="AJO183" s="159"/>
      <c r="AJP183" s="159"/>
      <c r="AJQ183" s="159"/>
      <c r="AJR183" s="159"/>
      <c r="AJS183" s="159"/>
      <c r="AJT183" s="159"/>
      <c r="AJU183" s="159"/>
      <c r="AJV183" s="159"/>
      <c r="AJW183" s="159"/>
      <c r="AJX183" s="159"/>
      <c r="AJY183" s="159"/>
      <c r="AJZ183" s="159"/>
      <c r="AKA183" s="159"/>
      <c r="AKB183" s="159"/>
      <c r="AKC183" s="159"/>
      <c r="AKD183" s="159"/>
      <c r="AKE183" s="159"/>
      <c r="AKF183" s="159"/>
      <c r="AKG183" s="159"/>
      <c r="AKH183" s="159"/>
      <c r="AKI183" s="159"/>
      <c r="AKJ183" s="159"/>
      <c r="AKK183" s="159"/>
      <c r="AKL183" s="159"/>
      <c r="AKM183" s="159"/>
      <c r="AKN183" s="159"/>
      <c r="AKO183" s="159"/>
      <c r="AKP183" s="159"/>
      <c r="AKQ183" s="159"/>
      <c r="AKR183" s="159"/>
      <c r="AKS183" s="159"/>
      <c r="AKT183" s="159"/>
      <c r="AKU183" s="159"/>
      <c r="AKV183" s="159"/>
      <c r="AKW183" s="159"/>
      <c r="AKX183" s="159"/>
      <c r="AKY183" s="159"/>
      <c r="AKZ183" s="159"/>
      <c r="ALA183" s="159"/>
      <c r="ALB183" s="159"/>
      <c r="ALC183" s="159"/>
      <c r="ALD183" s="159"/>
      <c r="ALE183" s="159"/>
      <c r="ALF183" s="159"/>
      <c r="ALG183" s="159"/>
      <c r="ALH183" s="159"/>
      <c r="ALI183" s="159"/>
      <c r="ALJ183" s="159"/>
      <c r="ALK183" s="159"/>
      <c r="ALL183" s="159"/>
      <c r="ALM183" s="159"/>
      <c r="ALN183" s="159"/>
      <c r="ALO183" s="159"/>
      <c r="ALP183" s="159"/>
      <c r="ALQ183" s="159"/>
      <c r="ALR183" s="159"/>
      <c r="ALS183" s="159"/>
      <c r="ALT183" s="159"/>
      <c r="ALU183" s="159"/>
      <c r="ALV183" s="159"/>
      <c r="ALW183" s="159"/>
      <c r="ALX183" s="159"/>
      <c r="ALY183" s="159"/>
      <c r="ALZ183" s="159"/>
      <c r="AMA183" s="159"/>
      <c r="AMB183" s="159"/>
      <c r="AMC183" s="159"/>
      <c r="AMD183" s="159"/>
      <c r="AME183" s="159"/>
      <c r="AMF183" s="159"/>
      <c r="AMG183" s="159"/>
      <c r="AMH183" s="159"/>
      <c r="AMI183" s="159"/>
      <c r="AMJ183" s="159"/>
      <c r="AMK183" s="159"/>
      <c r="AML183" s="159"/>
      <c r="AMM183" s="159"/>
      <c r="AMN183" s="159"/>
      <c r="AMO183" s="159"/>
    </row>
    <row r="184" spans="1:1029" s="161" customFormat="1" ht="26.25" thickTop="1" x14ac:dyDescent="0.25">
      <c r="A184" s="170">
        <v>46279</v>
      </c>
      <c r="B184" s="100" t="s">
        <v>42</v>
      </c>
      <c r="C184" s="100" t="s">
        <v>57</v>
      </c>
      <c r="D184" s="171" t="s">
        <v>27</v>
      </c>
      <c r="E184" s="122" t="s">
        <v>19</v>
      </c>
      <c r="F184" s="123" t="s">
        <v>130</v>
      </c>
      <c r="G184" s="123" t="s">
        <v>21</v>
      </c>
      <c r="H184" s="143" t="b">
        <f t="shared" si="12"/>
        <v>0</v>
      </c>
      <c r="I184" s="122" t="s">
        <v>22</v>
      </c>
      <c r="J184" s="123" t="s">
        <v>51</v>
      </c>
      <c r="K184" s="123" t="s">
        <v>21</v>
      </c>
      <c r="L184" s="143" t="b">
        <f t="shared" si="13"/>
        <v>0</v>
      </c>
      <c r="M184" s="123" t="s">
        <v>19</v>
      </c>
      <c r="N184" s="123" t="s">
        <v>130</v>
      </c>
      <c r="O184" s="123" t="s">
        <v>21</v>
      </c>
      <c r="P184" s="143" t="b">
        <f t="shared" si="14"/>
        <v>0</v>
      </c>
      <c r="Q184" s="123" t="s">
        <v>35</v>
      </c>
      <c r="R184" s="100" t="s">
        <v>130</v>
      </c>
      <c r="S184" s="100" t="s">
        <v>21</v>
      </c>
      <c r="T184" s="143" t="b">
        <f t="shared" si="15"/>
        <v>0</v>
      </c>
      <c r="U184" s="159"/>
      <c r="V184" s="159"/>
      <c r="W184" s="159"/>
      <c r="X184" s="159"/>
      <c r="Y184" s="159"/>
      <c r="Z184" s="159"/>
      <c r="AA184" s="159"/>
      <c r="AB184" s="159"/>
      <c r="AC184" s="159"/>
      <c r="AD184" s="159"/>
      <c r="AE184" s="159"/>
      <c r="AF184" s="159"/>
      <c r="AG184" s="159"/>
      <c r="AH184" s="159"/>
      <c r="AI184" s="159"/>
      <c r="AJ184" s="159"/>
      <c r="AK184" s="159"/>
      <c r="AL184" s="159"/>
      <c r="AM184" s="159"/>
      <c r="AN184" s="159"/>
      <c r="AO184" s="159"/>
      <c r="AP184" s="159"/>
      <c r="AQ184" s="159"/>
      <c r="AR184" s="159"/>
      <c r="AS184" s="159"/>
      <c r="AT184" s="159"/>
      <c r="AU184" s="159"/>
      <c r="AV184" s="159"/>
      <c r="AW184" s="159"/>
      <c r="AX184" s="159"/>
      <c r="AY184" s="159"/>
      <c r="AZ184" s="159"/>
      <c r="BA184" s="159"/>
      <c r="BB184" s="159"/>
      <c r="BC184" s="159"/>
      <c r="BD184" s="159"/>
      <c r="BE184" s="159"/>
      <c r="BF184" s="159"/>
      <c r="BG184" s="159"/>
      <c r="BH184" s="159"/>
      <c r="BI184" s="159"/>
      <c r="BJ184" s="159"/>
      <c r="BK184" s="159"/>
      <c r="BL184" s="159"/>
      <c r="BM184" s="159"/>
      <c r="BN184" s="159"/>
      <c r="BO184" s="159"/>
      <c r="BP184" s="159"/>
      <c r="BQ184" s="159"/>
      <c r="BR184" s="159"/>
      <c r="BS184" s="159"/>
      <c r="BT184" s="159"/>
      <c r="BU184" s="159"/>
      <c r="BV184" s="159"/>
      <c r="BW184" s="159"/>
      <c r="BX184" s="159"/>
      <c r="BY184" s="159"/>
      <c r="BZ184" s="159"/>
      <c r="CA184" s="159"/>
      <c r="CB184" s="159"/>
      <c r="CC184" s="159"/>
      <c r="CD184" s="159"/>
      <c r="CE184" s="159"/>
      <c r="CF184" s="159"/>
      <c r="CG184" s="159"/>
      <c r="CH184" s="159"/>
      <c r="CI184" s="159"/>
      <c r="CJ184" s="159"/>
      <c r="CK184" s="159"/>
      <c r="CL184" s="159"/>
      <c r="CM184" s="159"/>
      <c r="CN184" s="159"/>
      <c r="CO184" s="159"/>
      <c r="CP184" s="159"/>
      <c r="CQ184" s="159"/>
      <c r="CR184" s="159"/>
      <c r="CS184" s="159"/>
      <c r="CT184" s="159"/>
      <c r="CU184" s="159"/>
      <c r="CV184" s="159"/>
      <c r="CW184" s="159"/>
      <c r="CX184" s="159"/>
      <c r="CY184" s="159"/>
      <c r="CZ184" s="159"/>
      <c r="DA184" s="159"/>
      <c r="DB184" s="159"/>
      <c r="DC184" s="159"/>
      <c r="DD184" s="159"/>
      <c r="DE184" s="159"/>
      <c r="DF184" s="159"/>
      <c r="DG184" s="159"/>
      <c r="DH184" s="159"/>
      <c r="DI184" s="159"/>
      <c r="DJ184" s="159"/>
      <c r="DK184" s="159"/>
      <c r="DL184" s="159"/>
      <c r="DM184" s="159"/>
      <c r="DN184" s="159"/>
      <c r="DO184" s="159"/>
      <c r="DP184" s="159"/>
      <c r="DQ184" s="159"/>
      <c r="DR184" s="159"/>
      <c r="DS184" s="159"/>
      <c r="DT184" s="159"/>
      <c r="DU184" s="159"/>
      <c r="DV184" s="159"/>
      <c r="DW184" s="159"/>
      <c r="DX184" s="159"/>
      <c r="DY184" s="159"/>
      <c r="DZ184" s="159"/>
      <c r="EA184" s="159"/>
      <c r="EB184" s="159"/>
      <c r="EC184" s="159"/>
      <c r="ED184" s="159"/>
      <c r="EE184" s="159"/>
      <c r="EF184" s="159"/>
      <c r="EG184" s="159"/>
      <c r="EH184" s="159"/>
      <c r="EI184" s="159"/>
      <c r="EJ184" s="159"/>
      <c r="EK184" s="159"/>
      <c r="EL184" s="159"/>
      <c r="EM184" s="159"/>
      <c r="EN184" s="159"/>
      <c r="EO184" s="159"/>
      <c r="EP184" s="159"/>
      <c r="EQ184" s="159"/>
      <c r="ER184" s="159"/>
      <c r="ES184" s="159"/>
      <c r="ET184" s="159"/>
      <c r="EU184" s="159"/>
      <c r="EV184" s="159"/>
      <c r="EW184" s="159"/>
      <c r="EX184" s="159"/>
      <c r="EY184" s="159"/>
      <c r="EZ184" s="159"/>
      <c r="FA184" s="159"/>
      <c r="FB184" s="159"/>
      <c r="FC184" s="159"/>
      <c r="FD184" s="159"/>
      <c r="FE184" s="159"/>
      <c r="FF184" s="159"/>
      <c r="FG184" s="159"/>
      <c r="FH184" s="159"/>
      <c r="FI184" s="159"/>
      <c r="FJ184" s="159"/>
      <c r="FK184" s="159"/>
      <c r="FL184" s="159"/>
      <c r="FM184" s="159"/>
      <c r="FN184" s="159"/>
      <c r="FO184" s="159"/>
      <c r="FP184" s="159"/>
      <c r="FQ184" s="159"/>
      <c r="FR184" s="159"/>
      <c r="FS184" s="159"/>
      <c r="FT184" s="159"/>
      <c r="FU184" s="159"/>
      <c r="FV184" s="159"/>
      <c r="FW184" s="159"/>
      <c r="FX184" s="159"/>
      <c r="FY184" s="159"/>
      <c r="FZ184" s="159"/>
      <c r="GA184" s="159"/>
      <c r="GB184" s="159"/>
      <c r="GC184" s="159"/>
      <c r="GD184" s="159"/>
      <c r="GE184" s="159"/>
      <c r="GF184" s="159"/>
      <c r="GG184" s="159"/>
      <c r="GH184" s="159"/>
      <c r="GI184" s="159"/>
      <c r="GJ184" s="159"/>
      <c r="GK184" s="159"/>
      <c r="GL184" s="159"/>
      <c r="GM184" s="159"/>
      <c r="GN184" s="159"/>
      <c r="GO184" s="159"/>
      <c r="GP184" s="159"/>
      <c r="GQ184" s="159"/>
      <c r="GR184" s="159"/>
      <c r="GS184" s="159"/>
      <c r="GT184" s="159"/>
      <c r="GU184" s="159"/>
      <c r="GV184" s="159"/>
      <c r="GW184" s="159"/>
      <c r="GX184" s="159"/>
      <c r="GY184" s="159"/>
      <c r="GZ184" s="159"/>
      <c r="HA184" s="159"/>
      <c r="HB184" s="159"/>
      <c r="HC184" s="159"/>
      <c r="HD184" s="159"/>
      <c r="HE184" s="159"/>
      <c r="HF184" s="159"/>
      <c r="HG184" s="159"/>
      <c r="HH184" s="159"/>
      <c r="HI184" s="159"/>
      <c r="HJ184" s="159"/>
      <c r="HK184" s="159"/>
      <c r="HL184" s="159"/>
      <c r="HM184" s="159"/>
      <c r="HN184" s="159"/>
      <c r="HO184" s="159"/>
      <c r="HP184" s="159"/>
      <c r="HQ184" s="159"/>
      <c r="HR184" s="159"/>
      <c r="HS184" s="159"/>
      <c r="HT184" s="159"/>
      <c r="HU184" s="159"/>
      <c r="HV184" s="159"/>
      <c r="HW184" s="159"/>
      <c r="HX184" s="159"/>
      <c r="HY184" s="159"/>
      <c r="HZ184" s="159"/>
      <c r="IA184" s="159"/>
      <c r="IB184" s="159"/>
      <c r="IC184" s="159"/>
      <c r="ID184" s="159"/>
      <c r="IE184" s="159"/>
      <c r="IF184" s="159"/>
      <c r="IG184" s="159"/>
      <c r="IH184" s="159"/>
      <c r="II184" s="159"/>
      <c r="IJ184" s="159"/>
      <c r="IK184" s="159"/>
      <c r="IL184" s="159"/>
      <c r="IM184" s="159"/>
      <c r="IN184" s="159"/>
      <c r="IO184" s="159"/>
      <c r="IP184" s="159"/>
      <c r="IQ184" s="159"/>
      <c r="IR184" s="159"/>
      <c r="IS184" s="159"/>
      <c r="IT184" s="159"/>
      <c r="IU184" s="159"/>
      <c r="IV184" s="159"/>
      <c r="IW184" s="159"/>
      <c r="IX184" s="159"/>
      <c r="IY184" s="159"/>
      <c r="IZ184" s="159"/>
      <c r="JA184" s="159"/>
      <c r="JB184" s="159"/>
      <c r="JC184" s="159"/>
      <c r="JD184" s="159"/>
      <c r="JE184" s="159"/>
      <c r="JF184" s="159"/>
      <c r="JG184" s="159"/>
      <c r="JH184" s="159"/>
      <c r="JI184" s="159"/>
      <c r="JJ184" s="159"/>
      <c r="JK184" s="159"/>
      <c r="JL184" s="159"/>
      <c r="JM184" s="159"/>
      <c r="JN184" s="159"/>
      <c r="JO184" s="159"/>
      <c r="JP184" s="159"/>
      <c r="JQ184" s="159"/>
      <c r="JR184" s="159"/>
      <c r="JS184" s="159"/>
      <c r="JT184" s="159"/>
      <c r="JU184" s="159"/>
      <c r="JV184" s="159"/>
      <c r="JW184" s="159"/>
      <c r="JX184" s="159"/>
      <c r="JY184" s="159"/>
      <c r="JZ184" s="159"/>
      <c r="KA184" s="159"/>
      <c r="KB184" s="159"/>
      <c r="KC184" s="159"/>
      <c r="KD184" s="159"/>
      <c r="KE184" s="159"/>
      <c r="KF184" s="159"/>
      <c r="KG184" s="159"/>
      <c r="KH184" s="159"/>
      <c r="KI184" s="159"/>
      <c r="KJ184" s="159"/>
      <c r="KK184" s="159"/>
      <c r="KL184" s="159"/>
      <c r="KM184" s="159"/>
      <c r="KN184" s="159"/>
      <c r="KO184" s="159"/>
      <c r="KP184" s="159"/>
      <c r="KQ184" s="159"/>
      <c r="KR184" s="159"/>
      <c r="KS184" s="159"/>
      <c r="KT184" s="159"/>
      <c r="KU184" s="159"/>
      <c r="KV184" s="159"/>
      <c r="KW184" s="159"/>
      <c r="KX184" s="159"/>
      <c r="KY184" s="159"/>
      <c r="KZ184" s="159"/>
      <c r="LA184" s="159"/>
      <c r="LB184" s="159"/>
      <c r="LC184" s="159"/>
      <c r="LD184" s="159"/>
      <c r="LE184" s="159"/>
      <c r="LF184" s="159"/>
      <c r="LG184" s="159"/>
      <c r="LH184" s="159"/>
      <c r="LI184" s="159"/>
      <c r="LJ184" s="159"/>
      <c r="LK184" s="159"/>
      <c r="LL184" s="159"/>
      <c r="LM184" s="159"/>
      <c r="LN184" s="159"/>
      <c r="LO184" s="159"/>
      <c r="LP184" s="159"/>
      <c r="LQ184" s="159"/>
      <c r="LR184" s="159"/>
      <c r="LS184" s="159"/>
      <c r="LT184" s="159"/>
      <c r="LU184" s="159"/>
      <c r="LV184" s="159"/>
      <c r="LW184" s="159"/>
      <c r="LX184" s="159"/>
      <c r="LY184" s="159"/>
      <c r="LZ184" s="159"/>
      <c r="MA184" s="159"/>
      <c r="MB184" s="159"/>
      <c r="MC184" s="159"/>
      <c r="MD184" s="159"/>
      <c r="ME184" s="159"/>
      <c r="MF184" s="159"/>
      <c r="MG184" s="159"/>
      <c r="MH184" s="159"/>
      <c r="MI184" s="159"/>
      <c r="MJ184" s="159"/>
      <c r="MK184" s="159"/>
      <c r="ML184" s="159"/>
      <c r="MM184" s="159"/>
      <c r="MN184" s="159"/>
      <c r="MO184" s="159"/>
      <c r="MP184" s="159"/>
      <c r="MQ184" s="159"/>
      <c r="MR184" s="159"/>
      <c r="MS184" s="159"/>
      <c r="MT184" s="159"/>
      <c r="MU184" s="159"/>
      <c r="MV184" s="159"/>
      <c r="MW184" s="159"/>
      <c r="MX184" s="159"/>
      <c r="MY184" s="159"/>
      <c r="MZ184" s="159"/>
      <c r="NA184" s="159"/>
      <c r="NB184" s="159"/>
      <c r="NC184" s="159"/>
      <c r="ND184" s="159"/>
      <c r="NE184" s="159"/>
      <c r="NF184" s="159"/>
      <c r="NG184" s="159"/>
      <c r="NH184" s="159"/>
      <c r="NI184" s="159"/>
      <c r="NJ184" s="159"/>
      <c r="NK184" s="159"/>
      <c r="NL184" s="159"/>
      <c r="NM184" s="159"/>
      <c r="NN184" s="159"/>
      <c r="NO184" s="159"/>
      <c r="NP184" s="159"/>
      <c r="NQ184" s="159"/>
      <c r="NR184" s="159"/>
      <c r="NS184" s="159"/>
      <c r="NT184" s="159"/>
      <c r="NU184" s="159"/>
      <c r="NV184" s="159"/>
      <c r="NW184" s="159"/>
      <c r="NX184" s="159"/>
      <c r="NY184" s="159"/>
      <c r="NZ184" s="159"/>
      <c r="OA184" s="159"/>
      <c r="OB184" s="159"/>
      <c r="OC184" s="159"/>
      <c r="OD184" s="159"/>
      <c r="OE184" s="159"/>
      <c r="OF184" s="159"/>
      <c r="OG184" s="159"/>
      <c r="OH184" s="159"/>
      <c r="OI184" s="159"/>
      <c r="OJ184" s="159"/>
      <c r="OK184" s="159"/>
      <c r="OL184" s="159"/>
      <c r="OM184" s="159"/>
      <c r="ON184" s="159"/>
      <c r="OO184" s="159"/>
      <c r="OP184" s="159"/>
      <c r="OQ184" s="159"/>
      <c r="OR184" s="159"/>
      <c r="OS184" s="159"/>
      <c r="OT184" s="159"/>
      <c r="OU184" s="159"/>
      <c r="OV184" s="159"/>
      <c r="OW184" s="159"/>
      <c r="OX184" s="159"/>
      <c r="OY184" s="159"/>
      <c r="OZ184" s="159"/>
      <c r="PA184" s="159"/>
      <c r="PB184" s="159"/>
      <c r="PC184" s="159"/>
      <c r="PD184" s="159"/>
      <c r="PE184" s="159"/>
      <c r="PF184" s="159"/>
      <c r="PG184" s="159"/>
      <c r="PH184" s="159"/>
      <c r="PI184" s="159"/>
      <c r="PJ184" s="159"/>
      <c r="PK184" s="159"/>
      <c r="PL184" s="159"/>
      <c r="PM184" s="159"/>
      <c r="PN184" s="159"/>
      <c r="PO184" s="159"/>
      <c r="PP184" s="159"/>
      <c r="PQ184" s="159"/>
      <c r="PR184" s="159"/>
      <c r="PS184" s="159"/>
      <c r="PT184" s="159"/>
      <c r="PU184" s="159"/>
      <c r="PV184" s="159"/>
      <c r="PW184" s="159"/>
      <c r="PX184" s="159"/>
      <c r="PY184" s="159"/>
      <c r="PZ184" s="159"/>
      <c r="QA184" s="159"/>
      <c r="QB184" s="159"/>
      <c r="QC184" s="159"/>
      <c r="QD184" s="159"/>
      <c r="QE184" s="159"/>
      <c r="QF184" s="159"/>
      <c r="QG184" s="159"/>
      <c r="QH184" s="159"/>
      <c r="QI184" s="159"/>
      <c r="QJ184" s="159"/>
      <c r="QK184" s="159"/>
      <c r="QL184" s="159"/>
      <c r="QM184" s="159"/>
      <c r="QN184" s="159"/>
      <c r="QO184" s="159"/>
      <c r="QP184" s="159"/>
      <c r="QQ184" s="159"/>
      <c r="QR184" s="159"/>
      <c r="QS184" s="159"/>
      <c r="QT184" s="159"/>
      <c r="QU184" s="159"/>
      <c r="QV184" s="159"/>
      <c r="QW184" s="159"/>
      <c r="QX184" s="159"/>
      <c r="QY184" s="159"/>
      <c r="QZ184" s="159"/>
      <c r="RA184" s="159"/>
      <c r="RB184" s="159"/>
      <c r="RC184" s="159"/>
      <c r="RD184" s="159"/>
      <c r="RE184" s="159"/>
      <c r="RF184" s="159"/>
      <c r="RG184" s="159"/>
      <c r="RH184" s="159"/>
      <c r="RI184" s="159"/>
      <c r="RJ184" s="159"/>
      <c r="RK184" s="159"/>
      <c r="RL184" s="159"/>
      <c r="RM184" s="159"/>
      <c r="RN184" s="159"/>
      <c r="RO184" s="159"/>
      <c r="RP184" s="159"/>
      <c r="RQ184" s="159"/>
      <c r="RR184" s="159"/>
      <c r="RS184" s="159"/>
      <c r="RT184" s="159"/>
      <c r="RU184" s="159"/>
      <c r="RV184" s="159"/>
      <c r="RW184" s="159"/>
      <c r="RX184" s="159"/>
      <c r="RY184" s="159"/>
      <c r="RZ184" s="159"/>
      <c r="SA184" s="159"/>
      <c r="SB184" s="159"/>
      <c r="SC184" s="159"/>
      <c r="SD184" s="159"/>
      <c r="SE184" s="159"/>
      <c r="SF184" s="159"/>
      <c r="SG184" s="159"/>
      <c r="SH184" s="159"/>
      <c r="SI184" s="159"/>
      <c r="SJ184" s="159"/>
      <c r="SK184" s="159"/>
      <c r="SL184" s="159"/>
      <c r="SM184" s="159"/>
      <c r="SN184" s="159"/>
      <c r="SO184" s="159"/>
      <c r="SP184" s="159"/>
      <c r="SQ184" s="159"/>
      <c r="SR184" s="159"/>
      <c r="SS184" s="159"/>
      <c r="ST184" s="159"/>
      <c r="SU184" s="159"/>
      <c r="SV184" s="159"/>
      <c r="SW184" s="159"/>
      <c r="SX184" s="159"/>
      <c r="SY184" s="159"/>
      <c r="SZ184" s="159"/>
      <c r="TA184" s="159"/>
      <c r="TB184" s="159"/>
      <c r="TC184" s="159"/>
      <c r="TD184" s="159"/>
      <c r="TE184" s="159"/>
      <c r="TF184" s="159"/>
      <c r="TG184" s="159"/>
      <c r="TH184" s="159"/>
      <c r="TI184" s="159"/>
      <c r="TJ184" s="159"/>
      <c r="TK184" s="159"/>
      <c r="TL184" s="159"/>
      <c r="TM184" s="159"/>
      <c r="TN184" s="159"/>
      <c r="TO184" s="159"/>
      <c r="TP184" s="159"/>
      <c r="TQ184" s="159"/>
      <c r="TR184" s="159"/>
      <c r="TS184" s="159"/>
      <c r="TT184" s="159"/>
      <c r="TU184" s="159"/>
      <c r="TV184" s="159"/>
      <c r="TW184" s="159"/>
      <c r="TX184" s="159"/>
      <c r="TY184" s="159"/>
      <c r="TZ184" s="159"/>
      <c r="UA184" s="159"/>
      <c r="UB184" s="159"/>
      <c r="UC184" s="159"/>
      <c r="UD184" s="159"/>
      <c r="UE184" s="159"/>
      <c r="UF184" s="159"/>
      <c r="UG184" s="159"/>
      <c r="UH184" s="159"/>
      <c r="UI184" s="159"/>
      <c r="UJ184" s="159"/>
      <c r="UK184" s="159"/>
      <c r="UL184" s="159"/>
      <c r="UM184" s="159"/>
      <c r="UN184" s="159"/>
      <c r="UO184" s="159"/>
      <c r="UP184" s="159"/>
      <c r="UQ184" s="159"/>
      <c r="UR184" s="159"/>
      <c r="US184" s="159"/>
      <c r="UT184" s="159"/>
      <c r="UU184" s="159"/>
      <c r="UV184" s="159"/>
      <c r="UW184" s="159"/>
      <c r="UX184" s="159"/>
      <c r="UY184" s="159"/>
      <c r="UZ184" s="159"/>
      <c r="VA184" s="159"/>
      <c r="VB184" s="159"/>
      <c r="VC184" s="159"/>
      <c r="VD184" s="159"/>
      <c r="VE184" s="159"/>
      <c r="VF184" s="159"/>
      <c r="VG184" s="159"/>
      <c r="VH184" s="159"/>
      <c r="VI184" s="159"/>
      <c r="VJ184" s="159"/>
      <c r="VK184" s="159"/>
      <c r="VL184" s="159"/>
      <c r="VM184" s="159"/>
      <c r="VN184" s="159"/>
      <c r="VO184" s="159"/>
      <c r="VP184" s="159"/>
      <c r="VQ184" s="159"/>
      <c r="VR184" s="159"/>
      <c r="VS184" s="159"/>
      <c r="VT184" s="159"/>
      <c r="VU184" s="159"/>
      <c r="VV184" s="159"/>
      <c r="VW184" s="159"/>
      <c r="VX184" s="159"/>
      <c r="VY184" s="159"/>
      <c r="VZ184" s="159"/>
      <c r="WA184" s="159"/>
      <c r="WB184" s="159"/>
      <c r="WC184" s="159"/>
      <c r="WD184" s="159"/>
      <c r="WE184" s="159"/>
      <c r="WF184" s="159"/>
      <c r="WG184" s="159"/>
      <c r="WH184" s="159"/>
      <c r="WI184" s="159"/>
      <c r="WJ184" s="159"/>
      <c r="WK184" s="159"/>
      <c r="WL184" s="159"/>
      <c r="WM184" s="159"/>
      <c r="WN184" s="159"/>
      <c r="WO184" s="159"/>
      <c r="WP184" s="159"/>
      <c r="WQ184" s="159"/>
      <c r="WR184" s="159"/>
      <c r="WS184" s="159"/>
      <c r="WT184" s="159"/>
      <c r="WU184" s="159"/>
      <c r="WV184" s="159"/>
      <c r="WW184" s="159"/>
      <c r="WX184" s="159"/>
      <c r="WY184" s="159"/>
      <c r="WZ184" s="159"/>
      <c r="XA184" s="159"/>
      <c r="XB184" s="159"/>
      <c r="XC184" s="159"/>
      <c r="XD184" s="159"/>
      <c r="XE184" s="159"/>
      <c r="XF184" s="159"/>
      <c r="XG184" s="159"/>
      <c r="XH184" s="159"/>
      <c r="XI184" s="159"/>
      <c r="XJ184" s="159"/>
      <c r="XK184" s="159"/>
      <c r="XL184" s="159"/>
      <c r="XM184" s="159"/>
      <c r="XN184" s="159"/>
      <c r="XO184" s="159"/>
      <c r="XP184" s="159"/>
      <c r="XQ184" s="159"/>
      <c r="XR184" s="159"/>
      <c r="XS184" s="159"/>
      <c r="XT184" s="159"/>
      <c r="XU184" s="159"/>
      <c r="XV184" s="159"/>
      <c r="XW184" s="159"/>
      <c r="XX184" s="159"/>
      <c r="XY184" s="159"/>
      <c r="XZ184" s="159"/>
      <c r="YA184" s="159"/>
      <c r="YB184" s="159"/>
      <c r="YC184" s="159"/>
      <c r="YD184" s="159"/>
      <c r="YE184" s="159"/>
      <c r="YF184" s="159"/>
      <c r="YG184" s="159"/>
      <c r="YH184" s="159"/>
      <c r="YI184" s="159"/>
      <c r="YJ184" s="159"/>
      <c r="YK184" s="159"/>
      <c r="YL184" s="159"/>
      <c r="YM184" s="159"/>
      <c r="YN184" s="159"/>
      <c r="YO184" s="159"/>
      <c r="YP184" s="159"/>
      <c r="YQ184" s="159"/>
      <c r="YR184" s="159"/>
      <c r="YS184" s="159"/>
      <c r="YT184" s="159"/>
      <c r="YU184" s="159"/>
      <c r="YV184" s="159"/>
      <c r="YW184" s="159"/>
      <c r="YX184" s="159"/>
      <c r="YY184" s="159"/>
      <c r="YZ184" s="159"/>
      <c r="ZA184" s="159"/>
      <c r="ZB184" s="159"/>
      <c r="ZC184" s="159"/>
      <c r="ZD184" s="159"/>
      <c r="ZE184" s="159"/>
      <c r="ZF184" s="159"/>
      <c r="ZG184" s="159"/>
      <c r="ZH184" s="159"/>
      <c r="ZI184" s="159"/>
      <c r="ZJ184" s="159"/>
      <c r="ZK184" s="159"/>
      <c r="ZL184" s="159"/>
      <c r="ZM184" s="159"/>
      <c r="ZN184" s="159"/>
      <c r="ZO184" s="159"/>
      <c r="ZP184" s="159"/>
      <c r="ZQ184" s="159"/>
      <c r="ZR184" s="159"/>
      <c r="ZS184" s="159"/>
      <c r="ZT184" s="159"/>
      <c r="ZU184" s="159"/>
      <c r="ZV184" s="159"/>
      <c r="ZW184" s="159"/>
      <c r="ZX184" s="159"/>
      <c r="ZY184" s="159"/>
      <c r="ZZ184" s="159"/>
      <c r="AAA184" s="159"/>
      <c r="AAB184" s="159"/>
      <c r="AAC184" s="159"/>
      <c r="AAD184" s="159"/>
      <c r="AAE184" s="159"/>
      <c r="AAF184" s="159"/>
      <c r="AAG184" s="159"/>
      <c r="AAH184" s="159"/>
      <c r="AAI184" s="159"/>
      <c r="AAJ184" s="159"/>
      <c r="AAK184" s="159"/>
      <c r="AAL184" s="159"/>
      <c r="AAM184" s="159"/>
      <c r="AAN184" s="159"/>
      <c r="AAO184" s="159"/>
      <c r="AAP184" s="159"/>
      <c r="AAQ184" s="159"/>
      <c r="AAR184" s="159"/>
      <c r="AAS184" s="159"/>
      <c r="AAT184" s="159"/>
      <c r="AAU184" s="159"/>
      <c r="AAV184" s="159"/>
      <c r="AAW184" s="159"/>
      <c r="AAX184" s="159"/>
      <c r="AAY184" s="159"/>
      <c r="AAZ184" s="159"/>
      <c r="ABA184" s="159"/>
      <c r="ABB184" s="159"/>
      <c r="ABC184" s="159"/>
      <c r="ABD184" s="159"/>
      <c r="ABE184" s="159"/>
      <c r="ABF184" s="159"/>
      <c r="ABG184" s="159"/>
      <c r="ABH184" s="159"/>
      <c r="ABI184" s="159"/>
      <c r="ABJ184" s="159"/>
      <c r="ABK184" s="159"/>
      <c r="ABL184" s="159"/>
      <c r="ABM184" s="159"/>
      <c r="ABN184" s="159"/>
      <c r="ABO184" s="159"/>
      <c r="ABP184" s="159"/>
      <c r="ABQ184" s="159"/>
      <c r="ABR184" s="159"/>
      <c r="ABS184" s="159"/>
      <c r="ABT184" s="159"/>
      <c r="ABU184" s="159"/>
      <c r="ABV184" s="159"/>
      <c r="ABW184" s="159"/>
      <c r="ABX184" s="159"/>
      <c r="ABY184" s="159"/>
      <c r="ABZ184" s="159"/>
      <c r="ACA184" s="159"/>
      <c r="ACB184" s="159"/>
      <c r="ACC184" s="159"/>
      <c r="ACD184" s="159"/>
      <c r="ACE184" s="159"/>
      <c r="ACF184" s="159"/>
      <c r="ACG184" s="159"/>
      <c r="ACH184" s="159"/>
      <c r="ACI184" s="159"/>
      <c r="ACJ184" s="159"/>
      <c r="ACK184" s="159"/>
      <c r="ACL184" s="159"/>
      <c r="ACM184" s="159"/>
      <c r="ACN184" s="159"/>
      <c r="ACO184" s="159"/>
      <c r="ACP184" s="159"/>
      <c r="ACQ184" s="159"/>
      <c r="ACR184" s="159"/>
      <c r="ACS184" s="159"/>
      <c r="ACT184" s="159"/>
      <c r="ACU184" s="159"/>
      <c r="ACV184" s="159"/>
      <c r="ACW184" s="159"/>
      <c r="ACX184" s="159"/>
      <c r="ACY184" s="159"/>
      <c r="ACZ184" s="159"/>
      <c r="ADA184" s="159"/>
      <c r="ADB184" s="159"/>
      <c r="ADC184" s="159"/>
      <c r="ADD184" s="159"/>
      <c r="ADE184" s="159"/>
      <c r="ADF184" s="159"/>
      <c r="ADG184" s="159"/>
      <c r="ADH184" s="159"/>
      <c r="ADI184" s="159"/>
      <c r="ADJ184" s="159"/>
      <c r="ADK184" s="159"/>
      <c r="ADL184" s="159"/>
      <c r="ADM184" s="159"/>
      <c r="ADN184" s="159"/>
      <c r="ADO184" s="159"/>
      <c r="ADP184" s="159"/>
      <c r="ADQ184" s="159"/>
      <c r="ADR184" s="159"/>
      <c r="ADS184" s="159"/>
      <c r="ADT184" s="159"/>
      <c r="ADU184" s="159"/>
      <c r="ADV184" s="159"/>
      <c r="ADW184" s="159"/>
      <c r="ADX184" s="159"/>
      <c r="ADY184" s="159"/>
      <c r="ADZ184" s="159"/>
      <c r="AEA184" s="159"/>
      <c r="AEB184" s="159"/>
      <c r="AEC184" s="159"/>
      <c r="AED184" s="159"/>
      <c r="AEE184" s="159"/>
      <c r="AEF184" s="159"/>
      <c r="AEG184" s="159"/>
      <c r="AEH184" s="159"/>
      <c r="AEI184" s="159"/>
      <c r="AEJ184" s="159"/>
      <c r="AEK184" s="159"/>
      <c r="AEL184" s="159"/>
      <c r="AEM184" s="159"/>
      <c r="AEN184" s="159"/>
      <c r="AEO184" s="159"/>
      <c r="AEP184" s="159"/>
      <c r="AEQ184" s="159"/>
      <c r="AER184" s="159"/>
      <c r="AES184" s="159"/>
      <c r="AET184" s="159"/>
      <c r="AEU184" s="159"/>
      <c r="AEV184" s="159"/>
      <c r="AEW184" s="159"/>
      <c r="AEX184" s="159"/>
      <c r="AEY184" s="159"/>
      <c r="AEZ184" s="159"/>
      <c r="AFA184" s="159"/>
      <c r="AFB184" s="159"/>
      <c r="AFC184" s="159"/>
      <c r="AFD184" s="159"/>
      <c r="AFE184" s="159"/>
      <c r="AFF184" s="159"/>
      <c r="AFG184" s="159"/>
      <c r="AFH184" s="159"/>
      <c r="AFI184" s="159"/>
      <c r="AFJ184" s="159"/>
      <c r="AFK184" s="159"/>
      <c r="AFL184" s="159"/>
      <c r="AFM184" s="159"/>
      <c r="AFN184" s="159"/>
      <c r="AFO184" s="159"/>
      <c r="AFP184" s="159"/>
      <c r="AFQ184" s="159"/>
      <c r="AFR184" s="159"/>
      <c r="AFS184" s="159"/>
      <c r="AFT184" s="159"/>
      <c r="AFU184" s="159"/>
      <c r="AFV184" s="159"/>
      <c r="AFW184" s="159"/>
      <c r="AFX184" s="159"/>
      <c r="AFY184" s="159"/>
      <c r="AFZ184" s="159"/>
      <c r="AGA184" s="159"/>
      <c r="AGB184" s="159"/>
      <c r="AGC184" s="159"/>
      <c r="AGD184" s="159"/>
      <c r="AGE184" s="159"/>
      <c r="AGF184" s="159"/>
      <c r="AGG184" s="159"/>
      <c r="AGH184" s="159"/>
      <c r="AGI184" s="159"/>
      <c r="AGJ184" s="159"/>
      <c r="AGK184" s="159"/>
      <c r="AGL184" s="159"/>
      <c r="AGM184" s="159"/>
      <c r="AGN184" s="159"/>
      <c r="AGO184" s="159"/>
      <c r="AGP184" s="159"/>
      <c r="AGQ184" s="159"/>
      <c r="AGR184" s="159"/>
      <c r="AGS184" s="159"/>
      <c r="AGT184" s="159"/>
      <c r="AGU184" s="159"/>
      <c r="AGV184" s="159"/>
      <c r="AGW184" s="159"/>
      <c r="AGX184" s="159"/>
      <c r="AGY184" s="159"/>
      <c r="AGZ184" s="159"/>
      <c r="AHA184" s="159"/>
      <c r="AHB184" s="159"/>
      <c r="AHC184" s="159"/>
      <c r="AHD184" s="159"/>
      <c r="AHE184" s="159"/>
      <c r="AHF184" s="159"/>
      <c r="AHG184" s="159"/>
      <c r="AHH184" s="159"/>
      <c r="AHI184" s="159"/>
      <c r="AHJ184" s="159"/>
      <c r="AHK184" s="159"/>
      <c r="AHL184" s="159"/>
      <c r="AHM184" s="159"/>
      <c r="AHN184" s="159"/>
      <c r="AHO184" s="159"/>
      <c r="AHP184" s="159"/>
      <c r="AHQ184" s="159"/>
      <c r="AHR184" s="159"/>
      <c r="AHS184" s="159"/>
      <c r="AHT184" s="159"/>
      <c r="AHU184" s="159"/>
      <c r="AHV184" s="159"/>
      <c r="AHW184" s="159"/>
      <c r="AHX184" s="159"/>
      <c r="AHY184" s="159"/>
      <c r="AHZ184" s="159"/>
      <c r="AIA184" s="159"/>
      <c r="AIB184" s="159"/>
      <c r="AIC184" s="159"/>
      <c r="AID184" s="159"/>
      <c r="AIE184" s="159"/>
      <c r="AIF184" s="159"/>
      <c r="AIG184" s="159"/>
      <c r="AIH184" s="159"/>
      <c r="AII184" s="159"/>
      <c r="AIJ184" s="159"/>
      <c r="AIK184" s="159"/>
      <c r="AIL184" s="159"/>
      <c r="AIM184" s="159"/>
      <c r="AIN184" s="159"/>
      <c r="AIO184" s="159"/>
      <c r="AIP184" s="159"/>
      <c r="AIQ184" s="159"/>
      <c r="AIR184" s="159"/>
      <c r="AIS184" s="159"/>
      <c r="AIT184" s="159"/>
      <c r="AIU184" s="159"/>
      <c r="AIV184" s="159"/>
      <c r="AIW184" s="159"/>
      <c r="AIX184" s="159"/>
      <c r="AIY184" s="159"/>
      <c r="AIZ184" s="159"/>
      <c r="AJA184" s="159"/>
      <c r="AJB184" s="159"/>
      <c r="AJC184" s="159"/>
      <c r="AJD184" s="159"/>
      <c r="AJE184" s="159"/>
      <c r="AJF184" s="159"/>
      <c r="AJG184" s="159"/>
      <c r="AJH184" s="159"/>
      <c r="AJI184" s="159"/>
      <c r="AJJ184" s="159"/>
      <c r="AJK184" s="159"/>
      <c r="AJL184" s="159"/>
      <c r="AJM184" s="159"/>
      <c r="AJN184" s="159"/>
      <c r="AJO184" s="159"/>
      <c r="AJP184" s="159"/>
      <c r="AJQ184" s="159"/>
      <c r="AJR184" s="159"/>
      <c r="AJS184" s="159"/>
      <c r="AJT184" s="159"/>
      <c r="AJU184" s="159"/>
      <c r="AJV184" s="159"/>
      <c r="AJW184" s="159"/>
      <c r="AJX184" s="159"/>
      <c r="AJY184" s="159"/>
      <c r="AJZ184" s="159"/>
      <c r="AKA184" s="159"/>
      <c r="AKB184" s="159"/>
      <c r="AKC184" s="159"/>
      <c r="AKD184" s="159"/>
      <c r="AKE184" s="159"/>
      <c r="AKF184" s="159"/>
      <c r="AKG184" s="159"/>
      <c r="AKH184" s="159"/>
      <c r="AKI184" s="159"/>
      <c r="AKJ184" s="159"/>
      <c r="AKK184" s="159"/>
      <c r="AKL184" s="159"/>
      <c r="AKM184" s="159"/>
      <c r="AKN184" s="159"/>
      <c r="AKO184" s="159"/>
      <c r="AKP184" s="159"/>
      <c r="AKQ184" s="159"/>
      <c r="AKR184" s="159"/>
      <c r="AKS184" s="159"/>
      <c r="AKT184" s="159"/>
      <c r="AKU184" s="159"/>
      <c r="AKV184" s="159"/>
      <c r="AKW184" s="159"/>
      <c r="AKX184" s="159"/>
      <c r="AKY184" s="159"/>
      <c r="AKZ184" s="159"/>
      <c r="ALA184" s="159"/>
      <c r="ALB184" s="159"/>
      <c r="ALC184" s="159"/>
      <c r="ALD184" s="159"/>
      <c r="ALE184" s="159"/>
      <c r="ALF184" s="159"/>
      <c r="ALG184" s="159"/>
      <c r="ALH184" s="159"/>
      <c r="ALI184" s="159"/>
      <c r="ALJ184" s="159"/>
      <c r="ALK184" s="159"/>
      <c r="ALL184" s="159"/>
      <c r="ALM184" s="159"/>
      <c r="ALN184" s="159"/>
      <c r="ALO184" s="159"/>
      <c r="ALP184" s="159"/>
      <c r="ALQ184" s="159"/>
      <c r="ALR184" s="159"/>
      <c r="ALS184" s="159"/>
      <c r="ALT184" s="159"/>
      <c r="ALU184" s="159"/>
      <c r="ALV184" s="159"/>
      <c r="ALW184" s="159"/>
      <c r="ALX184" s="159"/>
      <c r="ALY184" s="159"/>
      <c r="ALZ184" s="159"/>
      <c r="AMA184" s="159"/>
      <c r="AMB184" s="159"/>
      <c r="AMC184" s="159"/>
      <c r="AMD184" s="159"/>
      <c r="AME184" s="159"/>
      <c r="AMF184" s="159"/>
      <c r="AMG184" s="159"/>
      <c r="AMH184" s="159"/>
      <c r="AMI184" s="159"/>
      <c r="AMJ184" s="159"/>
      <c r="AMK184" s="159"/>
      <c r="AML184" s="159"/>
      <c r="AMM184" s="159"/>
      <c r="AMN184" s="159"/>
      <c r="AMO184" s="159"/>
    </row>
    <row r="185" spans="1:1029" s="161" customFormat="1" ht="25.5" x14ac:dyDescent="0.25">
      <c r="A185" s="138">
        <v>46280</v>
      </c>
      <c r="B185" s="99" t="s">
        <v>22</v>
      </c>
      <c r="C185" s="99" t="s">
        <v>118</v>
      </c>
      <c r="D185" s="160" t="s">
        <v>21</v>
      </c>
      <c r="E185" s="118" t="s">
        <v>105</v>
      </c>
      <c r="F185" s="149" t="s">
        <v>125</v>
      </c>
      <c r="G185" s="149" t="s">
        <v>31</v>
      </c>
      <c r="H185" s="141" t="b">
        <f t="shared" si="12"/>
        <v>0</v>
      </c>
      <c r="I185" s="120" t="s">
        <v>29</v>
      </c>
      <c r="J185" s="121" t="s">
        <v>10</v>
      </c>
      <c r="K185" s="121" t="s">
        <v>31</v>
      </c>
      <c r="L185" s="141" t="b">
        <f t="shared" si="13"/>
        <v>0</v>
      </c>
      <c r="M185" s="121" t="s">
        <v>193</v>
      </c>
      <c r="N185" s="121" t="s">
        <v>82</v>
      </c>
      <c r="O185" s="121" t="s">
        <v>168</v>
      </c>
      <c r="P185" s="141" t="b">
        <f t="shared" si="14"/>
        <v>0</v>
      </c>
      <c r="Q185" s="149" t="s">
        <v>105</v>
      </c>
      <c r="R185" s="99" t="s">
        <v>10</v>
      </c>
      <c r="S185" s="99" t="s">
        <v>11</v>
      </c>
      <c r="T185" s="141" t="b">
        <f t="shared" si="15"/>
        <v>0</v>
      </c>
      <c r="U185" s="159"/>
      <c r="V185" s="159"/>
      <c r="W185" s="159"/>
      <c r="X185" s="159"/>
      <c r="Y185" s="159"/>
      <c r="Z185" s="159"/>
      <c r="AA185" s="159"/>
      <c r="AB185" s="159"/>
      <c r="AC185" s="159"/>
      <c r="AD185" s="159"/>
      <c r="AE185" s="159"/>
      <c r="AF185" s="159"/>
      <c r="AG185" s="159"/>
      <c r="AH185" s="159"/>
      <c r="AI185" s="159"/>
      <c r="AJ185" s="159"/>
      <c r="AK185" s="159"/>
      <c r="AL185" s="159"/>
      <c r="AM185" s="159"/>
      <c r="AN185" s="159"/>
      <c r="AO185" s="159"/>
      <c r="AP185" s="159"/>
      <c r="AQ185" s="159"/>
      <c r="AR185" s="159"/>
      <c r="AS185" s="159"/>
      <c r="AT185" s="159"/>
      <c r="AU185" s="159"/>
      <c r="AV185" s="159"/>
      <c r="AW185" s="159"/>
      <c r="AX185" s="159"/>
      <c r="AY185" s="159"/>
      <c r="AZ185" s="159"/>
      <c r="BA185" s="159"/>
      <c r="BB185" s="159"/>
      <c r="BC185" s="159"/>
      <c r="BD185" s="159"/>
      <c r="BE185" s="159"/>
      <c r="BF185" s="159"/>
      <c r="BG185" s="159"/>
      <c r="BH185" s="159"/>
      <c r="BI185" s="159"/>
      <c r="BJ185" s="159"/>
      <c r="BK185" s="159"/>
      <c r="BL185" s="159"/>
      <c r="BM185" s="159"/>
      <c r="BN185" s="159"/>
      <c r="BO185" s="159"/>
      <c r="BP185" s="159"/>
      <c r="BQ185" s="159"/>
      <c r="BR185" s="159"/>
      <c r="BS185" s="159"/>
      <c r="BT185" s="159"/>
      <c r="BU185" s="159"/>
      <c r="BV185" s="159"/>
      <c r="BW185" s="159"/>
      <c r="BX185" s="159"/>
      <c r="BY185" s="159"/>
      <c r="BZ185" s="159"/>
      <c r="CA185" s="159"/>
      <c r="CB185" s="159"/>
      <c r="CC185" s="159"/>
      <c r="CD185" s="159"/>
      <c r="CE185" s="159"/>
      <c r="CF185" s="159"/>
      <c r="CG185" s="159"/>
      <c r="CH185" s="159"/>
      <c r="CI185" s="159"/>
      <c r="CJ185" s="159"/>
      <c r="CK185" s="159"/>
      <c r="CL185" s="159"/>
      <c r="CM185" s="159"/>
      <c r="CN185" s="159"/>
      <c r="CO185" s="159"/>
      <c r="CP185" s="159"/>
      <c r="CQ185" s="159"/>
      <c r="CR185" s="159"/>
      <c r="CS185" s="159"/>
      <c r="CT185" s="159"/>
      <c r="CU185" s="159"/>
      <c r="CV185" s="159"/>
      <c r="CW185" s="159"/>
      <c r="CX185" s="159"/>
      <c r="CY185" s="159"/>
      <c r="CZ185" s="159"/>
      <c r="DA185" s="159"/>
      <c r="DB185" s="159"/>
      <c r="DC185" s="159"/>
      <c r="DD185" s="159"/>
      <c r="DE185" s="159"/>
      <c r="DF185" s="159"/>
      <c r="DG185" s="159"/>
      <c r="DH185" s="159"/>
      <c r="DI185" s="159"/>
      <c r="DJ185" s="159"/>
      <c r="DK185" s="159"/>
      <c r="DL185" s="159"/>
      <c r="DM185" s="159"/>
      <c r="DN185" s="159"/>
      <c r="DO185" s="159"/>
      <c r="DP185" s="159"/>
      <c r="DQ185" s="159"/>
      <c r="DR185" s="159"/>
      <c r="DS185" s="159"/>
      <c r="DT185" s="159"/>
      <c r="DU185" s="159"/>
      <c r="DV185" s="159"/>
      <c r="DW185" s="159"/>
      <c r="DX185" s="159"/>
      <c r="DY185" s="159"/>
      <c r="DZ185" s="159"/>
      <c r="EA185" s="159"/>
      <c r="EB185" s="159"/>
      <c r="EC185" s="159"/>
      <c r="ED185" s="159"/>
      <c r="EE185" s="159"/>
      <c r="EF185" s="159"/>
      <c r="EG185" s="159"/>
      <c r="EH185" s="159"/>
      <c r="EI185" s="159"/>
      <c r="EJ185" s="159"/>
      <c r="EK185" s="159"/>
      <c r="EL185" s="159"/>
      <c r="EM185" s="159"/>
      <c r="EN185" s="159"/>
      <c r="EO185" s="159"/>
      <c r="EP185" s="159"/>
      <c r="EQ185" s="159"/>
      <c r="ER185" s="159"/>
      <c r="ES185" s="159"/>
      <c r="ET185" s="159"/>
      <c r="EU185" s="159"/>
      <c r="EV185" s="159"/>
      <c r="EW185" s="159"/>
      <c r="EX185" s="159"/>
      <c r="EY185" s="159"/>
      <c r="EZ185" s="159"/>
      <c r="FA185" s="159"/>
      <c r="FB185" s="159"/>
      <c r="FC185" s="159"/>
      <c r="FD185" s="159"/>
      <c r="FE185" s="159"/>
      <c r="FF185" s="159"/>
      <c r="FG185" s="159"/>
      <c r="FH185" s="159"/>
      <c r="FI185" s="159"/>
      <c r="FJ185" s="159"/>
      <c r="FK185" s="159"/>
      <c r="FL185" s="159"/>
      <c r="FM185" s="159"/>
      <c r="FN185" s="159"/>
      <c r="FO185" s="159"/>
      <c r="FP185" s="159"/>
      <c r="FQ185" s="159"/>
      <c r="FR185" s="159"/>
      <c r="FS185" s="159"/>
      <c r="FT185" s="159"/>
      <c r="FU185" s="159"/>
      <c r="FV185" s="159"/>
      <c r="FW185" s="159"/>
      <c r="FX185" s="159"/>
      <c r="FY185" s="159"/>
      <c r="FZ185" s="159"/>
      <c r="GA185" s="159"/>
      <c r="GB185" s="159"/>
      <c r="GC185" s="159"/>
      <c r="GD185" s="159"/>
      <c r="GE185" s="159"/>
      <c r="GF185" s="159"/>
      <c r="GG185" s="159"/>
      <c r="GH185" s="159"/>
      <c r="GI185" s="159"/>
      <c r="GJ185" s="159"/>
      <c r="GK185" s="159"/>
      <c r="GL185" s="159"/>
      <c r="GM185" s="159"/>
      <c r="GN185" s="159"/>
      <c r="GO185" s="159"/>
      <c r="GP185" s="159"/>
      <c r="GQ185" s="159"/>
      <c r="GR185" s="159"/>
      <c r="GS185" s="159"/>
      <c r="GT185" s="159"/>
      <c r="GU185" s="159"/>
      <c r="GV185" s="159"/>
      <c r="GW185" s="159"/>
      <c r="GX185" s="159"/>
      <c r="GY185" s="159"/>
      <c r="GZ185" s="159"/>
      <c r="HA185" s="159"/>
      <c r="HB185" s="159"/>
      <c r="HC185" s="159"/>
      <c r="HD185" s="159"/>
      <c r="HE185" s="159"/>
      <c r="HF185" s="159"/>
      <c r="HG185" s="159"/>
      <c r="HH185" s="159"/>
      <c r="HI185" s="159"/>
      <c r="HJ185" s="159"/>
      <c r="HK185" s="159"/>
      <c r="HL185" s="159"/>
      <c r="HM185" s="159"/>
      <c r="HN185" s="159"/>
      <c r="HO185" s="159"/>
      <c r="HP185" s="159"/>
      <c r="HQ185" s="159"/>
      <c r="HR185" s="159"/>
      <c r="HS185" s="159"/>
      <c r="HT185" s="159"/>
      <c r="HU185" s="159"/>
      <c r="HV185" s="159"/>
      <c r="HW185" s="159"/>
      <c r="HX185" s="159"/>
      <c r="HY185" s="159"/>
      <c r="HZ185" s="159"/>
      <c r="IA185" s="159"/>
      <c r="IB185" s="159"/>
      <c r="IC185" s="159"/>
      <c r="ID185" s="159"/>
      <c r="IE185" s="159"/>
      <c r="IF185" s="159"/>
      <c r="IG185" s="159"/>
      <c r="IH185" s="159"/>
      <c r="II185" s="159"/>
      <c r="IJ185" s="159"/>
      <c r="IK185" s="159"/>
      <c r="IL185" s="159"/>
      <c r="IM185" s="159"/>
      <c r="IN185" s="159"/>
      <c r="IO185" s="159"/>
      <c r="IP185" s="159"/>
      <c r="IQ185" s="159"/>
      <c r="IR185" s="159"/>
      <c r="IS185" s="159"/>
      <c r="IT185" s="159"/>
      <c r="IU185" s="159"/>
      <c r="IV185" s="159"/>
      <c r="IW185" s="159"/>
      <c r="IX185" s="159"/>
      <c r="IY185" s="159"/>
      <c r="IZ185" s="159"/>
      <c r="JA185" s="159"/>
      <c r="JB185" s="159"/>
      <c r="JC185" s="159"/>
      <c r="JD185" s="159"/>
      <c r="JE185" s="159"/>
      <c r="JF185" s="159"/>
      <c r="JG185" s="159"/>
      <c r="JH185" s="159"/>
      <c r="JI185" s="159"/>
      <c r="JJ185" s="159"/>
      <c r="JK185" s="159"/>
      <c r="JL185" s="159"/>
      <c r="JM185" s="159"/>
      <c r="JN185" s="159"/>
      <c r="JO185" s="159"/>
      <c r="JP185" s="159"/>
      <c r="JQ185" s="159"/>
      <c r="JR185" s="159"/>
      <c r="JS185" s="159"/>
      <c r="JT185" s="159"/>
      <c r="JU185" s="159"/>
      <c r="JV185" s="159"/>
      <c r="JW185" s="159"/>
      <c r="JX185" s="159"/>
      <c r="JY185" s="159"/>
      <c r="JZ185" s="159"/>
      <c r="KA185" s="159"/>
      <c r="KB185" s="159"/>
      <c r="KC185" s="159"/>
      <c r="KD185" s="159"/>
      <c r="KE185" s="159"/>
      <c r="KF185" s="159"/>
      <c r="KG185" s="159"/>
      <c r="KH185" s="159"/>
      <c r="KI185" s="159"/>
      <c r="KJ185" s="159"/>
      <c r="KK185" s="159"/>
      <c r="KL185" s="159"/>
      <c r="KM185" s="159"/>
      <c r="KN185" s="159"/>
      <c r="KO185" s="159"/>
      <c r="KP185" s="159"/>
      <c r="KQ185" s="159"/>
      <c r="KR185" s="159"/>
      <c r="KS185" s="159"/>
      <c r="KT185" s="159"/>
      <c r="KU185" s="159"/>
      <c r="KV185" s="159"/>
      <c r="KW185" s="159"/>
      <c r="KX185" s="159"/>
      <c r="KY185" s="159"/>
      <c r="KZ185" s="159"/>
      <c r="LA185" s="159"/>
      <c r="LB185" s="159"/>
      <c r="LC185" s="159"/>
      <c r="LD185" s="159"/>
      <c r="LE185" s="159"/>
      <c r="LF185" s="159"/>
      <c r="LG185" s="159"/>
      <c r="LH185" s="159"/>
      <c r="LI185" s="159"/>
      <c r="LJ185" s="159"/>
      <c r="LK185" s="159"/>
      <c r="LL185" s="159"/>
      <c r="LM185" s="159"/>
      <c r="LN185" s="159"/>
      <c r="LO185" s="159"/>
      <c r="LP185" s="159"/>
      <c r="LQ185" s="159"/>
      <c r="LR185" s="159"/>
      <c r="LS185" s="159"/>
      <c r="LT185" s="159"/>
      <c r="LU185" s="159"/>
      <c r="LV185" s="159"/>
      <c r="LW185" s="159"/>
      <c r="LX185" s="159"/>
      <c r="LY185" s="159"/>
      <c r="LZ185" s="159"/>
      <c r="MA185" s="159"/>
      <c r="MB185" s="159"/>
      <c r="MC185" s="159"/>
      <c r="MD185" s="159"/>
      <c r="ME185" s="159"/>
      <c r="MF185" s="159"/>
      <c r="MG185" s="159"/>
      <c r="MH185" s="159"/>
      <c r="MI185" s="159"/>
      <c r="MJ185" s="159"/>
      <c r="MK185" s="159"/>
      <c r="ML185" s="159"/>
      <c r="MM185" s="159"/>
      <c r="MN185" s="159"/>
      <c r="MO185" s="159"/>
      <c r="MP185" s="159"/>
      <c r="MQ185" s="159"/>
      <c r="MR185" s="159"/>
      <c r="MS185" s="159"/>
      <c r="MT185" s="159"/>
      <c r="MU185" s="159"/>
      <c r="MV185" s="159"/>
      <c r="MW185" s="159"/>
      <c r="MX185" s="159"/>
      <c r="MY185" s="159"/>
      <c r="MZ185" s="159"/>
      <c r="NA185" s="159"/>
      <c r="NB185" s="159"/>
      <c r="NC185" s="159"/>
      <c r="ND185" s="159"/>
      <c r="NE185" s="159"/>
      <c r="NF185" s="159"/>
      <c r="NG185" s="159"/>
      <c r="NH185" s="159"/>
      <c r="NI185" s="159"/>
      <c r="NJ185" s="159"/>
      <c r="NK185" s="159"/>
      <c r="NL185" s="159"/>
      <c r="NM185" s="159"/>
      <c r="NN185" s="159"/>
      <c r="NO185" s="159"/>
      <c r="NP185" s="159"/>
      <c r="NQ185" s="159"/>
      <c r="NR185" s="159"/>
      <c r="NS185" s="159"/>
      <c r="NT185" s="159"/>
      <c r="NU185" s="159"/>
      <c r="NV185" s="159"/>
      <c r="NW185" s="159"/>
      <c r="NX185" s="159"/>
      <c r="NY185" s="159"/>
      <c r="NZ185" s="159"/>
      <c r="OA185" s="159"/>
      <c r="OB185" s="159"/>
      <c r="OC185" s="159"/>
      <c r="OD185" s="159"/>
      <c r="OE185" s="159"/>
      <c r="OF185" s="159"/>
      <c r="OG185" s="159"/>
      <c r="OH185" s="159"/>
      <c r="OI185" s="159"/>
      <c r="OJ185" s="159"/>
      <c r="OK185" s="159"/>
      <c r="OL185" s="159"/>
      <c r="OM185" s="159"/>
      <c r="ON185" s="159"/>
      <c r="OO185" s="159"/>
      <c r="OP185" s="159"/>
      <c r="OQ185" s="159"/>
      <c r="OR185" s="159"/>
      <c r="OS185" s="159"/>
      <c r="OT185" s="159"/>
      <c r="OU185" s="159"/>
      <c r="OV185" s="159"/>
      <c r="OW185" s="159"/>
      <c r="OX185" s="159"/>
      <c r="OY185" s="159"/>
      <c r="OZ185" s="159"/>
      <c r="PA185" s="159"/>
      <c r="PB185" s="159"/>
      <c r="PC185" s="159"/>
      <c r="PD185" s="159"/>
      <c r="PE185" s="159"/>
      <c r="PF185" s="159"/>
      <c r="PG185" s="159"/>
      <c r="PH185" s="159"/>
      <c r="PI185" s="159"/>
      <c r="PJ185" s="159"/>
      <c r="PK185" s="159"/>
      <c r="PL185" s="159"/>
      <c r="PM185" s="159"/>
      <c r="PN185" s="159"/>
      <c r="PO185" s="159"/>
      <c r="PP185" s="159"/>
      <c r="PQ185" s="159"/>
      <c r="PR185" s="159"/>
      <c r="PS185" s="159"/>
      <c r="PT185" s="159"/>
      <c r="PU185" s="159"/>
      <c r="PV185" s="159"/>
      <c r="PW185" s="159"/>
      <c r="PX185" s="159"/>
      <c r="PY185" s="159"/>
      <c r="PZ185" s="159"/>
      <c r="QA185" s="159"/>
      <c r="QB185" s="159"/>
      <c r="QC185" s="159"/>
      <c r="QD185" s="159"/>
      <c r="QE185" s="159"/>
      <c r="QF185" s="159"/>
      <c r="QG185" s="159"/>
      <c r="QH185" s="159"/>
      <c r="QI185" s="159"/>
      <c r="QJ185" s="159"/>
      <c r="QK185" s="159"/>
      <c r="QL185" s="159"/>
      <c r="QM185" s="159"/>
      <c r="QN185" s="159"/>
      <c r="QO185" s="159"/>
      <c r="QP185" s="159"/>
      <c r="QQ185" s="159"/>
      <c r="QR185" s="159"/>
      <c r="QS185" s="159"/>
      <c r="QT185" s="159"/>
      <c r="QU185" s="159"/>
      <c r="QV185" s="159"/>
      <c r="QW185" s="159"/>
      <c r="QX185" s="159"/>
      <c r="QY185" s="159"/>
      <c r="QZ185" s="159"/>
      <c r="RA185" s="159"/>
      <c r="RB185" s="159"/>
      <c r="RC185" s="159"/>
      <c r="RD185" s="159"/>
      <c r="RE185" s="159"/>
      <c r="RF185" s="159"/>
      <c r="RG185" s="159"/>
      <c r="RH185" s="159"/>
      <c r="RI185" s="159"/>
      <c r="RJ185" s="159"/>
      <c r="RK185" s="159"/>
      <c r="RL185" s="159"/>
      <c r="RM185" s="159"/>
      <c r="RN185" s="159"/>
      <c r="RO185" s="159"/>
      <c r="RP185" s="159"/>
      <c r="RQ185" s="159"/>
      <c r="RR185" s="159"/>
      <c r="RS185" s="159"/>
      <c r="RT185" s="159"/>
      <c r="RU185" s="159"/>
      <c r="RV185" s="159"/>
      <c r="RW185" s="159"/>
      <c r="RX185" s="159"/>
      <c r="RY185" s="159"/>
      <c r="RZ185" s="159"/>
      <c r="SA185" s="159"/>
      <c r="SB185" s="159"/>
      <c r="SC185" s="159"/>
      <c r="SD185" s="159"/>
      <c r="SE185" s="159"/>
      <c r="SF185" s="159"/>
      <c r="SG185" s="159"/>
      <c r="SH185" s="159"/>
      <c r="SI185" s="159"/>
      <c r="SJ185" s="159"/>
      <c r="SK185" s="159"/>
      <c r="SL185" s="159"/>
      <c r="SM185" s="159"/>
      <c r="SN185" s="159"/>
      <c r="SO185" s="159"/>
      <c r="SP185" s="159"/>
      <c r="SQ185" s="159"/>
      <c r="SR185" s="159"/>
      <c r="SS185" s="159"/>
      <c r="ST185" s="159"/>
      <c r="SU185" s="159"/>
      <c r="SV185" s="159"/>
      <c r="SW185" s="159"/>
      <c r="SX185" s="159"/>
      <c r="SY185" s="159"/>
      <c r="SZ185" s="159"/>
      <c r="TA185" s="159"/>
      <c r="TB185" s="159"/>
      <c r="TC185" s="159"/>
      <c r="TD185" s="159"/>
      <c r="TE185" s="159"/>
      <c r="TF185" s="159"/>
      <c r="TG185" s="159"/>
      <c r="TH185" s="159"/>
      <c r="TI185" s="159"/>
      <c r="TJ185" s="159"/>
      <c r="TK185" s="159"/>
      <c r="TL185" s="159"/>
      <c r="TM185" s="159"/>
      <c r="TN185" s="159"/>
      <c r="TO185" s="159"/>
      <c r="TP185" s="159"/>
      <c r="TQ185" s="159"/>
      <c r="TR185" s="159"/>
      <c r="TS185" s="159"/>
      <c r="TT185" s="159"/>
      <c r="TU185" s="159"/>
      <c r="TV185" s="159"/>
      <c r="TW185" s="159"/>
      <c r="TX185" s="159"/>
      <c r="TY185" s="159"/>
      <c r="TZ185" s="159"/>
      <c r="UA185" s="159"/>
      <c r="UB185" s="159"/>
      <c r="UC185" s="159"/>
      <c r="UD185" s="159"/>
      <c r="UE185" s="159"/>
      <c r="UF185" s="159"/>
      <c r="UG185" s="159"/>
      <c r="UH185" s="159"/>
      <c r="UI185" s="159"/>
      <c r="UJ185" s="159"/>
      <c r="UK185" s="159"/>
      <c r="UL185" s="159"/>
      <c r="UM185" s="159"/>
      <c r="UN185" s="159"/>
      <c r="UO185" s="159"/>
      <c r="UP185" s="159"/>
      <c r="UQ185" s="159"/>
      <c r="UR185" s="159"/>
      <c r="US185" s="159"/>
      <c r="UT185" s="159"/>
      <c r="UU185" s="159"/>
      <c r="UV185" s="159"/>
      <c r="UW185" s="159"/>
      <c r="UX185" s="159"/>
      <c r="UY185" s="159"/>
      <c r="UZ185" s="159"/>
      <c r="VA185" s="159"/>
      <c r="VB185" s="159"/>
      <c r="VC185" s="159"/>
      <c r="VD185" s="159"/>
      <c r="VE185" s="159"/>
      <c r="VF185" s="159"/>
      <c r="VG185" s="159"/>
      <c r="VH185" s="159"/>
      <c r="VI185" s="159"/>
      <c r="VJ185" s="159"/>
      <c r="VK185" s="159"/>
      <c r="VL185" s="159"/>
      <c r="VM185" s="159"/>
      <c r="VN185" s="159"/>
      <c r="VO185" s="159"/>
      <c r="VP185" s="159"/>
      <c r="VQ185" s="159"/>
      <c r="VR185" s="159"/>
      <c r="VS185" s="159"/>
      <c r="VT185" s="159"/>
      <c r="VU185" s="159"/>
      <c r="VV185" s="159"/>
      <c r="VW185" s="159"/>
      <c r="VX185" s="159"/>
      <c r="VY185" s="159"/>
      <c r="VZ185" s="159"/>
      <c r="WA185" s="159"/>
      <c r="WB185" s="159"/>
      <c r="WC185" s="159"/>
      <c r="WD185" s="159"/>
      <c r="WE185" s="159"/>
      <c r="WF185" s="159"/>
      <c r="WG185" s="159"/>
      <c r="WH185" s="159"/>
      <c r="WI185" s="159"/>
      <c r="WJ185" s="159"/>
      <c r="WK185" s="159"/>
      <c r="WL185" s="159"/>
      <c r="WM185" s="159"/>
      <c r="WN185" s="159"/>
      <c r="WO185" s="159"/>
      <c r="WP185" s="159"/>
      <c r="WQ185" s="159"/>
      <c r="WR185" s="159"/>
      <c r="WS185" s="159"/>
      <c r="WT185" s="159"/>
      <c r="WU185" s="159"/>
      <c r="WV185" s="159"/>
      <c r="WW185" s="159"/>
      <c r="WX185" s="159"/>
      <c r="WY185" s="159"/>
      <c r="WZ185" s="159"/>
      <c r="XA185" s="159"/>
      <c r="XB185" s="159"/>
      <c r="XC185" s="159"/>
      <c r="XD185" s="159"/>
      <c r="XE185" s="159"/>
      <c r="XF185" s="159"/>
      <c r="XG185" s="159"/>
      <c r="XH185" s="159"/>
      <c r="XI185" s="159"/>
      <c r="XJ185" s="159"/>
      <c r="XK185" s="159"/>
      <c r="XL185" s="159"/>
      <c r="XM185" s="159"/>
      <c r="XN185" s="159"/>
      <c r="XO185" s="159"/>
      <c r="XP185" s="159"/>
      <c r="XQ185" s="159"/>
      <c r="XR185" s="159"/>
      <c r="XS185" s="159"/>
      <c r="XT185" s="159"/>
      <c r="XU185" s="159"/>
      <c r="XV185" s="159"/>
      <c r="XW185" s="159"/>
      <c r="XX185" s="159"/>
      <c r="XY185" s="159"/>
      <c r="XZ185" s="159"/>
      <c r="YA185" s="159"/>
      <c r="YB185" s="159"/>
      <c r="YC185" s="159"/>
      <c r="YD185" s="159"/>
      <c r="YE185" s="159"/>
      <c r="YF185" s="159"/>
      <c r="YG185" s="159"/>
      <c r="YH185" s="159"/>
      <c r="YI185" s="159"/>
      <c r="YJ185" s="159"/>
      <c r="YK185" s="159"/>
      <c r="YL185" s="159"/>
      <c r="YM185" s="159"/>
      <c r="YN185" s="159"/>
      <c r="YO185" s="159"/>
      <c r="YP185" s="159"/>
      <c r="YQ185" s="159"/>
      <c r="YR185" s="159"/>
      <c r="YS185" s="159"/>
      <c r="YT185" s="159"/>
      <c r="YU185" s="159"/>
      <c r="YV185" s="159"/>
      <c r="YW185" s="159"/>
      <c r="YX185" s="159"/>
      <c r="YY185" s="159"/>
      <c r="YZ185" s="159"/>
      <c r="ZA185" s="159"/>
      <c r="ZB185" s="159"/>
      <c r="ZC185" s="159"/>
      <c r="ZD185" s="159"/>
      <c r="ZE185" s="159"/>
      <c r="ZF185" s="159"/>
      <c r="ZG185" s="159"/>
      <c r="ZH185" s="159"/>
      <c r="ZI185" s="159"/>
      <c r="ZJ185" s="159"/>
      <c r="ZK185" s="159"/>
      <c r="ZL185" s="159"/>
      <c r="ZM185" s="159"/>
      <c r="ZN185" s="159"/>
      <c r="ZO185" s="159"/>
      <c r="ZP185" s="159"/>
      <c r="ZQ185" s="159"/>
      <c r="ZR185" s="159"/>
      <c r="ZS185" s="159"/>
      <c r="ZT185" s="159"/>
      <c r="ZU185" s="159"/>
      <c r="ZV185" s="159"/>
      <c r="ZW185" s="159"/>
      <c r="ZX185" s="159"/>
      <c r="ZY185" s="159"/>
      <c r="ZZ185" s="159"/>
      <c r="AAA185" s="159"/>
      <c r="AAB185" s="159"/>
      <c r="AAC185" s="159"/>
      <c r="AAD185" s="159"/>
      <c r="AAE185" s="159"/>
      <c r="AAF185" s="159"/>
      <c r="AAG185" s="159"/>
      <c r="AAH185" s="159"/>
      <c r="AAI185" s="159"/>
      <c r="AAJ185" s="159"/>
      <c r="AAK185" s="159"/>
      <c r="AAL185" s="159"/>
      <c r="AAM185" s="159"/>
      <c r="AAN185" s="159"/>
      <c r="AAO185" s="159"/>
      <c r="AAP185" s="159"/>
      <c r="AAQ185" s="159"/>
      <c r="AAR185" s="159"/>
      <c r="AAS185" s="159"/>
      <c r="AAT185" s="159"/>
      <c r="AAU185" s="159"/>
      <c r="AAV185" s="159"/>
      <c r="AAW185" s="159"/>
      <c r="AAX185" s="159"/>
      <c r="AAY185" s="159"/>
      <c r="AAZ185" s="159"/>
      <c r="ABA185" s="159"/>
      <c r="ABB185" s="159"/>
      <c r="ABC185" s="159"/>
      <c r="ABD185" s="159"/>
      <c r="ABE185" s="159"/>
      <c r="ABF185" s="159"/>
      <c r="ABG185" s="159"/>
      <c r="ABH185" s="159"/>
      <c r="ABI185" s="159"/>
      <c r="ABJ185" s="159"/>
      <c r="ABK185" s="159"/>
      <c r="ABL185" s="159"/>
      <c r="ABM185" s="159"/>
      <c r="ABN185" s="159"/>
      <c r="ABO185" s="159"/>
      <c r="ABP185" s="159"/>
      <c r="ABQ185" s="159"/>
      <c r="ABR185" s="159"/>
      <c r="ABS185" s="159"/>
      <c r="ABT185" s="159"/>
      <c r="ABU185" s="159"/>
      <c r="ABV185" s="159"/>
      <c r="ABW185" s="159"/>
      <c r="ABX185" s="159"/>
      <c r="ABY185" s="159"/>
      <c r="ABZ185" s="159"/>
      <c r="ACA185" s="159"/>
      <c r="ACB185" s="159"/>
      <c r="ACC185" s="159"/>
      <c r="ACD185" s="159"/>
      <c r="ACE185" s="159"/>
      <c r="ACF185" s="159"/>
      <c r="ACG185" s="159"/>
      <c r="ACH185" s="159"/>
      <c r="ACI185" s="159"/>
      <c r="ACJ185" s="159"/>
      <c r="ACK185" s="159"/>
      <c r="ACL185" s="159"/>
      <c r="ACM185" s="159"/>
      <c r="ACN185" s="159"/>
      <c r="ACO185" s="159"/>
      <c r="ACP185" s="159"/>
      <c r="ACQ185" s="159"/>
      <c r="ACR185" s="159"/>
      <c r="ACS185" s="159"/>
      <c r="ACT185" s="159"/>
      <c r="ACU185" s="159"/>
      <c r="ACV185" s="159"/>
      <c r="ACW185" s="159"/>
      <c r="ACX185" s="159"/>
      <c r="ACY185" s="159"/>
      <c r="ACZ185" s="159"/>
      <c r="ADA185" s="159"/>
      <c r="ADB185" s="159"/>
      <c r="ADC185" s="159"/>
      <c r="ADD185" s="159"/>
      <c r="ADE185" s="159"/>
      <c r="ADF185" s="159"/>
      <c r="ADG185" s="159"/>
      <c r="ADH185" s="159"/>
      <c r="ADI185" s="159"/>
      <c r="ADJ185" s="159"/>
      <c r="ADK185" s="159"/>
      <c r="ADL185" s="159"/>
      <c r="ADM185" s="159"/>
      <c r="ADN185" s="159"/>
      <c r="ADO185" s="159"/>
      <c r="ADP185" s="159"/>
      <c r="ADQ185" s="159"/>
      <c r="ADR185" s="159"/>
      <c r="ADS185" s="159"/>
      <c r="ADT185" s="159"/>
      <c r="ADU185" s="159"/>
      <c r="ADV185" s="159"/>
      <c r="ADW185" s="159"/>
      <c r="ADX185" s="159"/>
      <c r="ADY185" s="159"/>
      <c r="ADZ185" s="159"/>
      <c r="AEA185" s="159"/>
      <c r="AEB185" s="159"/>
      <c r="AEC185" s="159"/>
      <c r="AED185" s="159"/>
      <c r="AEE185" s="159"/>
      <c r="AEF185" s="159"/>
      <c r="AEG185" s="159"/>
      <c r="AEH185" s="159"/>
      <c r="AEI185" s="159"/>
      <c r="AEJ185" s="159"/>
      <c r="AEK185" s="159"/>
      <c r="AEL185" s="159"/>
      <c r="AEM185" s="159"/>
      <c r="AEN185" s="159"/>
      <c r="AEO185" s="159"/>
      <c r="AEP185" s="159"/>
      <c r="AEQ185" s="159"/>
      <c r="AER185" s="159"/>
      <c r="AES185" s="159"/>
      <c r="AET185" s="159"/>
      <c r="AEU185" s="159"/>
      <c r="AEV185" s="159"/>
      <c r="AEW185" s="159"/>
      <c r="AEX185" s="159"/>
      <c r="AEY185" s="159"/>
      <c r="AEZ185" s="159"/>
      <c r="AFA185" s="159"/>
      <c r="AFB185" s="159"/>
      <c r="AFC185" s="159"/>
      <c r="AFD185" s="159"/>
      <c r="AFE185" s="159"/>
      <c r="AFF185" s="159"/>
      <c r="AFG185" s="159"/>
      <c r="AFH185" s="159"/>
      <c r="AFI185" s="159"/>
      <c r="AFJ185" s="159"/>
      <c r="AFK185" s="159"/>
      <c r="AFL185" s="159"/>
      <c r="AFM185" s="159"/>
      <c r="AFN185" s="159"/>
      <c r="AFO185" s="159"/>
      <c r="AFP185" s="159"/>
      <c r="AFQ185" s="159"/>
      <c r="AFR185" s="159"/>
      <c r="AFS185" s="159"/>
      <c r="AFT185" s="159"/>
      <c r="AFU185" s="159"/>
      <c r="AFV185" s="159"/>
      <c r="AFW185" s="159"/>
      <c r="AFX185" s="159"/>
      <c r="AFY185" s="159"/>
      <c r="AFZ185" s="159"/>
      <c r="AGA185" s="159"/>
      <c r="AGB185" s="159"/>
      <c r="AGC185" s="159"/>
      <c r="AGD185" s="159"/>
      <c r="AGE185" s="159"/>
      <c r="AGF185" s="159"/>
      <c r="AGG185" s="159"/>
      <c r="AGH185" s="159"/>
      <c r="AGI185" s="159"/>
      <c r="AGJ185" s="159"/>
      <c r="AGK185" s="159"/>
      <c r="AGL185" s="159"/>
      <c r="AGM185" s="159"/>
      <c r="AGN185" s="159"/>
      <c r="AGO185" s="159"/>
      <c r="AGP185" s="159"/>
      <c r="AGQ185" s="159"/>
      <c r="AGR185" s="159"/>
      <c r="AGS185" s="159"/>
      <c r="AGT185" s="159"/>
      <c r="AGU185" s="159"/>
      <c r="AGV185" s="159"/>
      <c r="AGW185" s="159"/>
      <c r="AGX185" s="159"/>
      <c r="AGY185" s="159"/>
      <c r="AGZ185" s="159"/>
      <c r="AHA185" s="159"/>
      <c r="AHB185" s="159"/>
      <c r="AHC185" s="159"/>
      <c r="AHD185" s="159"/>
      <c r="AHE185" s="159"/>
      <c r="AHF185" s="159"/>
      <c r="AHG185" s="159"/>
      <c r="AHH185" s="159"/>
      <c r="AHI185" s="159"/>
      <c r="AHJ185" s="159"/>
      <c r="AHK185" s="159"/>
      <c r="AHL185" s="159"/>
      <c r="AHM185" s="159"/>
      <c r="AHN185" s="159"/>
      <c r="AHO185" s="159"/>
      <c r="AHP185" s="159"/>
      <c r="AHQ185" s="159"/>
      <c r="AHR185" s="159"/>
      <c r="AHS185" s="159"/>
      <c r="AHT185" s="159"/>
      <c r="AHU185" s="159"/>
      <c r="AHV185" s="159"/>
      <c r="AHW185" s="159"/>
      <c r="AHX185" s="159"/>
      <c r="AHY185" s="159"/>
      <c r="AHZ185" s="159"/>
      <c r="AIA185" s="159"/>
      <c r="AIB185" s="159"/>
      <c r="AIC185" s="159"/>
      <c r="AID185" s="159"/>
      <c r="AIE185" s="159"/>
      <c r="AIF185" s="159"/>
      <c r="AIG185" s="159"/>
      <c r="AIH185" s="159"/>
      <c r="AII185" s="159"/>
      <c r="AIJ185" s="159"/>
      <c r="AIK185" s="159"/>
      <c r="AIL185" s="159"/>
      <c r="AIM185" s="159"/>
      <c r="AIN185" s="159"/>
      <c r="AIO185" s="159"/>
      <c r="AIP185" s="159"/>
      <c r="AIQ185" s="159"/>
      <c r="AIR185" s="159"/>
      <c r="AIS185" s="159"/>
      <c r="AIT185" s="159"/>
      <c r="AIU185" s="159"/>
      <c r="AIV185" s="159"/>
      <c r="AIW185" s="159"/>
      <c r="AIX185" s="159"/>
      <c r="AIY185" s="159"/>
      <c r="AIZ185" s="159"/>
      <c r="AJA185" s="159"/>
      <c r="AJB185" s="159"/>
      <c r="AJC185" s="159"/>
      <c r="AJD185" s="159"/>
      <c r="AJE185" s="159"/>
      <c r="AJF185" s="159"/>
      <c r="AJG185" s="159"/>
      <c r="AJH185" s="159"/>
      <c r="AJI185" s="159"/>
      <c r="AJJ185" s="159"/>
      <c r="AJK185" s="159"/>
      <c r="AJL185" s="159"/>
      <c r="AJM185" s="159"/>
      <c r="AJN185" s="159"/>
      <c r="AJO185" s="159"/>
      <c r="AJP185" s="159"/>
      <c r="AJQ185" s="159"/>
      <c r="AJR185" s="159"/>
      <c r="AJS185" s="159"/>
      <c r="AJT185" s="159"/>
      <c r="AJU185" s="159"/>
      <c r="AJV185" s="159"/>
      <c r="AJW185" s="159"/>
      <c r="AJX185" s="159"/>
      <c r="AJY185" s="159"/>
      <c r="AJZ185" s="159"/>
      <c r="AKA185" s="159"/>
      <c r="AKB185" s="159"/>
      <c r="AKC185" s="159"/>
      <c r="AKD185" s="159"/>
      <c r="AKE185" s="159"/>
      <c r="AKF185" s="159"/>
      <c r="AKG185" s="159"/>
      <c r="AKH185" s="159"/>
      <c r="AKI185" s="159"/>
      <c r="AKJ185" s="159"/>
      <c r="AKK185" s="159"/>
      <c r="AKL185" s="159"/>
      <c r="AKM185" s="159"/>
      <c r="AKN185" s="159"/>
      <c r="AKO185" s="159"/>
      <c r="AKP185" s="159"/>
      <c r="AKQ185" s="159"/>
      <c r="AKR185" s="159"/>
      <c r="AKS185" s="159"/>
      <c r="AKT185" s="159"/>
      <c r="AKU185" s="159"/>
      <c r="AKV185" s="159"/>
      <c r="AKW185" s="159"/>
      <c r="AKX185" s="159"/>
      <c r="AKY185" s="159"/>
      <c r="AKZ185" s="159"/>
      <c r="ALA185" s="159"/>
      <c r="ALB185" s="159"/>
      <c r="ALC185" s="159"/>
      <c r="ALD185" s="159"/>
      <c r="ALE185" s="159"/>
      <c r="ALF185" s="159"/>
      <c r="ALG185" s="159"/>
      <c r="ALH185" s="159"/>
      <c r="ALI185" s="159"/>
      <c r="ALJ185" s="159"/>
      <c r="ALK185" s="159"/>
      <c r="ALL185" s="159"/>
      <c r="ALM185" s="159"/>
      <c r="ALN185" s="159"/>
      <c r="ALO185" s="159"/>
      <c r="ALP185" s="159"/>
      <c r="ALQ185" s="159"/>
      <c r="ALR185" s="159"/>
      <c r="ALS185" s="159"/>
      <c r="ALT185" s="159"/>
      <c r="ALU185" s="159"/>
      <c r="ALV185" s="159"/>
      <c r="ALW185" s="159"/>
      <c r="ALX185" s="159"/>
      <c r="ALY185" s="159"/>
      <c r="ALZ185" s="159"/>
      <c r="AMA185" s="159"/>
      <c r="AMB185" s="159"/>
      <c r="AMC185" s="159"/>
      <c r="AMD185" s="159"/>
      <c r="AME185" s="159"/>
      <c r="AMF185" s="159"/>
      <c r="AMG185" s="159"/>
      <c r="AMH185" s="159"/>
      <c r="AMI185" s="159"/>
      <c r="AMJ185" s="159"/>
      <c r="AMK185" s="159"/>
      <c r="AML185" s="159"/>
      <c r="AMM185" s="159"/>
      <c r="AMN185" s="159"/>
      <c r="AMO185" s="159"/>
    </row>
    <row r="186" spans="1:1029" s="161" customFormat="1" ht="27" customHeight="1" x14ac:dyDescent="0.25">
      <c r="A186" s="138">
        <v>46281</v>
      </c>
      <c r="B186" s="99" t="s">
        <v>50</v>
      </c>
      <c r="C186" s="99" t="s">
        <v>290</v>
      </c>
      <c r="D186" s="160" t="s">
        <v>60</v>
      </c>
      <c r="E186" s="118" t="s">
        <v>14</v>
      </c>
      <c r="F186" s="149" t="s">
        <v>10</v>
      </c>
      <c r="G186" s="149" t="s">
        <v>11</v>
      </c>
      <c r="H186" s="141" t="b">
        <f t="shared" si="12"/>
        <v>0</v>
      </c>
      <c r="I186" s="120" t="s">
        <v>282</v>
      </c>
      <c r="J186" s="121" t="s">
        <v>54</v>
      </c>
      <c r="K186" s="121" t="s">
        <v>285</v>
      </c>
      <c r="L186" s="141" t="b">
        <f t="shared" si="13"/>
        <v>0</v>
      </c>
      <c r="M186" s="121" t="s">
        <v>101</v>
      </c>
      <c r="N186" s="121" t="s">
        <v>10</v>
      </c>
      <c r="O186" s="121" t="s">
        <v>31</v>
      </c>
      <c r="P186" s="141" t="b">
        <f t="shared" si="14"/>
        <v>0</v>
      </c>
      <c r="Q186" s="149" t="s">
        <v>87</v>
      </c>
      <c r="R186" s="99" t="s">
        <v>290</v>
      </c>
      <c r="S186" s="99" t="s">
        <v>168</v>
      </c>
      <c r="T186" s="141">
        <f t="shared" si="15"/>
        <v>0.5</v>
      </c>
      <c r="U186" s="159"/>
      <c r="V186" s="159"/>
      <c r="W186" s="159"/>
      <c r="X186" s="159"/>
      <c r="Y186" s="159"/>
      <c r="Z186" s="159"/>
      <c r="AA186" s="159"/>
      <c r="AB186" s="159"/>
      <c r="AC186" s="159"/>
      <c r="AD186" s="159"/>
      <c r="AE186" s="159"/>
      <c r="AF186" s="159"/>
      <c r="AG186" s="159"/>
      <c r="AH186" s="159"/>
      <c r="AI186" s="159"/>
      <c r="AJ186" s="159"/>
      <c r="AK186" s="159"/>
      <c r="AL186" s="159"/>
      <c r="AM186" s="159"/>
      <c r="AN186" s="159"/>
      <c r="AO186" s="159"/>
      <c r="AP186" s="159"/>
      <c r="AQ186" s="159"/>
      <c r="AR186" s="159"/>
      <c r="AS186" s="159"/>
      <c r="AT186" s="159"/>
      <c r="AU186" s="159"/>
      <c r="AV186" s="159"/>
      <c r="AW186" s="159"/>
      <c r="AX186" s="159"/>
      <c r="AY186" s="159"/>
      <c r="AZ186" s="159"/>
      <c r="BA186" s="159"/>
      <c r="BB186" s="159"/>
      <c r="BC186" s="159"/>
      <c r="BD186" s="159"/>
      <c r="BE186" s="159"/>
      <c r="BF186" s="159"/>
      <c r="BG186" s="159"/>
      <c r="BH186" s="159"/>
      <c r="BI186" s="159"/>
      <c r="BJ186" s="159"/>
      <c r="BK186" s="159"/>
      <c r="BL186" s="159"/>
      <c r="BM186" s="159"/>
      <c r="BN186" s="159"/>
      <c r="BO186" s="159"/>
      <c r="BP186" s="159"/>
      <c r="BQ186" s="159"/>
      <c r="BR186" s="159"/>
      <c r="BS186" s="159"/>
      <c r="BT186" s="159"/>
      <c r="BU186" s="159"/>
      <c r="BV186" s="159"/>
      <c r="BW186" s="159"/>
      <c r="BX186" s="159"/>
      <c r="BY186" s="159"/>
      <c r="BZ186" s="159"/>
      <c r="CA186" s="159"/>
      <c r="CB186" s="159"/>
      <c r="CC186" s="159"/>
      <c r="CD186" s="159"/>
      <c r="CE186" s="159"/>
      <c r="CF186" s="159"/>
      <c r="CG186" s="159"/>
      <c r="CH186" s="159"/>
      <c r="CI186" s="159"/>
      <c r="CJ186" s="159"/>
      <c r="CK186" s="159"/>
      <c r="CL186" s="159"/>
      <c r="CM186" s="159"/>
      <c r="CN186" s="159"/>
      <c r="CO186" s="159"/>
      <c r="CP186" s="159"/>
      <c r="CQ186" s="159"/>
      <c r="CR186" s="159"/>
      <c r="CS186" s="159"/>
      <c r="CT186" s="159"/>
      <c r="CU186" s="159"/>
      <c r="CV186" s="159"/>
      <c r="CW186" s="159"/>
      <c r="CX186" s="159"/>
      <c r="CY186" s="159"/>
      <c r="CZ186" s="159"/>
      <c r="DA186" s="159"/>
      <c r="DB186" s="159"/>
      <c r="DC186" s="159"/>
      <c r="DD186" s="159"/>
      <c r="DE186" s="159"/>
      <c r="DF186" s="159"/>
      <c r="DG186" s="159"/>
      <c r="DH186" s="159"/>
      <c r="DI186" s="159"/>
      <c r="DJ186" s="159"/>
      <c r="DK186" s="159"/>
      <c r="DL186" s="159"/>
      <c r="DM186" s="159"/>
      <c r="DN186" s="159"/>
      <c r="DO186" s="159"/>
      <c r="DP186" s="159"/>
      <c r="DQ186" s="159"/>
      <c r="DR186" s="159"/>
      <c r="DS186" s="159"/>
      <c r="DT186" s="159"/>
      <c r="DU186" s="159"/>
      <c r="DV186" s="159"/>
      <c r="DW186" s="159"/>
      <c r="DX186" s="159"/>
      <c r="DY186" s="159"/>
      <c r="DZ186" s="159"/>
      <c r="EA186" s="159"/>
      <c r="EB186" s="159"/>
      <c r="EC186" s="159"/>
      <c r="ED186" s="159"/>
      <c r="EE186" s="159"/>
      <c r="EF186" s="159"/>
      <c r="EG186" s="159"/>
      <c r="EH186" s="159"/>
      <c r="EI186" s="159"/>
      <c r="EJ186" s="159"/>
      <c r="EK186" s="159"/>
      <c r="EL186" s="159"/>
      <c r="EM186" s="159"/>
      <c r="EN186" s="159"/>
      <c r="EO186" s="159"/>
      <c r="EP186" s="159"/>
      <c r="EQ186" s="159"/>
      <c r="ER186" s="159"/>
      <c r="ES186" s="159"/>
      <c r="ET186" s="159"/>
      <c r="EU186" s="159"/>
      <c r="EV186" s="159"/>
      <c r="EW186" s="159"/>
      <c r="EX186" s="159"/>
      <c r="EY186" s="159"/>
      <c r="EZ186" s="159"/>
      <c r="FA186" s="159"/>
      <c r="FB186" s="159"/>
      <c r="FC186" s="159"/>
      <c r="FD186" s="159"/>
      <c r="FE186" s="159"/>
      <c r="FF186" s="159"/>
      <c r="FG186" s="159"/>
      <c r="FH186" s="159"/>
      <c r="FI186" s="159"/>
      <c r="FJ186" s="159"/>
      <c r="FK186" s="159"/>
      <c r="FL186" s="159"/>
      <c r="FM186" s="159"/>
      <c r="FN186" s="159"/>
      <c r="FO186" s="159"/>
      <c r="FP186" s="159"/>
      <c r="FQ186" s="159"/>
      <c r="FR186" s="159"/>
      <c r="FS186" s="159"/>
      <c r="FT186" s="159"/>
      <c r="FU186" s="159"/>
      <c r="FV186" s="159"/>
      <c r="FW186" s="159"/>
      <c r="FX186" s="159"/>
      <c r="FY186" s="159"/>
      <c r="FZ186" s="159"/>
      <c r="GA186" s="159"/>
      <c r="GB186" s="159"/>
      <c r="GC186" s="159"/>
      <c r="GD186" s="159"/>
      <c r="GE186" s="159"/>
      <c r="GF186" s="159"/>
      <c r="GG186" s="159"/>
      <c r="GH186" s="159"/>
      <c r="GI186" s="159"/>
      <c r="GJ186" s="159"/>
      <c r="GK186" s="159"/>
      <c r="GL186" s="159"/>
      <c r="GM186" s="159"/>
      <c r="GN186" s="159"/>
      <c r="GO186" s="159"/>
      <c r="GP186" s="159"/>
      <c r="GQ186" s="159"/>
      <c r="GR186" s="159"/>
      <c r="GS186" s="159"/>
      <c r="GT186" s="159"/>
      <c r="GU186" s="159"/>
      <c r="GV186" s="159"/>
      <c r="GW186" s="159"/>
      <c r="GX186" s="159"/>
      <c r="GY186" s="159"/>
      <c r="GZ186" s="159"/>
      <c r="HA186" s="159"/>
      <c r="HB186" s="159"/>
      <c r="HC186" s="159"/>
      <c r="HD186" s="159"/>
      <c r="HE186" s="159"/>
      <c r="HF186" s="159"/>
      <c r="HG186" s="159"/>
      <c r="HH186" s="159"/>
      <c r="HI186" s="159"/>
      <c r="HJ186" s="159"/>
      <c r="HK186" s="159"/>
      <c r="HL186" s="159"/>
      <c r="HM186" s="159"/>
      <c r="HN186" s="159"/>
      <c r="HO186" s="159"/>
      <c r="HP186" s="159"/>
      <c r="HQ186" s="159"/>
      <c r="HR186" s="159"/>
      <c r="HS186" s="159"/>
      <c r="HT186" s="159"/>
      <c r="HU186" s="159"/>
      <c r="HV186" s="159"/>
      <c r="HW186" s="159"/>
      <c r="HX186" s="159"/>
      <c r="HY186" s="159"/>
      <c r="HZ186" s="159"/>
      <c r="IA186" s="159"/>
      <c r="IB186" s="159"/>
      <c r="IC186" s="159"/>
      <c r="ID186" s="159"/>
      <c r="IE186" s="159"/>
      <c r="IF186" s="159"/>
      <c r="IG186" s="159"/>
      <c r="IH186" s="159"/>
      <c r="II186" s="159"/>
      <c r="IJ186" s="159"/>
      <c r="IK186" s="159"/>
      <c r="IL186" s="159"/>
      <c r="IM186" s="159"/>
      <c r="IN186" s="159"/>
      <c r="IO186" s="159"/>
      <c r="IP186" s="159"/>
      <c r="IQ186" s="159"/>
      <c r="IR186" s="159"/>
      <c r="IS186" s="159"/>
      <c r="IT186" s="159"/>
      <c r="IU186" s="159"/>
      <c r="IV186" s="159"/>
      <c r="IW186" s="159"/>
      <c r="IX186" s="159"/>
      <c r="IY186" s="159"/>
      <c r="IZ186" s="159"/>
      <c r="JA186" s="159"/>
      <c r="JB186" s="159"/>
      <c r="JC186" s="159"/>
      <c r="JD186" s="159"/>
      <c r="JE186" s="159"/>
      <c r="JF186" s="159"/>
      <c r="JG186" s="159"/>
      <c r="JH186" s="159"/>
      <c r="JI186" s="159"/>
      <c r="JJ186" s="159"/>
      <c r="JK186" s="159"/>
      <c r="JL186" s="159"/>
      <c r="JM186" s="159"/>
      <c r="JN186" s="159"/>
      <c r="JO186" s="159"/>
      <c r="JP186" s="159"/>
      <c r="JQ186" s="159"/>
      <c r="JR186" s="159"/>
      <c r="JS186" s="159"/>
      <c r="JT186" s="159"/>
      <c r="JU186" s="159"/>
      <c r="JV186" s="159"/>
      <c r="JW186" s="159"/>
      <c r="JX186" s="159"/>
      <c r="JY186" s="159"/>
      <c r="JZ186" s="159"/>
      <c r="KA186" s="159"/>
      <c r="KB186" s="159"/>
      <c r="KC186" s="159"/>
      <c r="KD186" s="159"/>
      <c r="KE186" s="159"/>
      <c r="KF186" s="159"/>
      <c r="KG186" s="159"/>
      <c r="KH186" s="159"/>
      <c r="KI186" s="159"/>
      <c r="KJ186" s="159"/>
      <c r="KK186" s="159"/>
      <c r="KL186" s="159"/>
      <c r="KM186" s="159"/>
      <c r="KN186" s="159"/>
      <c r="KO186" s="159"/>
      <c r="KP186" s="159"/>
      <c r="KQ186" s="159"/>
      <c r="KR186" s="159"/>
      <c r="KS186" s="159"/>
      <c r="KT186" s="159"/>
      <c r="KU186" s="159"/>
      <c r="KV186" s="159"/>
      <c r="KW186" s="159"/>
      <c r="KX186" s="159"/>
      <c r="KY186" s="159"/>
      <c r="KZ186" s="159"/>
      <c r="LA186" s="159"/>
      <c r="LB186" s="159"/>
      <c r="LC186" s="159"/>
      <c r="LD186" s="159"/>
      <c r="LE186" s="159"/>
      <c r="LF186" s="159"/>
      <c r="LG186" s="159"/>
      <c r="LH186" s="159"/>
      <c r="LI186" s="159"/>
      <c r="LJ186" s="159"/>
      <c r="LK186" s="159"/>
      <c r="LL186" s="159"/>
      <c r="LM186" s="159"/>
      <c r="LN186" s="159"/>
      <c r="LO186" s="159"/>
      <c r="LP186" s="159"/>
      <c r="LQ186" s="159"/>
      <c r="LR186" s="159"/>
      <c r="LS186" s="159"/>
      <c r="LT186" s="159"/>
      <c r="LU186" s="159"/>
      <c r="LV186" s="159"/>
      <c r="LW186" s="159"/>
      <c r="LX186" s="159"/>
      <c r="LY186" s="159"/>
      <c r="LZ186" s="159"/>
      <c r="MA186" s="159"/>
      <c r="MB186" s="159"/>
      <c r="MC186" s="159"/>
      <c r="MD186" s="159"/>
      <c r="ME186" s="159"/>
      <c r="MF186" s="159"/>
      <c r="MG186" s="159"/>
      <c r="MH186" s="159"/>
      <c r="MI186" s="159"/>
      <c r="MJ186" s="159"/>
      <c r="MK186" s="159"/>
      <c r="ML186" s="159"/>
      <c r="MM186" s="159"/>
      <c r="MN186" s="159"/>
      <c r="MO186" s="159"/>
      <c r="MP186" s="159"/>
      <c r="MQ186" s="159"/>
      <c r="MR186" s="159"/>
      <c r="MS186" s="159"/>
      <c r="MT186" s="159"/>
      <c r="MU186" s="159"/>
      <c r="MV186" s="159"/>
      <c r="MW186" s="159"/>
      <c r="MX186" s="159"/>
      <c r="MY186" s="159"/>
      <c r="MZ186" s="159"/>
      <c r="NA186" s="159"/>
      <c r="NB186" s="159"/>
      <c r="NC186" s="159"/>
      <c r="ND186" s="159"/>
      <c r="NE186" s="159"/>
      <c r="NF186" s="159"/>
      <c r="NG186" s="159"/>
      <c r="NH186" s="159"/>
      <c r="NI186" s="159"/>
      <c r="NJ186" s="159"/>
      <c r="NK186" s="159"/>
      <c r="NL186" s="159"/>
      <c r="NM186" s="159"/>
      <c r="NN186" s="159"/>
      <c r="NO186" s="159"/>
      <c r="NP186" s="159"/>
      <c r="NQ186" s="159"/>
      <c r="NR186" s="159"/>
      <c r="NS186" s="159"/>
      <c r="NT186" s="159"/>
      <c r="NU186" s="159"/>
      <c r="NV186" s="159"/>
      <c r="NW186" s="159"/>
      <c r="NX186" s="159"/>
      <c r="NY186" s="159"/>
      <c r="NZ186" s="159"/>
      <c r="OA186" s="159"/>
      <c r="OB186" s="159"/>
      <c r="OC186" s="159"/>
      <c r="OD186" s="159"/>
      <c r="OE186" s="159"/>
      <c r="OF186" s="159"/>
      <c r="OG186" s="159"/>
      <c r="OH186" s="159"/>
      <c r="OI186" s="159"/>
      <c r="OJ186" s="159"/>
      <c r="OK186" s="159"/>
      <c r="OL186" s="159"/>
      <c r="OM186" s="159"/>
      <c r="ON186" s="159"/>
      <c r="OO186" s="159"/>
      <c r="OP186" s="159"/>
      <c r="OQ186" s="159"/>
      <c r="OR186" s="159"/>
      <c r="OS186" s="159"/>
      <c r="OT186" s="159"/>
      <c r="OU186" s="159"/>
      <c r="OV186" s="159"/>
      <c r="OW186" s="159"/>
      <c r="OX186" s="159"/>
      <c r="OY186" s="159"/>
      <c r="OZ186" s="159"/>
      <c r="PA186" s="159"/>
      <c r="PB186" s="159"/>
      <c r="PC186" s="159"/>
      <c r="PD186" s="159"/>
      <c r="PE186" s="159"/>
      <c r="PF186" s="159"/>
      <c r="PG186" s="159"/>
      <c r="PH186" s="159"/>
      <c r="PI186" s="159"/>
      <c r="PJ186" s="159"/>
      <c r="PK186" s="159"/>
      <c r="PL186" s="159"/>
      <c r="PM186" s="159"/>
      <c r="PN186" s="159"/>
      <c r="PO186" s="159"/>
      <c r="PP186" s="159"/>
      <c r="PQ186" s="159"/>
      <c r="PR186" s="159"/>
      <c r="PS186" s="159"/>
      <c r="PT186" s="159"/>
      <c r="PU186" s="159"/>
      <c r="PV186" s="159"/>
      <c r="PW186" s="159"/>
      <c r="PX186" s="159"/>
      <c r="PY186" s="159"/>
      <c r="PZ186" s="159"/>
      <c r="QA186" s="159"/>
      <c r="QB186" s="159"/>
      <c r="QC186" s="159"/>
      <c r="QD186" s="159"/>
      <c r="QE186" s="159"/>
      <c r="QF186" s="159"/>
      <c r="QG186" s="159"/>
      <c r="QH186" s="159"/>
      <c r="QI186" s="159"/>
      <c r="QJ186" s="159"/>
      <c r="QK186" s="159"/>
      <c r="QL186" s="159"/>
      <c r="QM186" s="159"/>
      <c r="QN186" s="159"/>
      <c r="QO186" s="159"/>
      <c r="QP186" s="159"/>
      <c r="QQ186" s="159"/>
      <c r="QR186" s="159"/>
      <c r="QS186" s="159"/>
      <c r="QT186" s="159"/>
      <c r="QU186" s="159"/>
      <c r="QV186" s="159"/>
      <c r="QW186" s="159"/>
      <c r="QX186" s="159"/>
      <c r="QY186" s="159"/>
      <c r="QZ186" s="159"/>
      <c r="RA186" s="159"/>
      <c r="RB186" s="159"/>
      <c r="RC186" s="159"/>
      <c r="RD186" s="159"/>
      <c r="RE186" s="159"/>
      <c r="RF186" s="159"/>
      <c r="RG186" s="159"/>
      <c r="RH186" s="159"/>
      <c r="RI186" s="159"/>
      <c r="RJ186" s="159"/>
      <c r="RK186" s="159"/>
      <c r="RL186" s="159"/>
      <c r="RM186" s="159"/>
      <c r="RN186" s="159"/>
      <c r="RO186" s="159"/>
      <c r="RP186" s="159"/>
      <c r="RQ186" s="159"/>
      <c r="RR186" s="159"/>
      <c r="RS186" s="159"/>
      <c r="RT186" s="159"/>
      <c r="RU186" s="159"/>
      <c r="RV186" s="159"/>
      <c r="RW186" s="159"/>
      <c r="RX186" s="159"/>
      <c r="RY186" s="159"/>
      <c r="RZ186" s="159"/>
      <c r="SA186" s="159"/>
      <c r="SB186" s="159"/>
      <c r="SC186" s="159"/>
      <c r="SD186" s="159"/>
      <c r="SE186" s="159"/>
      <c r="SF186" s="159"/>
      <c r="SG186" s="159"/>
      <c r="SH186" s="159"/>
      <c r="SI186" s="159"/>
      <c r="SJ186" s="159"/>
      <c r="SK186" s="159"/>
      <c r="SL186" s="159"/>
      <c r="SM186" s="159"/>
      <c r="SN186" s="159"/>
      <c r="SO186" s="159"/>
      <c r="SP186" s="159"/>
      <c r="SQ186" s="159"/>
      <c r="SR186" s="159"/>
      <c r="SS186" s="159"/>
      <c r="ST186" s="159"/>
      <c r="SU186" s="159"/>
      <c r="SV186" s="159"/>
      <c r="SW186" s="159"/>
      <c r="SX186" s="159"/>
      <c r="SY186" s="159"/>
      <c r="SZ186" s="159"/>
      <c r="TA186" s="159"/>
      <c r="TB186" s="159"/>
      <c r="TC186" s="159"/>
      <c r="TD186" s="159"/>
      <c r="TE186" s="159"/>
      <c r="TF186" s="159"/>
      <c r="TG186" s="159"/>
      <c r="TH186" s="159"/>
      <c r="TI186" s="159"/>
      <c r="TJ186" s="159"/>
      <c r="TK186" s="159"/>
      <c r="TL186" s="159"/>
      <c r="TM186" s="159"/>
      <c r="TN186" s="159"/>
      <c r="TO186" s="159"/>
      <c r="TP186" s="159"/>
      <c r="TQ186" s="159"/>
      <c r="TR186" s="159"/>
      <c r="TS186" s="159"/>
      <c r="TT186" s="159"/>
      <c r="TU186" s="159"/>
      <c r="TV186" s="159"/>
      <c r="TW186" s="159"/>
      <c r="TX186" s="159"/>
      <c r="TY186" s="159"/>
      <c r="TZ186" s="159"/>
      <c r="UA186" s="159"/>
      <c r="UB186" s="159"/>
      <c r="UC186" s="159"/>
      <c r="UD186" s="159"/>
      <c r="UE186" s="159"/>
      <c r="UF186" s="159"/>
      <c r="UG186" s="159"/>
      <c r="UH186" s="159"/>
      <c r="UI186" s="159"/>
      <c r="UJ186" s="159"/>
      <c r="UK186" s="159"/>
      <c r="UL186" s="159"/>
      <c r="UM186" s="159"/>
      <c r="UN186" s="159"/>
      <c r="UO186" s="159"/>
      <c r="UP186" s="159"/>
      <c r="UQ186" s="159"/>
      <c r="UR186" s="159"/>
      <c r="US186" s="159"/>
      <c r="UT186" s="159"/>
      <c r="UU186" s="159"/>
      <c r="UV186" s="159"/>
      <c r="UW186" s="159"/>
      <c r="UX186" s="159"/>
      <c r="UY186" s="159"/>
      <c r="UZ186" s="159"/>
      <c r="VA186" s="159"/>
      <c r="VB186" s="159"/>
      <c r="VC186" s="159"/>
      <c r="VD186" s="159"/>
      <c r="VE186" s="159"/>
      <c r="VF186" s="159"/>
      <c r="VG186" s="159"/>
      <c r="VH186" s="159"/>
      <c r="VI186" s="159"/>
      <c r="VJ186" s="159"/>
      <c r="VK186" s="159"/>
      <c r="VL186" s="159"/>
      <c r="VM186" s="159"/>
      <c r="VN186" s="159"/>
      <c r="VO186" s="159"/>
      <c r="VP186" s="159"/>
      <c r="VQ186" s="159"/>
      <c r="VR186" s="159"/>
      <c r="VS186" s="159"/>
      <c r="VT186" s="159"/>
      <c r="VU186" s="159"/>
      <c r="VV186" s="159"/>
      <c r="VW186" s="159"/>
      <c r="VX186" s="159"/>
      <c r="VY186" s="159"/>
      <c r="VZ186" s="159"/>
      <c r="WA186" s="159"/>
      <c r="WB186" s="159"/>
      <c r="WC186" s="159"/>
      <c r="WD186" s="159"/>
      <c r="WE186" s="159"/>
      <c r="WF186" s="159"/>
      <c r="WG186" s="159"/>
      <c r="WH186" s="159"/>
      <c r="WI186" s="159"/>
      <c r="WJ186" s="159"/>
      <c r="WK186" s="159"/>
      <c r="WL186" s="159"/>
      <c r="WM186" s="159"/>
      <c r="WN186" s="159"/>
      <c r="WO186" s="159"/>
      <c r="WP186" s="159"/>
      <c r="WQ186" s="159"/>
      <c r="WR186" s="159"/>
      <c r="WS186" s="159"/>
      <c r="WT186" s="159"/>
      <c r="WU186" s="159"/>
      <c r="WV186" s="159"/>
      <c r="WW186" s="159"/>
      <c r="WX186" s="159"/>
      <c r="WY186" s="159"/>
      <c r="WZ186" s="159"/>
      <c r="XA186" s="159"/>
      <c r="XB186" s="159"/>
      <c r="XC186" s="159"/>
      <c r="XD186" s="159"/>
      <c r="XE186" s="159"/>
      <c r="XF186" s="159"/>
      <c r="XG186" s="159"/>
      <c r="XH186" s="159"/>
      <c r="XI186" s="159"/>
      <c r="XJ186" s="159"/>
      <c r="XK186" s="159"/>
      <c r="XL186" s="159"/>
      <c r="XM186" s="159"/>
      <c r="XN186" s="159"/>
      <c r="XO186" s="159"/>
      <c r="XP186" s="159"/>
      <c r="XQ186" s="159"/>
      <c r="XR186" s="159"/>
      <c r="XS186" s="159"/>
      <c r="XT186" s="159"/>
      <c r="XU186" s="159"/>
      <c r="XV186" s="159"/>
      <c r="XW186" s="159"/>
      <c r="XX186" s="159"/>
      <c r="XY186" s="159"/>
      <c r="XZ186" s="159"/>
      <c r="YA186" s="159"/>
      <c r="YB186" s="159"/>
      <c r="YC186" s="159"/>
      <c r="YD186" s="159"/>
      <c r="YE186" s="159"/>
      <c r="YF186" s="159"/>
      <c r="YG186" s="159"/>
      <c r="YH186" s="159"/>
      <c r="YI186" s="159"/>
      <c r="YJ186" s="159"/>
      <c r="YK186" s="159"/>
      <c r="YL186" s="159"/>
      <c r="YM186" s="159"/>
      <c r="YN186" s="159"/>
      <c r="YO186" s="159"/>
      <c r="YP186" s="159"/>
      <c r="YQ186" s="159"/>
      <c r="YR186" s="159"/>
      <c r="YS186" s="159"/>
      <c r="YT186" s="159"/>
      <c r="YU186" s="159"/>
      <c r="YV186" s="159"/>
      <c r="YW186" s="159"/>
      <c r="YX186" s="159"/>
      <c r="YY186" s="159"/>
      <c r="YZ186" s="159"/>
      <c r="ZA186" s="159"/>
      <c r="ZB186" s="159"/>
      <c r="ZC186" s="159"/>
      <c r="ZD186" s="159"/>
      <c r="ZE186" s="159"/>
      <c r="ZF186" s="159"/>
      <c r="ZG186" s="159"/>
      <c r="ZH186" s="159"/>
      <c r="ZI186" s="159"/>
      <c r="ZJ186" s="159"/>
      <c r="ZK186" s="159"/>
      <c r="ZL186" s="159"/>
      <c r="ZM186" s="159"/>
      <c r="ZN186" s="159"/>
      <c r="ZO186" s="159"/>
      <c r="ZP186" s="159"/>
      <c r="ZQ186" s="159"/>
      <c r="ZR186" s="159"/>
      <c r="ZS186" s="159"/>
      <c r="ZT186" s="159"/>
      <c r="ZU186" s="159"/>
      <c r="ZV186" s="159"/>
      <c r="ZW186" s="159"/>
      <c r="ZX186" s="159"/>
      <c r="ZY186" s="159"/>
      <c r="ZZ186" s="159"/>
      <c r="AAA186" s="159"/>
      <c r="AAB186" s="159"/>
      <c r="AAC186" s="159"/>
      <c r="AAD186" s="159"/>
      <c r="AAE186" s="159"/>
      <c r="AAF186" s="159"/>
      <c r="AAG186" s="159"/>
      <c r="AAH186" s="159"/>
      <c r="AAI186" s="159"/>
      <c r="AAJ186" s="159"/>
      <c r="AAK186" s="159"/>
      <c r="AAL186" s="159"/>
      <c r="AAM186" s="159"/>
      <c r="AAN186" s="159"/>
      <c r="AAO186" s="159"/>
      <c r="AAP186" s="159"/>
      <c r="AAQ186" s="159"/>
      <c r="AAR186" s="159"/>
      <c r="AAS186" s="159"/>
      <c r="AAT186" s="159"/>
      <c r="AAU186" s="159"/>
      <c r="AAV186" s="159"/>
      <c r="AAW186" s="159"/>
      <c r="AAX186" s="159"/>
      <c r="AAY186" s="159"/>
      <c r="AAZ186" s="159"/>
      <c r="ABA186" s="159"/>
      <c r="ABB186" s="159"/>
      <c r="ABC186" s="159"/>
      <c r="ABD186" s="159"/>
      <c r="ABE186" s="159"/>
      <c r="ABF186" s="159"/>
      <c r="ABG186" s="159"/>
      <c r="ABH186" s="159"/>
      <c r="ABI186" s="159"/>
      <c r="ABJ186" s="159"/>
      <c r="ABK186" s="159"/>
      <c r="ABL186" s="159"/>
      <c r="ABM186" s="159"/>
      <c r="ABN186" s="159"/>
      <c r="ABO186" s="159"/>
      <c r="ABP186" s="159"/>
      <c r="ABQ186" s="159"/>
      <c r="ABR186" s="159"/>
      <c r="ABS186" s="159"/>
      <c r="ABT186" s="159"/>
      <c r="ABU186" s="159"/>
      <c r="ABV186" s="159"/>
      <c r="ABW186" s="159"/>
      <c r="ABX186" s="159"/>
      <c r="ABY186" s="159"/>
      <c r="ABZ186" s="159"/>
      <c r="ACA186" s="159"/>
      <c r="ACB186" s="159"/>
      <c r="ACC186" s="159"/>
      <c r="ACD186" s="159"/>
      <c r="ACE186" s="159"/>
      <c r="ACF186" s="159"/>
      <c r="ACG186" s="159"/>
      <c r="ACH186" s="159"/>
      <c r="ACI186" s="159"/>
      <c r="ACJ186" s="159"/>
      <c r="ACK186" s="159"/>
      <c r="ACL186" s="159"/>
      <c r="ACM186" s="159"/>
      <c r="ACN186" s="159"/>
      <c r="ACO186" s="159"/>
      <c r="ACP186" s="159"/>
      <c r="ACQ186" s="159"/>
      <c r="ACR186" s="159"/>
      <c r="ACS186" s="159"/>
      <c r="ACT186" s="159"/>
      <c r="ACU186" s="159"/>
      <c r="ACV186" s="159"/>
      <c r="ACW186" s="159"/>
      <c r="ACX186" s="159"/>
      <c r="ACY186" s="159"/>
      <c r="ACZ186" s="159"/>
      <c r="ADA186" s="159"/>
      <c r="ADB186" s="159"/>
      <c r="ADC186" s="159"/>
      <c r="ADD186" s="159"/>
      <c r="ADE186" s="159"/>
      <c r="ADF186" s="159"/>
      <c r="ADG186" s="159"/>
      <c r="ADH186" s="159"/>
      <c r="ADI186" s="159"/>
      <c r="ADJ186" s="159"/>
      <c r="ADK186" s="159"/>
      <c r="ADL186" s="159"/>
      <c r="ADM186" s="159"/>
      <c r="ADN186" s="159"/>
      <c r="ADO186" s="159"/>
      <c r="ADP186" s="159"/>
      <c r="ADQ186" s="159"/>
      <c r="ADR186" s="159"/>
      <c r="ADS186" s="159"/>
      <c r="ADT186" s="159"/>
      <c r="ADU186" s="159"/>
      <c r="ADV186" s="159"/>
      <c r="ADW186" s="159"/>
      <c r="ADX186" s="159"/>
      <c r="ADY186" s="159"/>
      <c r="ADZ186" s="159"/>
      <c r="AEA186" s="159"/>
      <c r="AEB186" s="159"/>
      <c r="AEC186" s="159"/>
      <c r="AED186" s="159"/>
      <c r="AEE186" s="159"/>
      <c r="AEF186" s="159"/>
      <c r="AEG186" s="159"/>
      <c r="AEH186" s="159"/>
      <c r="AEI186" s="159"/>
      <c r="AEJ186" s="159"/>
      <c r="AEK186" s="159"/>
      <c r="AEL186" s="159"/>
      <c r="AEM186" s="159"/>
      <c r="AEN186" s="159"/>
      <c r="AEO186" s="159"/>
      <c r="AEP186" s="159"/>
      <c r="AEQ186" s="159"/>
      <c r="AER186" s="159"/>
      <c r="AES186" s="159"/>
      <c r="AET186" s="159"/>
      <c r="AEU186" s="159"/>
      <c r="AEV186" s="159"/>
      <c r="AEW186" s="159"/>
      <c r="AEX186" s="159"/>
      <c r="AEY186" s="159"/>
      <c r="AEZ186" s="159"/>
      <c r="AFA186" s="159"/>
      <c r="AFB186" s="159"/>
      <c r="AFC186" s="159"/>
      <c r="AFD186" s="159"/>
      <c r="AFE186" s="159"/>
      <c r="AFF186" s="159"/>
      <c r="AFG186" s="159"/>
      <c r="AFH186" s="159"/>
      <c r="AFI186" s="159"/>
      <c r="AFJ186" s="159"/>
      <c r="AFK186" s="159"/>
      <c r="AFL186" s="159"/>
      <c r="AFM186" s="159"/>
      <c r="AFN186" s="159"/>
      <c r="AFO186" s="159"/>
      <c r="AFP186" s="159"/>
      <c r="AFQ186" s="159"/>
      <c r="AFR186" s="159"/>
      <c r="AFS186" s="159"/>
      <c r="AFT186" s="159"/>
      <c r="AFU186" s="159"/>
      <c r="AFV186" s="159"/>
      <c r="AFW186" s="159"/>
      <c r="AFX186" s="159"/>
      <c r="AFY186" s="159"/>
      <c r="AFZ186" s="159"/>
      <c r="AGA186" s="159"/>
      <c r="AGB186" s="159"/>
      <c r="AGC186" s="159"/>
      <c r="AGD186" s="159"/>
      <c r="AGE186" s="159"/>
      <c r="AGF186" s="159"/>
      <c r="AGG186" s="159"/>
      <c r="AGH186" s="159"/>
      <c r="AGI186" s="159"/>
      <c r="AGJ186" s="159"/>
      <c r="AGK186" s="159"/>
      <c r="AGL186" s="159"/>
      <c r="AGM186" s="159"/>
      <c r="AGN186" s="159"/>
      <c r="AGO186" s="159"/>
      <c r="AGP186" s="159"/>
      <c r="AGQ186" s="159"/>
      <c r="AGR186" s="159"/>
      <c r="AGS186" s="159"/>
      <c r="AGT186" s="159"/>
      <c r="AGU186" s="159"/>
      <c r="AGV186" s="159"/>
      <c r="AGW186" s="159"/>
      <c r="AGX186" s="159"/>
      <c r="AGY186" s="159"/>
      <c r="AGZ186" s="159"/>
      <c r="AHA186" s="159"/>
      <c r="AHB186" s="159"/>
      <c r="AHC186" s="159"/>
      <c r="AHD186" s="159"/>
      <c r="AHE186" s="159"/>
      <c r="AHF186" s="159"/>
      <c r="AHG186" s="159"/>
      <c r="AHH186" s="159"/>
      <c r="AHI186" s="159"/>
      <c r="AHJ186" s="159"/>
      <c r="AHK186" s="159"/>
      <c r="AHL186" s="159"/>
      <c r="AHM186" s="159"/>
      <c r="AHN186" s="159"/>
      <c r="AHO186" s="159"/>
      <c r="AHP186" s="159"/>
      <c r="AHQ186" s="159"/>
      <c r="AHR186" s="159"/>
      <c r="AHS186" s="159"/>
      <c r="AHT186" s="159"/>
      <c r="AHU186" s="159"/>
      <c r="AHV186" s="159"/>
      <c r="AHW186" s="159"/>
      <c r="AHX186" s="159"/>
      <c r="AHY186" s="159"/>
      <c r="AHZ186" s="159"/>
      <c r="AIA186" s="159"/>
      <c r="AIB186" s="159"/>
      <c r="AIC186" s="159"/>
      <c r="AID186" s="159"/>
      <c r="AIE186" s="159"/>
      <c r="AIF186" s="159"/>
      <c r="AIG186" s="159"/>
      <c r="AIH186" s="159"/>
      <c r="AII186" s="159"/>
      <c r="AIJ186" s="159"/>
      <c r="AIK186" s="159"/>
      <c r="AIL186" s="159"/>
      <c r="AIM186" s="159"/>
      <c r="AIN186" s="159"/>
      <c r="AIO186" s="159"/>
      <c r="AIP186" s="159"/>
      <c r="AIQ186" s="159"/>
      <c r="AIR186" s="159"/>
      <c r="AIS186" s="159"/>
      <c r="AIT186" s="159"/>
      <c r="AIU186" s="159"/>
      <c r="AIV186" s="159"/>
      <c r="AIW186" s="159"/>
      <c r="AIX186" s="159"/>
      <c r="AIY186" s="159"/>
      <c r="AIZ186" s="159"/>
      <c r="AJA186" s="159"/>
      <c r="AJB186" s="159"/>
      <c r="AJC186" s="159"/>
      <c r="AJD186" s="159"/>
      <c r="AJE186" s="159"/>
      <c r="AJF186" s="159"/>
      <c r="AJG186" s="159"/>
      <c r="AJH186" s="159"/>
      <c r="AJI186" s="159"/>
      <c r="AJJ186" s="159"/>
      <c r="AJK186" s="159"/>
      <c r="AJL186" s="159"/>
      <c r="AJM186" s="159"/>
      <c r="AJN186" s="159"/>
      <c r="AJO186" s="159"/>
      <c r="AJP186" s="159"/>
      <c r="AJQ186" s="159"/>
      <c r="AJR186" s="159"/>
      <c r="AJS186" s="159"/>
      <c r="AJT186" s="159"/>
      <c r="AJU186" s="159"/>
      <c r="AJV186" s="159"/>
      <c r="AJW186" s="159"/>
      <c r="AJX186" s="159"/>
      <c r="AJY186" s="159"/>
      <c r="AJZ186" s="159"/>
      <c r="AKA186" s="159"/>
      <c r="AKB186" s="159"/>
      <c r="AKC186" s="159"/>
      <c r="AKD186" s="159"/>
      <c r="AKE186" s="159"/>
      <c r="AKF186" s="159"/>
      <c r="AKG186" s="159"/>
      <c r="AKH186" s="159"/>
      <c r="AKI186" s="159"/>
      <c r="AKJ186" s="159"/>
      <c r="AKK186" s="159"/>
      <c r="AKL186" s="159"/>
      <c r="AKM186" s="159"/>
      <c r="AKN186" s="159"/>
      <c r="AKO186" s="159"/>
      <c r="AKP186" s="159"/>
      <c r="AKQ186" s="159"/>
      <c r="AKR186" s="159"/>
      <c r="AKS186" s="159"/>
      <c r="AKT186" s="159"/>
      <c r="AKU186" s="159"/>
      <c r="AKV186" s="159"/>
      <c r="AKW186" s="159"/>
      <c r="AKX186" s="159"/>
      <c r="AKY186" s="159"/>
      <c r="AKZ186" s="159"/>
      <c r="ALA186" s="159"/>
      <c r="ALB186" s="159"/>
      <c r="ALC186" s="159"/>
      <c r="ALD186" s="159"/>
      <c r="ALE186" s="159"/>
      <c r="ALF186" s="159"/>
      <c r="ALG186" s="159"/>
      <c r="ALH186" s="159"/>
      <c r="ALI186" s="159"/>
      <c r="ALJ186" s="159"/>
      <c r="ALK186" s="159"/>
      <c r="ALL186" s="159"/>
      <c r="ALM186" s="159"/>
      <c r="ALN186" s="159"/>
      <c r="ALO186" s="159"/>
      <c r="ALP186" s="159"/>
      <c r="ALQ186" s="159"/>
      <c r="ALR186" s="159"/>
      <c r="ALS186" s="159"/>
      <c r="ALT186" s="159"/>
      <c r="ALU186" s="159"/>
      <c r="ALV186" s="159"/>
      <c r="ALW186" s="159"/>
      <c r="ALX186" s="159"/>
      <c r="ALY186" s="159"/>
      <c r="ALZ186" s="159"/>
      <c r="AMA186" s="159"/>
      <c r="AMB186" s="159"/>
      <c r="AMC186" s="159"/>
      <c r="AMD186" s="159"/>
      <c r="AME186" s="159"/>
      <c r="AMF186" s="159"/>
      <c r="AMG186" s="159"/>
      <c r="AMH186" s="159"/>
      <c r="AMI186" s="159"/>
      <c r="AMJ186" s="159"/>
      <c r="AMK186" s="159"/>
      <c r="AML186" s="159"/>
      <c r="AMM186" s="159"/>
      <c r="AMN186" s="159"/>
      <c r="AMO186" s="159"/>
    </row>
    <row r="187" spans="1:1029" s="161" customFormat="1" ht="25.5" x14ac:dyDescent="0.25">
      <c r="A187" s="138">
        <v>46282</v>
      </c>
      <c r="B187" s="99" t="s">
        <v>291</v>
      </c>
      <c r="C187" s="99" t="s">
        <v>77</v>
      </c>
      <c r="D187" s="160" t="s">
        <v>13</v>
      </c>
      <c r="E187" s="118" t="s">
        <v>66</v>
      </c>
      <c r="F187" s="149" t="s">
        <v>151</v>
      </c>
      <c r="G187" s="149" t="s">
        <v>31</v>
      </c>
      <c r="H187" s="141" t="b">
        <f t="shared" si="12"/>
        <v>0</v>
      </c>
      <c r="I187" s="120" t="s">
        <v>28</v>
      </c>
      <c r="J187" s="121" t="s">
        <v>28</v>
      </c>
      <c r="K187" s="121" t="s">
        <v>28</v>
      </c>
      <c r="L187" s="141" t="b">
        <f t="shared" si="13"/>
        <v>0</v>
      </c>
      <c r="M187" s="121" t="s">
        <v>193</v>
      </c>
      <c r="N187" s="99" t="s">
        <v>125</v>
      </c>
      <c r="O187" s="149" t="s">
        <v>16</v>
      </c>
      <c r="P187" s="141" t="b">
        <f t="shared" si="14"/>
        <v>0</v>
      </c>
      <c r="Q187" s="149" t="s">
        <v>76</v>
      </c>
      <c r="R187" s="99" t="s">
        <v>10</v>
      </c>
      <c r="S187" s="99" t="s">
        <v>16</v>
      </c>
      <c r="T187" s="141" t="b">
        <f t="shared" si="15"/>
        <v>0</v>
      </c>
      <c r="U187" s="159"/>
      <c r="V187" s="159"/>
      <c r="W187" s="159"/>
      <c r="X187" s="159"/>
      <c r="Y187" s="159"/>
      <c r="Z187" s="159"/>
      <c r="AA187" s="159"/>
      <c r="AB187" s="159"/>
      <c r="AC187" s="159"/>
      <c r="AD187" s="159"/>
      <c r="AE187" s="159"/>
      <c r="AF187" s="159"/>
      <c r="AG187" s="159"/>
      <c r="AH187" s="159"/>
      <c r="AI187" s="159"/>
      <c r="AJ187" s="159"/>
      <c r="AK187" s="159"/>
      <c r="AL187" s="159"/>
      <c r="AM187" s="159"/>
      <c r="AN187" s="159"/>
      <c r="AO187" s="159"/>
      <c r="AP187" s="159"/>
      <c r="AQ187" s="159"/>
      <c r="AR187" s="159"/>
      <c r="AS187" s="159"/>
      <c r="AT187" s="159"/>
      <c r="AU187" s="159"/>
      <c r="AV187" s="159"/>
      <c r="AW187" s="159"/>
      <c r="AX187" s="159"/>
      <c r="AY187" s="159"/>
      <c r="AZ187" s="159"/>
      <c r="BA187" s="159"/>
      <c r="BB187" s="159"/>
      <c r="BC187" s="159"/>
      <c r="BD187" s="159"/>
      <c r="BE187" s="159"/>
      <c r="BF187" s="159"/>
      <c r="BG187" s="159"/>
      <c r="BH187" s="159"/>
      <c r="BI187" s="159"/>
      <c r="BJ187" s="159"/>
      <c r="BK187" s="159"/>
      <c r="BL187" s="159"/>
      <c r="BM187" s="159"/>
      <c r="BN187" s="159"/>
      <c r="BO187" s="159"/>
      <c r="BP187" s="159"/>
      <c r="BQ187" s="159"/>
      <c r="BR187" s="159"/>
      <c r="BS187" s="159"/>
      <c r="BT187" s="159"/>
      <c r="BU187" s="159"/>
      <c r="BV187" s="159"/>
      <c r="BW187" s="159"/>
      <c r="BX187" s="159"/>
      <c r="BY187" s="159"/>
      <c r="BZ187" s="159"/>
      <c r="CA187" s="159"/>
      <c r="CB187" s="159"/>
      <c r="CC187" s="159"/>
      <c r="CD187" s="159"/>
      <c r="CE187" s="159"/>
      <c r="CF187" s="159"/>
      <c r="CG187" s="159"/>
      <c r="CH187" s="159"/>
      <c r="CI187" s="159"/>
      <c r="CJ187" s="159"/>
      <c r="CK187" s="159"/>
      <c r="CL187" s="159"/>
      <c r="CM187" s="159"/>
      <c r="CN187" s="159"/>
      <c r="CO187" s="159"/>
      <c r="CP187" s="159"/>
      <c r="CQ187" s="159"/>
      <c r="CR187" s="159"/>
      <c r="CS187" s="159"/>
      <c r="CT187" s="159"/>
      <c r="CU187" s="159"/>
      <c r="CV187" s="159"/>
      <c r="CW187" s="159"/>
      <c r="CX187" s="159"/>
      <c r="CY187" s="159"/>
      <c r="CZ187" s="159"/>
      <c r="DA187" s="159"/>
      <c r="DB187" s="159"/>
      <c r="DC187" s="159"/>
      <c r="DD187" s="159"/>
      <c r="DE187" s="159"/>
      <c r="DF187" s="159"/>
      <c r="DG187" s="159"/>
      <c r="DH187" s="159"/>
      <c r="DI187" s="159"/>
      <c r="DJ187" s="159"/>
      <c r="DK187" s="159"/>
      <c r="DL187" s="159"/>
      <c r="DM187" s="159"/>
      <c r="DN187" s="159"/>
      <c r="DO187" s="159"/>
      <c r="DP187" s="159"/>
      <c r="DQ187" s="159"/>
      <c r="DR187" s="159"/>
      <c r="DS187" s="159"/>
      <c r="DT187" s="159"/>
      <c r="DU187" s="159"/>
      <c r="DV187" s="159"/>
      <c r="DW187" s="159"/>
      <c r="DX187" s="159"/>
      <c r="DY187" s="159"/>
      <c r="DZ187" s="159"/>
      <c r="EA187" s="159"/>
      <c r="EB187" s="159"/>
      <c r="EC187" s="159"/>
      <c r="ED187" s="159"/>
      <c r="EE187" s="159"/>
      <c r="EF187" s="159"/>
      <c r="EG187" s="159"/>
      <c r="EH187" s="159"/>
      <c r="EI187" s="159"/>
      <c r="EJ187" s="159"/>
      <c r="EK187" s="159"/>
      <c r="EL187" s="159"/>
      <c r="EM187" s="159"/>
      <c r="EN187" s="159"/>
      <c r="EO187" s="159"/>
      <c r="EP187" s="159"/>
      <c r="EQ187" s="159"/>
      <c r="ER187" s="159"/>
      <c r="ES187" s="159"/>
      <c r="ET187" s="159"/>
      <c r="EU187" s="159"/>
      <c r="EV187" s="159"/>
      <c r="EW187" s="159"/>
      <c r="EX187" s="159"/>
      <c r="EY187" s="159"/>
      <c r="EZ187" s="159"/>
      <c r="FA187" s="159"/>
      <c r="FB187" s="159"/>
      <c r="FC187" s="159"/>
      <c r="FD187" s="159"/>
      <c r="FE187" s="159"/>
      <c r="FF187" s="159"/>
      <c r="FG187" s="159"/>
      <c r="FH187" s="159"/>
      <c r="FI187" s="159"/>
      <c r="FJ187" s="159"/>
      <c r="FK187" s="159"/>
      <c r="FL187" s="159"/>
      <c r="FM187" s="159"/>
      <c r="FN187" s="159"/>
      <c r="FO187" s="159"/>
      <c r="FP187" s="159"/>
      <c r="FQ187" s="159"/>
      <c r="FR187" s="159"/>
      <c r="FS187" s="159"/>
      <c r="FT187" s="159"/>
      <c r="FU187" s="159"/>
      <c r="FV187" s="159"/>
      <c r="FW187" s="159"/>
      <c r="FX187" s="159"/>
      <c r="FY187" s="159"/>
      <c r="FZ187" s="159"/>
      <c r="GA187" s="159"/>
      <c r="GB187" s="159"/>
      <c r="GC187" s="159"/>
      <c r="GD187" s="159"/>
      <c r="GE187" s="159"/>
      <c r="GF187" s="159"/>
      <c r="GG187" s="159"/>
      <c r="GH187" s="159"/>
      <c r="GI187" s="159"/>
      <c r="GJ187" s="159"/>
      <c r="GK187" s="159"/>
      <c r="GL187" s="159"/>
      <c r="GM187" s="159"/>
      <c r="GN187" s="159"/>
      <c r="GO187" s="159"/>
      <c r="GP187" s="159"/>
      <c r="GQ187" s="159"/>
      <c r="GR187" s="159"/>
      <c r="GS187" s="159"/>
      <c r="GT187" s="159"/>
      <c r="GU187" s="159"/>
      <c r="GV187" s="159"/>
      <c r="GW187" s="159"/>
      <c r="GX187" s="159"/>
      <c r="GY187" s="159"/>
      <c r="GZ187" s="159"/>
      <c r="HA187" s="159"/>
      <c r="HB187" s="159"/>
      <c r="HC187" s="159"/>
      <c r="HD187" s="159"/>
      <c r="HE187" s="159"/>
      <c r="HF187" s="159"/>
      <c r="HG187" s="159"/>
      <c r="HH187" s="159"/>
      <c r="HI187" s="159"/>
      <c r="HJ187" s="159"/>
      <c r="HK187" s="159"/>
      <c r="HL187" s="159"/>
      <c r="HM187" s="159"/>
      <c r="HN187" s="159"/>
      <c r="HO187" s="159"/>
      <c r="HP187" s="159"/>
      <c r="HQ187" s="159"/>
      <c r="HR187" s="159"/>
      <c r="HS187" s="159"/>
      <c r="HT187" s="159"/>
      <c r="HU187" s="159"/>
      <c r="HV187" s="159"/>
      <c r="HW187" s="159"/>
      <c r="HX187" s="159"/>
      <c r="HY187" s="159"/>
      <c r="HZ187" s="159"/>
      <c r="IA187" s="159"/>
      <c r="IB187" s="159"/>
      <c r="IC187" s="159"/>
      <c r="ID187" s="159"/>
      <c r="IE187" s="159"/>
      <c r="IF187" s="159"/>
      <c r="IG187" s="159"/>
      <c r="IH187" s="159"/>
      <c r="II187" s="159"/>
      <c r="IJ187" s="159"/>
      <c r="IK187" s="159"/>
      <c r="IL187" s="159"/>
      <c r="IM187" s="159"/>
      <c r="IN187" s="159"/>
      <c r="IO187" s="159"/>
      <c r="IP187" s="159"/>
      <c r="IQ187" s="159"/>
      <c r="IR187" s="159"/>
      <c r="IS187" s="159"/>
      <c r="IT187" s="159"/>
      <c r="IU187" s="159"/>
      <c r="IV187" s="159"/>
      <c r="IW187" s="159"/>
      <c r="IX187" s="159"/>
      <c r="IY187" s="159"/>
      <c r="IZ187" s="159"/>
      <c r="JA187" s="159"/>
      <c r="JB187" s="159"/>
      <c r="JC187" s="159"/>
      <c r="JD187" s="159"/>
      <c r="JE187" s="159"/>
      <c r="JF187" s="159"/>
      <c r="JG187" s="159"/>
      <c r="JH187" s="159"/>
      <c r="JI187" s="159"/>
      <c r="JJ187" s="159"/>
      <c r="JK187" s="159"/>
      <c r="JL187" s="159"/>
      <c r="JM187" s="159"/>
      <c r="JN187" s="159"/>
      <c r="JO187" s="159"/>
      <c r="JP187" s="159"/>
      <c r="JQ187" s="159"/>
      <c r="JR187" s="159"/>
      <c r="JS187" s="159"/>
      <c r="JT187" s="159"/>
      <c r="JU187" s="159"/>
      <c r="JV187" s="159"/>
      <c r="JW187" s="159"/>
      <c r="JX187" s="159"/>
      <c r="JY187" s="159"/>
      <c r="JZ187" s="159"/>
      <c r="KA187" s="159"/>
      <c r="KB187" s="159"/>
      <c r="KC187" s="159"/>
      <c r="KD187" s="159"/>
      <c r="KE187" s="159"/>
      <c r="KF187" s="159"/>
      <c r="KG187" s="159"/>
      <c r="KH187" s="159"/>
      <c r="KI187" s="159"/>
      <c r="KJ187" s="159"/>
      <c r="KK187" s="159"/>
      <c r="KL187" s="159"/>
      <c r="KM187" s="159"/>
      <c r="KN187" s="159"/>
      <c r="KO187" s="159"/>
      <c r="KP187" s="159"/>
      <c r="KQ187" s="159"/>
      <c r="KR187" s="159"/>
      <c r="KS187" s="159"/>
      <c r="KT187" s="159"/>
      <c r="KU187" s="159"/>
      <c r="KV187" s="159"/>
      <c r="KW187" s="159"/>
      <c r="KX187" s="159"/>
      <c r="KY187" s="159"/>
      <c r="KZ187" s="159"/>
      <c r="LA187" s="159"/>
      <c r="LB187" s="159"/>
      <c r="LC187" s="159"/>
      <c r="LD187" s="159"/>
      <c r="LE187" s="159"/>
      <c r="LF187" s="159"/>
      <c r="LG187" s="159"/>
      <c r="LH187" s="159"/>
      <c r="LI187" s="159"/>
      <c r="LJ187" s="159"/>
      <c r="LK187" s="159"/>
      <c r="LL187" s="159"/>
      <c r="LM187" s="159"/>
      <c r="LN187" s="159"/>
      <c r="LO187" s="159"/>
      <c r="LP187" s="159"/>
      <c r="LQ187" s="159"/>
      <c r="LR187" s="159"/>
      <c r="LS187" s="159"/>
      <c r="LT187" s="159"/>
      <c r="LU187" s="159"/>
      <c r="LV187" s="159"/>
      <c r="LW187" s="159"/>
      <c r="LX187" s="159"/>
      <c r="LY187" s="159"/>
      <c r="LZ187" s="159"/>
      <c r="MA187" s="159"/>
      <c r="MB187" s="159"/>
      <c r="MC187" s="159"/>
      <c r="MD187" s="159"/>
      <c r="ME187" s="159"/>
      <c r="MF187" s="159"/>
      <c r="MG187" s="159"/>
      <c r="MH187" s="159"/>
      <c r="MI187" s="159"/>
      <c r="MJ187" s="159"/>
      <c r="MK187" s="159"/>
      <c r="ML187" s="159"/>
      <c r="MM187" s="159"/>
      <c r="MN187" s="159"/>
      <c r="MO187" s="159"/>
      <c r="MP187" s="159"/>
      <c r="MQ187" s="159"/>
      <c r="MR187" s="159"/>
      <c r="MS187" s="159"/>
      <c r="MT187" s="159"/>
      <c r="MU187" s="159"/>
      <c r="MV187" s="159"/>
      <c r="MW187" s="159"/>
      <c r="MX187" s="159"/>
      <c r="MY187" s="159"/>
      <c r="MZ187" s="159"/>
      <c r="NA187" s="159"/>
      <c r="NB187" s="159"/>
      <c r="NC187" s="159"/>
      <c r="ND187" s="159"/>
      <c r="NE187" s="159"/>
      <c r="NF187" s="159"/>
      <c r="NG187" s="159"/>
      <c r="NH187" s="159"/>
      <c r="NI187" s="159"/>
      <c r="NJ187" s="159"/>
      <c r="NK187" s="159"/>
      <c r="NL187" s="159"/>
      <c r="NM187" s="159"/>
      <c r="NN187" s="159"/>
      <c r="NO187" s="159"/>
      <c r="NP187" s="159"/>
      <c r="NQ187" s="159"/>
      <c r="NR187" s="159"/>
      <c r="NS187" s="159"/>
      <c r="NT187" s="159"/>
      <c r="NU187" s="159"/>
      <c r="NV187" s="159"/>
      <c r="NW187" s="159"/>
      <c r="NX187" s="159"/>
      <c r="NY187" s="159"/>
      <c r="NZ187" s="159"/>
      <c r="OA187" s="159"/>
      <c r="OB187" s="159"/>
      <c r="OC187" s="159"/>
      <c r="OD187" s="159"/>
      <c r="OE187" s="159"/>
      <c r="OF187" s="159"/>
      <c r="OG187" s="159"/>
      <c r="OH187" s="159"/>
      <c r="OI187" s="159"/>
      <c r="OJ187" s="159"/>
      <c r="OK187" s="159"/>
      <c r="OL187" s="159"/>
      <c r="OM187" s="159"/>
      <c r="ON187" s="159"/>
      <c r="OO187" s="159"/>
      <c r="OP187" s="159"/>
      <c r="OQ187" s="159"/>
      <c r="OR187" s="159"/>
      <c r="OS187" s="159"/>
      <c r="OT187" s="159"/>
      <c r="OU187" s="159"/>
      <c r="OV187" s="159"/>
      <c r="OW187" s="159"/>
      <c r="OX187" s="159"/>
      <c r="OY187" s="159"/>
      <c r="OZ187" s="159"/>
      <c r="PA187" s="159"/>
      <c r="PB187" s="159"/>
      <c r="PC187" s="159"/>
      <c r="PD187" s="159"/>
      <c r="PE187" s="159"/>
      <c r="PF187" s="159"/>
      <c r="PG187" s="159"/>
      <c r="PH187" s="159"/>
      <c r="PI187" s="159"/>
      <c r="PJ187" s="159"/>
      <c r="PK187" s="159"/>
      <c r="PL187" s="159"/>
      <c r="PM187" s="159"/>
      <c r="PN187" s="159"/>
      <c r="PO187" s="159"/>
      <c r="PP187" s="159"/>
      <c r="PQ187" s="159"/>
      <c r="PR187" s="159"/>
      <c r="PS187" s="159"/>
      <c r="PT187" s="159"/>
      <c r="PU187" s="159"/>
      <c r="PV187" s="159"/>
      <c r="PW187" s="159"/>
      <c r="PX187" s="159"/>
      <c r="PY187" s="159"/>
      <c r="PZ187" s="159"/>
      <c r="QA187" s="159"/>
      <c r="QB187" s="159"/>
      <c r="QC187" s="159"/>
      <c r="QD187" s="159"/>
      <c r="QE187" s="159"/>
      <c r="QF187" s="159"/>
      <c r="QG187" s="159"/>
      <c r="QH187" s="159"/>
      <c r="QI187" s="159"/>
      <c r="QJ187" s="159"/>
      <c r="QK187" s="159"/>
      <c r="QL187" s="159"/>
      <c r="QM187" s="159"/>
      <c r="QN187" s="159"/>
      <c r="QO187" s="159"/>
      <c r="QP187" s="159"/>
      <c r="QQ187" s="159"/>
      <c r="QR187" s="159"/>
      <c r="QS187" s="159"/>
      <c r="QT187" s="159"/>
      <c r="QU187" s="159"/>
      <c r="QV187" s="159"/>
      <c r="QW187" s="159"/>
      <c r="QX187" s="159"/>
      <c r="QY187" s="159"/>
      <c r="QZ187" s="159"/>
      <c r="RA187" s="159"/>
      <c r="RB187" s="159"/>
      <c r="RC187" s="159"/>
      <c r="RD187" s="159"/>
      <c r="RE187" s="159"/>
      <c r="RF187" s="159"/>
      <c r="RG187" s="159"/>
      <c r="RH187" s="159"/>
      <c r="RI187" s="159"/>
      <c r="RJ187" s="159"/>
      <c r="RK187" s="159"/>
      <c r="RL187" s="159"/>
      <c r="RM187" s="159"/>
      <c r="RN187" s="159"/>
      <c r="RO187" s="159"/>
      <c r="RP187" s="159"/>
      <c r="RQ187" s="159"/>
      <c r="RR187" s="159"/>
      <c r="RS187" s="159"/>
      <c r="RT187" s="159"/>
      <c r="RU187" s="159"/>
      <c r="RV187" s="159"/>
      <c r="RW187" s="159"/>
      <c r="RX187" s="159"/>
      <c r="RY187" s="159"/>
      <c r="RZ187" s="159"/>
      <c r="SA187" s="159"/>
      <c r="SB187" s="159"/>
      <c r="SC187" s="159"/>
      <c r="SD187" s="159"/>
      <c r="SE187" s="159"/>
      <c r="SF187" s="159"/>
      <c r="SG187" s="159"/>
      <c r="SH187" s="159"/>
      <c r="SI187" s="159"/>
      <c r="SJ187" s="159"/>
      <c r="SK187" s="159"/>
      <c r="SL187" s="159"/>
      <c r="SM187" s="159"/>
      <c r="SN187" s="159"/>
      <c r="SO187" s="159"/>
      <c r="SP187" s="159"/>
      <c r="SQ187" s="159"/>
      <c r="SR187" s="159"/>
      <c r="SS187" s="159"/>
      <c r="ST187" s="159"/>
      <c r="SU187" s="159"/>
      <c r="SV187" s="159"/>
      <c r="SW187" s="159"/>
      <c r="SX187" s="159"/>
      <c r="SY187" s="159"/>
      <c r="SZ187" s="159"/>
      <c r="TA187" s="159"/>
      <c r="TB187" s="159"/>
      <c r="TC187" s="159"/>
      <c r="TD187" s="159"/>
      <c r="TE187" s="159"/>
      <c r="TF187" s="159"/>
      <c r="TG187" s="159"/>
      <c r="TH187" s="159"/>
      <c r="TI187" s="159"/>
      <c r="TJ187" s="159"/>
      <c r="TK187" s="159"/>
      <c r="TL187" s="159"/>
      <c r="TM187" s="159"/>
      <c r="TN187" s="159"/>
      <c r="TO187" s="159"/>
      <c r="TP187" s="159"/>
      <c r="TQ187" s="159"/>
      <c r="TR187" s="159"/>
      <c r="TS187" s="159"/>
      <c r="TT187" s="159"/>
      <c r="TU187" s="159"/>
      <c r="TV187" s="159"/>
      <c r="TW187" s="159"/>
      <c r="TX187" s="159"/>
      <c r="TY187" s="159"/>
      <c r="TZ187" s="159"/>
      <c r="UA187" s="159"/>
      <c r="UB187" s="159"/>
      <c r="UC187" s="159"/>
      <c r="UD187" s="159"/>
      <c r="UE187" s="159"/>
      <c r="UF187" s="159"/>
      <c r="UG187" s="159"/>
      <c r="UH187" s="159"/>
      <c r="UI187" s="159"/>
      <c r="UJ187" s="159"/>
      <c r="UK187" s="159"/>
      <c r="UL187" s="159"/>
      <c r="UM187" s="159"/>
      <c r="UN187" s="159"/>
      <c r="UO187" s="159"/>
      <c r="UP187" s="159"/>
      <c r="UQ187" s="159"/>
      <c r="UR187" s="159"/>
      <c r="US187" s="159"/>
      <c r="UT187" s="159"/>
      <c r="UU187" s="159"/>
      <c r="UV187" s="159"/>
      <c r="UW187" s="159"/>
      <c r="UX187" s="159"/>
      <c r="UY187" s="159"/>
      <c r="UZ187" s="159"/>
      <c r="VA187" s="159"/>
      <c r="VB187" s="159"/>
      <c r="VC187" s="159"/>
      <c r="VD187" s="159"/>
      <c r="VE187" s="159"/>
      <c r="VF187" s="159"/>
      <c r="VG187" s="159"/>
      <c r="VH187" s="159"/>
      <c r="VI187" s="159"/>
      <c r="VJ187" s="159"/>
      <c r="VK187" s="159"/>
      <c r="VL187" s="159"/>
      <c r="VM187" s="159"/>
      <c r="VN187" s="159"/>
      <c r="VO187" s="159"/>
      <c r="VP187" s="159"/>
      <c r="VQ187" s="159"/>
      <c r="VR187" s="159"/>
      <c r="VS187" s="159"/>
      <c r="VT187" s="159"/>
      <c r="VU187" s="159"/>
      <c r="VV187" s="159"/>
      <c r="VW187" s="159"/>
      <c r="VX187" s="159"/>
      <c r="VY187" s="159"/>
      <c r="VZ187" s="159"/>
      <c r="WA187" s="159"/>
      <c r="WB187" s="159"/>
      <c r="WC187" s="159"/>
      <c r="WD187" s="159"/>
      <c r="WE187" s="159"/>
      <c r="WF187" s="159"/>
      <c r="WG187" s="159"/>
      <c r="WH187" s="159"/>
      <c r="WI187" s="159"/>
      <c r="WJ187" s="159"/>
      <c r="WK187" s="159"/>
      <c r="WL187" s="159"/>
      <c r="WM187" s="159"/>
      <c r="WN187" s="159"/>
      <c r="WO187" s="159"/>
      <c r="WP187" s="159"/>
      <c r="WQ187" s="159"/>
      <c r="WR187" s="159"/>
      <c r="WS187" s="159"/>
      <c r="WT187" s="159"/>
      <c r="WU187" s="159"/>
      <c r="WV187" s="159"/>
      <c r="WW187" s="159"/>
      <c r="WX187" s="159"/>
      <c r="WY187" s="159"/>
      <c r="WZ187" s="159"/>
      <c r="XA187" s="159"/>
      <c r="XB187" s="159"/>
      <c r="XC187" s="159"/>
      <c r="XD187" s="159"/>
      <c r="XE187" s="159"/>
      <c r="XF187" s="159"/>
      <c r="XG187" s="159"/>
      <c r="XH187" s="159"/>
      <c r="XI187" s="159"/>
      <c r="XJ187" s="159"/>
      <c r="XK187" s="159"/>
      <c r="XL187" s="159"/>
      <c r="XM187" s="159"/>
      <c r="XN187" s="159"/>
      <c r="XO187" s="159"/>
      <c r="XP187" s="159"/>
      <c r="XQ187" s="159"/>
      <c r="XR187" s="159"/>
      <c r="XS187" s="159"/>
      <c r="XT187" s="159"/>
      <c r="XU187" s="159"/>
      <c r="XV187" s="159"/>
      <c r="XW187" s="159"/>
      <c r="XX187" s="159"/>
      <c r="XY187" s="159"/>
      <c r="XZ187" s="159"/>
      <c r="YA187" s="159"/>
      <c r="YB187" s="159"/>
      <c r="YC187" s="159"/>
      <c r="YD187" s="159"/>
      <c r="YE187" s="159"/>
      <c r="YF187" s="159"/>
      <c r="YG187" s="159"/>
      <c r="YH187" s="159"/>
      <c r="YI187" s="159"/>
      <c r="YJ187" s="159"/>
      <c r="YK187" s="159"/>
      <c r="YL187" s="159"/>
      <c r="YM187" s="159"/>
      <c r="YN187" s="159"/>
      <c r="YO187" s="159"/>
      <c r="YP187" s="159"/>
      <c r="YQ187" s="159"/>
      <c r="YR187" s="159"/>
      <c r="YS187" s="159"/>
      <c r="YT187" s="159"/>
      <c r="YU187" s="159"/>
      <c r="YV187" s="159"/>
      <c r="YW187" s="159"/>
      <c r="YX187" s="159"/>
      <c r="YY187" s="159"/>
      <c r="YZ187" s="159"/>
      <c r="ZA187" s="159"/>
      <c r="ZB187" s="159"/>
      <c r="ZC187" s="159"/>
      <c r="ZD187" s="159"/>
      <c r="ZE187" s="159"/>
      <c r="ZF187" s="159"/>
      <c r="ZG187" s="159"/>
      <c r="ZH187" s="159"/>
      <c r="ZI187" s="159"/>
      <c r="ZJ187" s="159"/>
      <c r="ZK187" s="159"/>
      <c r="ZL187" s="159"/>
      <c r="ZM187" s="159"/>
      <c r="ZN187" s="159"/>
      <c r="ZO187" s="159"/>
      <c r="ZP187" s="159"/>
      <c r="ZQ187" s="159"/>
      <c r="ZR187" s="159"/>
      <c r="ZS187" s="159"/>
      <c r="ZT187" s="159"/>
      <c r="ZU187" s="159"/>
      <c r="ZV187" s="159"/>
      <c r="ZW187" s="159"/>
      <c r="ZX187" s="159"/>
      <c r="ZY187" s="159"/>
      <c r="ZZ187" s="159"/>
      <c r="AAA187" s="159"/>
      <c r="AAB187" s="159"/>
      <c r="AAC187" s="159"/>
      <c r="AAD187" s="159"/>
      <c r="AAE187" s="159"/>
      <c r="AAF187" s="159"/>
      <c r="AAG187" s="159"/>
      <c r="AAH187" s="159"/>
      <c r="AAI187" s="159"/>
      <c r="AAJ187" s="159"/>
      <c r="AAK187" s="159"/>
      <c r="AAL187" s="159"/>
      <c r="AAM187" s="159"/>
      <c r="AAN187" s="159"/>
      <c r="AAO187" s="159"/>
      <c r="AAP187" s="159"/>
      <c r="AAQ187" s="159"/>
      <c r="AAR187" s="159"/>
      <c r="AAS187" s="159"/>
      <c r="AAT187" s="159"/>
      <c r="AAU187" s="159"/>
      <c r="AAV187" s="159"/>
      <c r="AAW187" s="159"/>
      <c r="AAX187" s="159"/>
      <c r="AAY187" s="159"/>
      <c r="AAZ187" s="159"/>
      <c r="ABA187" s="159"/>
      <c r="ABB187" s="159"/>
      <c r="ABC187" s="159"/>
      <c r="ABD187" s="159"/>
      <c r="ABE187" s="159"/>
      <c r="ABF187" s="159"/>
      <c r="ABG187" s="159"/>
      <c r="ABH187" s="159"/>
      <c r="ABI187" s="159"/>
      <c r="ABJ187" s="159"/>
      <c r="ABK187" s="159"/>
      <c r="ABL187" s="159"/>
      <c r="ABM187" s="159"/>
      <c r="ABN187" s="159"/>
      <c r="ABO187" s="159"/>
      <c r="ABP187" s="159"/>
      <c r="ABQ187" s="159"/>
      <c r="ABR187" s="159"/>
      <c r="ABS187" s="159"/>
      <c r="ABT187" s="159"/>
      <c r="ABU187" s="159"/>
      <c r="ABV187" s="159"/>
      <c r="ABW187" s="159"/>
      <c r="ABX187" s="159"/>
      <c r="ABY187" s="159"/>
      <c r="ABZ187" s="159"/>
      <c r="ACA187" s="159"/>
      <c r="ACB187" s="159"/>
      <c r="ACC187" s="159"/>
      <c r="ACD187" s="159"/>
      <c r="ACE187" s="159"/>
      <c r="ACF187" s="159"/>
      <c r="ACG187" s="159"/>
      <c r="ACH187" s="159"/>
      <c r="ACI187" s="159"/>
      <c r="ACJ187" s="159"/>
      <c r="ACK187" s="159"/>
      <c r="ACL187" s="159"/>
      <c r="ACM187" s="159"/>
      <c r="ACN187" s="159"/>
      <c r="ACO187" s="159"/>
      <c r="ACP187" s="159"/>
      <c r="ACQ187" s="159"/>
      <c r="ACR187" s="159"/>
      <c r="ACS187" s="159"/>
      <c r="ACT187" s="159"/>
      <c r="ACU187" s="159"/>
      <c r="ACV187" s="159"/>
      <c r="ACW187" s="159"/>
      <c r="ACX187" s="159"/>
      <c r="ACY187" s="159"/>
      <c r="ACZ187" s="159"/>
      <c r="ADA187" s="159"/>
      <c r="ADB187" s="159"/>
      <c r="ADC187" s="159"/>
      <c r="ADD187" s="159"/>
      <c r="ADE187" s="159"/>
      <c r="ADF187" s="159"/>
      <c r="ADG187" s="159"/>
      <c r="ADH187" s="159"/>
      <c r="ADI187" s="159"/>
      <c r="ADJ187" s="159"/>
      <c r="ADK187" s="159"/>
      <c r="ADL187" s="159"/>
      <c r="ADM187" s="159"/>
      <c r="ADN187" s="159"/>
      <c r="ADO187" s="159"/>
      <c r="ADP187" s="159"/>
      <c r="ADQ187" s="159"/>
      <c r="ADR187" s="159"/>
      <c r="ADS187" s="159"/>
      <c r="ADT187" s="159"/>
      <c r="ADU187" s="159"/>
      <c r="ADV187" s="159"/>
      <c r="ADW187" s="159"/>
      <c r="ADX187" s="159"/>
      <c r="ADY187" s="159"/>
      <c r="ADZ187" s="159"/>
      <c r="AEA187" s="159"/>
      <c r="AEB187" s="159"/>
      <c r="AEC187" s="159"/>
      <c r="AED187" s="159"/>
      <c r="AEE187" s="159"/>
      <c r="AEF187" s="159"/>
      <c r="AEG187" s="159"/>
      <c r="AEH187" s="159"/>
      <c r="AEI187" s="159"/>
      <c r="AEJ187" s="159"/>
      <c r="AEK187" s="159"/>
      <c r="AEL187" s="159"/>
      <c r="AEM187" s="159"/>
      <c r="AEN187" s="159"/>
      <c r="AEO187" s="159"/>
      <c r="AEP187" s="159"/>
      <c r="AEQ187" s="159"/>
      <c r="AER187" s="159"/>
      <c r="AES187" s="159"/>
      <c r="AET187" s="159"/>
      <c r="AEU187" s="159"/>
      <c r="AEV187" s="159"/>
      <c r="AEW187" s="159"/>
      <c r="AEX187" s="159"/>
      <c r="AEY187" s="159"/>
      <c r="AEZ187" s="159"/>
      <c r="AFA187" s="159"/>
      <c r="AFB187" s="159"/>
      <c r="AFC187" s="159"/>
      <c r="AFD187" s="159"/>
      <c r="AFE187" s="159"/>
      <c r="AFF187" s="159"/>
      <c r="AFG187" s="159"/>
      <c r="AFH187" s="159"/>
      <c r="AFI187" s="159"/>
      <c r="AFJ187" s="159"/>
      <c r="AFK187" s="159"/>
      <c r="AFL187" s="159"/>
      <c r="AFM187" s="159"/>
      <c r="AFN187" s="159"/>
      <c r="AFO187" s="159"/>
      <c r="AFP187" s="159"/>
      <c r="AFQ187" s="159"/>
      <c r="AFR187" s="159"/>
      <c r="AFS187" s="159"/>
      <c r="AFT187" s="159"/>
      <c r="AFU187" s="159"/>
      <c r="AFV187" s="159"/>
      <c r="AFW187" s="159"/>
      <c r="AFX187" s="159"/>
      <c r="AFY187" s="159"/>
      <c r="AFZ187" s="159"/>
      <c r="AGA187" s="159"/>
      <c r="AGB187" s="159"/>
      <c r="AGC187" s="159"/>
      <c r="AGD187" s="159"/>
      <c r="AGE187" s="159"/>
      <c r="AGF187" s="159"/>
      <c r="AGG187" s="159"/>
      <c r="AGH187" s="159"/>
      <c r="AGI187" s="159"/>
      <c r="AGJ187" s="159"/>
      <c r="AGK187" s="159"/>
      <c r="AGL187" s="159"/>
      <c r="AGM187" s="159"/>
      <c r="AGN187" s="159"/>
      <c r="AGO187" s="159"/>
      <c r="AGP187" s="159"/>
      <c r="AGQ187" s="159"/>
      <c r="AGR187" s="159"/>
      <c r="AGS187" s="159"/>
      <c r="AGT187" s="159"/>
      <c r="AGU187" s="159"/>
      <c r="AGV187" s="159"/>
      <c r="AGW187" s="159"/>
      <c r="AGX187" s="159"/>
      <c r="AGY187" s="159"/>
      <c r="AGZ187" s="159"/>
      <c r="AHA187" s="159"/>
      <c r="AHB187" s="159"/>
      <c r="AHC187" s="159"/>
      <c r="AHD187" s="159"/>
      <c r="AHE187" s="159"/>
      <c r="AHF187" s="159"/>
      <c r="AHG187" s="159"/>
      <c r="AHH187" s="159"/>
      <c r="AHI187" s="159"/>
      <c r="AHJ187" s="159"/>
      <c r="AHK187" s="159"/>
      <c r="AHL187" s="159"/>
      <c r="AHM187" s="159"/>
      <c r="AHN187" s="159"/>
      <c r="AHO187" s="159"/>
      <c r="AHP187" s="159"/>
      <c r="AHQ187" s="159"/>
      <c r="AHR187" s="159"/>
      <c r="AHS187" s="159"/>
      <c r="AHT187" s="159"/>
      <c r="AHU187" s="159"/>
      <c r="AHV187" s="159"/>
      <c r="AHW187" s="159"/>
      <c r="AHX187" s="159"/>
      <c r="AHY187" s="159"/>
      <c r="AHZ187" s="159"/>
      <c r="AIA187" s="159"/>
      <c r="AIB187" s="159"/>
      <c r="AIC187" s="159"/>
      <c r="AID187" s="159"/>
      <c r="AIE187" s="159"/>
      <c r="AIF187" s="159"/>
      <c r="AIG187" s="159"/>
      <c r="AIH187" s="159"/>
      <c r="AII187" s="159"/>
      <c r="AIJ187" s="159"/>
      <c r="AIK187" s="159"/>
      <c r="AIL187" s="159"/>
      <c r="AIM187" s="159"/>
      <c r="AIN187" s="159"/>
      <c r="AIO187" s="159"/>
      <c r="AIP187" s="159"/>
      <c r="AIQ187" s="159"/>
      <c r="AIR187" s="159"/>
      <c r="AIS187" s="159"/>
      <c r="AIT187" s="159"/>
      <c r="AIU187" s="159"/>
      <c r="AIV187" s="159"/>
      <c r="AIW187" s="159"/>
      <c r="AIX187" s="159"/>
      <c r="AIY187" s="159"/>
      <c r="AIZ187" s="159"/>
      <c r="AJA187" s="159"/>
      <c r="AJB187" s="159"/>
      <c r="AJC187" s="159"/>
      <c r="AJD187" s="159"/>
      <c r="AJE187" s="159"/>
      <c r="AJF187" s="159"/>
      <c r="AJG187" s="159"/>
      <c r="AJH187" s="159"/>
      <c r="AJI187" s="159"/>
      <c r="AJJ187" s="159"/>
      <c r="AJK187" s="159"/>
      <c r="AJL187" s="159"/>
      <c r="AJM187" s="159"/>
      <c r="AJN187" s="159"/>
      <c r="AJO187" s="159"/>
      <c r="AJP187" s="159"/>
      <c r="AJQ187" s="159"/>
      <c r="AJR187" s="159"/>
      <c r="AJS187" s="159"/>
      <c r="AJT187" s="159"/>
      <c r="AJU187" s="159"/>
      <c r="AJV187" s="159"/>
      <c r="AJW187" s="159"/>
      <c r="AJX187" s="159"/>
      <c r="AJY187" s="159"/>
      <c r="AJZ187" s="159"/>
      <c r="AKA187" s="159"/>
      <c r="AKB187" s="159"/>
      <c r="AKC187" s="159"/>
      <c r="AKD187" s="159"/>
      <c r="AKE187" s="159"/>
      <c r="AKF187" s="159"/>
      <c r="AKG187" s="159"/>
      <c r="AKH187" s="159"/>
      <c r="AKI187" s="159"/>
      <c r="AKJ187" s="159"/>
      <c r="AKK187" s="159"/>
      <c r="AKL187" s="159"/>
      <c r="AKM187" s="159"/>
      <c r="AKN187" s="159"/>
      <c r="AKO187" s="159"/>
      <c r="AKP187" s="159"/>
      <c r="AKQ187" s="159"/>
      <c r="AKR187" s="159"/>
      <c r="AKS187" s="159"/>
      <c r="AKT187" s="159"/>
      <c r="AKU187" s="159"/>
      <c r="AKV187" s="159"/>
      <c r="AKW187" s="159"/>
      <c r="AKX187" s="159"/>
      <c r="AKY187" s="159"/>
      <c r="AKZ187" s="159"/>
      <c r="ALA187" s="159"/>
      <c r="ALB187" s="159"/>
      <c r="ALC187" s="159"/>
      <c r="ALD187" s="159"/>
      <c r="ALE187" s="159"/>
      <c r="ALF187" s="159"/>
      <c r="ALG187" s="159"/>
      <c r="ALH187" s="159"/>
      <c r="ALI187" s="159"/>
      <c r="ALJ187" s="159"/>
      <c r="ALK187" s="159"/>
      <c r="ALL187" s="159"/>
      <c r="ALM187" s="159"/>
      <c r="ALN187" s="159"/>
      <c r="ALO187" s="159"/>
      <c r="ALP187" s="159"/>
      <c r="ALQ187" s="159"/>
      <c r="ALR187" s="159"/>
      <c r="ALS187" s="159"/>
      <c r="ALT187" s="159"/>
      <c r="ALU187" s="159"/>
      <c r="ALV187" s="159"/>
      <c r="ALW187" s="159"/>
      <c r="ALX187" s="159"/>
      <c r="ALY187" s="159"/>
      <c r="ALZ187" s="159"/>
      <c r="AMA187" s="159"/>
      <c r="AMB187" s="159"/>
      <c r="AMC187" s="159"/>
      <c r="AMD187" s="159"/>
      <c r="AME187" s="159"/>
      <c r="AMF187" s="159"/>
      <c r="AMG187" s="159"/>
      <c r="AMH187" s="159"/>
      <c r="AMI187" s="159"/>
      <c r="AMJ187" s="159"/>
      <c r="AMK187" s="159"/>
      <c r="AML187" s="159"/>
      <c r="AMM187" s="159"/>
      <c r="AMN187" s="159"/>
      <c r="AMO187" s="159"/>
    </row>
    <row r="188" spans="1:1029" s="161" customFormat="1" ht="26.25" thickBot="1" x14ac:dyDescent="0.3">
      <c r="A188" s="127">
        <v>46283</v>
      </c>
      <c r="B188" s="151" t="s">
        <v>35</v>
      </c>
      <c r="C188" s="151" t="s">
        <v>51</v>
      </c>
      <c r="D188" s="162" t="s">
        <v>52</v>
      </c>
      <c r="E188" s="150" t="s">
        <v>149</v>
      </c>
      <c r="F188" s="152" t="s">
        <v>10</v>
      </c>
      <c r="G188" s="152" t="s">
        <v>11</v>
      </c>
      <c r="H188" s="145" t="b">
        <f t="shared" si="12"/>
        <v>0</v>
      </c>
      <c r="I188" s="130" t="s">
        <v>282</v>
      </c>
      <c r="J188" s="131" t="s">
        <v>54</v>
      </c>
      <c r="K188" s="131" t="s">
        <v>31</v>
      </c>
      <c r="L188" s="145" t="b">
        <f t="shared" si="13"/>
        <v>0</v>
      </c>
      <c r="M188" s="131" t="s">
        <v>105</v>
      </c>
      <c r="N188" s="151" t="s">
        <v>10</v>
      </c>
      <c r="O188" s="152" t="s">
        <v>31</v>
      </c>
      <c r="P188" s="145" t="b">
        <f t="shared" si="14"/>
        <v>0</v>
      </c>
      <c r="Q188" s="152" t="s">
        <v>292</v>
      </c>
      <c r="R188" s="151" t="s">
        <v>125</v>
      </c>
      <c r="S188" s="151" t="s">
        <v>31</v>
      </c>
      <c r="T188" s="145" t="b">
        <f t="shared" si="15"/>
        <v>0</v>
      </c>
      <c r="U188" s="159"/>
      <c r="V188" s="159"/>
      <c r="W188" s="159"/>
      <c r="X188" s="159"/>
      <c r="Y188" s="159"/>
      <c r="Z188" s="159"/>
      <c r="AA188" s="159"/>
      <c r="AB188" s="159"/>
      <c r="AC188" s="159"/>
      <c r="AD188" s="159"/>
      <c r="AE188" s="159"/>
      <c r="AF188" s="159"/>
      <c r="AG188" s="159"/>
      <c r="AH188" s="159"/>
      <c r="AI188" s="159"/>
      <c r="AJ188" s="159"/>
      <c r="AK188" s="159"/>
      <c r="AL188" s="159"/>
      <c r="AM188" s="159"/>
      <c r="AN188" s="159"/>
      <c r="AO188" s="159"/>
      <c r="AP188" s="159"/>
      <c r="AQ188" s="159"/>
      <c r="AR188" s="159"/>
      <c r="AS188" s="159"/>
      <c r="AT188" s="159"/>
      <c r="AU188" s="159"/>
      <c r="AV188" s="159"/>
      <c r="AW188" s="159"/>
      <c r="AX188" s="159"/>
      <c r="AY188" s="159"/>
      <c r="AZ188" s="159"/>
      <c r="BA188" s="159"/>
      <c r="BB188" s="159"/>
      <c r="BC188" s="159"/>
      <c r="BD188" s="159"/>
      <c r="BE188" s="159"/>
      <c r="BF188" s="159"/>
      <c r="BG188" s="159"/>
      <c r="BH188" s="159"/>
      <c r="BI188" s="159"/>
      <c r="BJ188" s="159"/>
      <c r="BK188" s="159"/>
      <c r="BL188" s="159"/>
      <c r="BM188" s="159"/>
      <c r="BN188" s="159"/>
      <c r="BO188" s="159"/>
      <c r="BP188" s="159"/>
      <c r="BQ188" s="159"/>
      <c r="BR188" s="159"/>
      <c r="BS188" s="159"/>
      <c r="BT188" s="159"/>
      <c r="BU188" s="159"/>
      <c r="BV188" s="159"/>
      <c r="BW188" s="159"/>
      <c r="BX188" s="159"/>
      <c r="BY188" s="159"/>
      <c r="BZ188" s="159"/>
      <c r="CA188" s="159"/>
      <c r="CB188" s="159"/>
      <c r="CC188" s="159"/>
      <c r="CD188" s="159"/>
      <c r="CE188" s="159"/>
      <c r="CF188" s="159"/>
      <c r="CG188" s="159"/>
      <c r="CH188" s="159"/>
      <c r="CI188" s="159"/>
      <c r="CJ188" s="159"/>
      <c r="CK188" s="159"/>
      <c r="CL188" s="159"/>
      <c r="CM188" s="159"/>
      <c r="CN188" s="159"/>
      <c r="CO188" s="159"/>
      <c r="CP188" s="159"/>
      <c r="CQ188" s="159"/>
      <c r="CR188" s="159"/>
      <c r="CS188" s="159"/>
      <c r="CT188" s="159"/>
      <c r="CU188" s="159"/>
      <c r="CV188" s="159"/>
      <c r="CW188" s="159"/>
      <c r="CX188" s="159"/>
      <c r="CY188" s="159"/>
      <c r="CZ188" s="159"/>
      <c r="DA188" s="159"/>
      <c r="DB188" s="159"/>
      <c r="DC188" s="159"/>
      <c r="DD188" s="159"/>
      <c r="DE188" s="159"/>
      <c r="DF188" s="159"/>
      <c r="DG188" s="159"/>
      <c r="DH188" s="159"/>
      <c r="DI188" s="159"/>
      <c r="DJ188" s="159"/>
      <c r="DK188" s="159"/>
      <c r="DL188" s="159"/>
      <c r="DM188" s="159"/>
      <c r="DN188" s="159"/>
      <c r="DO188" s="159"/>
      <c r="DP188" s="159"/>
      <c r="DQ188" s="159"/>
      <c r="DR188" s="159"/>
      <c r="DS188" s="159"/>
      <c r="DT188" s="159"/>
      <c r="DU188" s="159"/>
      <c r="DV188" s="159"/>
      <c r="DW188" s="159"/>
      <c r="DX188" s="159"/>
      <c r="DY188" s="159"/>
      <c r="DZ188" s="159"/>
      <c r="EA188" s="159"/>
      <c r="EB188" s="159"/>
      <c r="EC188" s="159"/>
      <c r="ED188" s="159"/>
      <c r="EE188" s="159"/>
      <c r="EF188" s="159"/>
      <c r="EG188" s="159"/>
      <c r="EH188" s="159"/>
      <c r="EI188" s="159"/>
      <c r="EJ188" s="159"/>
      <c r="EK188" s="159"/>
      <c r="EL188" s="159"/>
      <c r="EM188" s="159"/>
      <c r="EN188" s="159"/>
      <c r="EO188" s="159"/>
      <c r="EP188" s="159"/>
      <c r="EQ188" s="159"/>
      <c r="ER188" s="159"/>
      <c r="ES188" s="159"/>
      <c r="ET188" s="159"/>
      <c r="EU188" s="159"/>
      <c r="EV188" s="159"/>
      <c r="EW188" s="159"/>
      <c r="EX188" s="159"/>
      <c r="EY188" s="159"/>
      <c r="EZ188" s="159"/>
      <c r="FA188" s="159"/>
      <c r="FB188" s="159"/>
      <c r="FC188" s="159"/>
      <c r="FD188" s="159"/>
      <c r="FE188" s="159"/>
      <c r="FF188" s="159"/>
      <c r="FG188" s="159"/>
      <c r="FH188" s="159"/>
      <c r="FI188" s="159"/>
      <c r="FJ188" s="159"/>
      <c r="FK188" s="159"/>
      <c r="FL188" s="159"/>
      <c r="FM188" s="159"/>
      <c r="FN188" s="159"/>
      <c r="FO188" s="159"/>
      <c r="FP188" s="159"/>
      <c r="FQ188" s="159"/>
      <c r="FR188" s="159"/>
      <c r="FS188" s="159"/>
      <c r="FT188" s="159"/>
      <c r="FU188" s="159"/>
      <c r="FV188" s="159"/>
      <c r="FW188" s="159"/>
      <c r="FX188" s="159"/>
      <c r="FY188" s="159"/>
      <c r="FZ188" s="159"/>
      <c r="GA188" s="159"/>
      <c r="GB188" s="159"/>
      <c r="GC188" s="159"/>
      <c r="GD188" s="159"/>
      <c r="GE188" s="159"/>
      <c r="GF188" s="159"/>
      <c r="GG188" s="159"/>
      <c r="GH188" s="159"/>
      <c r="GI188" s="159"/>
      <c r="GJ188" s="159"/>
      <c r="GK188" s="159"/>
      <c r="GL188" s="159"/>
      <c r="GM188" s="159"/>
      <c r="GN188" s="159"/>
      <c r="GO188" s="159"/>
      <c r="GP188" s="159"/>
      <c r="GQ188" s="159"/>
      <c r="GR188" s="159"/>
      <c r="GS188" s="159"/>
      <c r="GT188" s="159"/>
      <c r="GU188" s="159"/>
      <c r="GV188" s="159"/>
      <c r="GW188" s="159"/>
      <c r="GX188" s="159"/>
      <c r="GY188" s="159"/>
      <c r="GZ188" s="159"/>
      <c r="HA188" s="159"/>
      <c r="HB188" s="159"/>
      <c r="HC188" s="159"/>
      <c r="HD188" s="159"/>
      <c r="HE188" s="159"/>
      <c r="HF188" s="159"/>
      <c r="HG188" s="159"/>
      <c r="HH188" s="159"/>
      <c r="HI188" s="159"/>
      <c r="HJ188" s="159"/>
      <c r="HK188" s="159"/>
      <c r="HL188" s="159"/>
      <c r="HM188" s="159"/>
      <c r="HN188" s="159"/>
      <c r="HO188" s="159"/>
      <c r="HP188" s="159"/>
      <c r="HQ188" s="159"/>
      <c r="HR188" s="159"/>
      <c r="HS188" s="159"/>
      <c r="HT188" s="159"/>
      <c r="HU188" s="159"/>
      <c r="HV188" s="159"/>
      <c r="HW188" s="159"/>
      <c r="HX188" s="159"/>
      <c r="HY188" s="159"/>
      <c r="HZ188" s="159"/>
      <c r="IA188" s="159"/>
      <c r="IB188" s="159"/>
      <c r="IC188" s="159"/>
      <c r="ID188" s="159"/>
      <c r="IE188" s="159"/>
      <c r="IF188" s="159"/>
      <c r="IG188" s="159"/>
      <c r="IH188" s="159"/>
      <c r="II188" s="159"/>
      <c r="IJ188" s="159"/>
      <c r="IK188" s="159"/>
      <c r="IL188" s="159"/>
      <c r="IM188" s="159"/>
      <c r="IN188" s="159"/>
      <c r="IO188" s="159"/>
      <c r="IP188" s="159"/>
      <c r="IQ188" s="159"/>
      <c r="IR188" s="159"/>
      <c r="IS188" s="159"/>
      <c r="IT188" s="159"/>
      <c r="IU188" s="159"/>
      <c r="IV188" s="159"/>
      <c r="IW188" s="159"/>
      <c r="IX188" s="159"/>
      <c r="IY188" s="159"/>
      <c r="IZ188" s="159"/>
      <c r="JA188" s="159"/>
      <c r="JB188" s="159"/>
      <c r="JC188" s="159"/>
      <c r="JD188" s="159"/>
      <c r="JE188" s="159"/>
      <c r="JF188" s="159"/>
      <c r="JG188" s="159"/>
      <c r="JH188" s="159"/>
      <c r="JI188" s="159"/>
      <c r="JJ188" s="159"/>
      <c r="JK188" s="159"/>
      <c r="JL188" s="159"/>
      <c r="JM188" s="159"/>
      <c r="JN188" s="159"/>
      <c r="JO188" s="159"/>
      <c r="JP188" s="159"/>
      <c r="JQ188" s="159"/>
      <c r="JR188" s="159"/>
      <c r="JS188" s="159"/>
      <c r="JT188" s="159"/>
      <c r="JU188" s="159"/>
      <c r="JV188" s="159"/>
      <c r="JW188" s="159"/>
      <c r="JX188" s="159"/>
      <c r="JY188" s="159"/>
      <c r="JZ188" s="159"/>
      <c r="KA188" s="159"/>
      <c r="KB188" s="159"/>
      <c r="KC188" s="159"/>
      <c r="KD188" s="159"/>
      <c r="KE188" s="159"/>
      <c r="KF188" s="159"/>
      <c r="KG188" s="159"/>
      <c r="KH188" s="159"/>
      <c r="KI188" s="159"/>
      <c r="KJ188" s="159"/>
      <c r="KK188" s="159"/>
      <c r="KL188" s="159"/>
      <c r="KM188" s="159"/>
      <c r="KN188" s="159"/>
      <c r="KO188" s="159"/>
      <c r="KP188" s="159"/>
      <c r="KQ188" s="159"/>
      <c r="KR188" s="159"/>
      <c r="KS188" s="159"/>
      <c r="KT188" s="159"/>
      <c r="KU188" s="159"/>
      <c r="KV188" s="159"/>
      <c r="KW188" s="159"/>
      <c r="KX188" s="159"/>
      <c r="KY188" s="159"/>
      <c r="KZ188" s="159"/>
      <c r="LA188" s="159"/>
      <c r="LB188" s="159"/>
      <c r="LC188" s="159"/>
      <c r="LD188" s="159"/>
      <c r="LE188" s="159"/>
      <c r="LF188" s="159"/>
      <c r="LG188" s="159"/>
      <c r="LH188" s="159"/>
      <c r="LI188" s="159"/>
      <c r="LJ188" s="159"/>
      <c r="LK188" s="159"/>
      <c r="LL188" s="159"/>
      <c r="LM188" s="159"/>
      <c r="LN188" s="159"/>
      <c r="LO188" s="159"/>
      <c r="LP188" s="159"/>
      <c r="LQ188" s="159"/>
      <c r="LR188" s="159"/>
      <c r="LS188" s="159"/>
      <c r="LT188" s="159"/>
      <c r="LU188" s="159"/>
      <c r="LV188" s="159"/>
      <c r="LW188" s="159"/>
      <c r="LX188" s="159"/>
      <c r="LY188" s="159"/>
      <c r="LZ188" s="159"/>
      <c r="MA188" s="159"/>
      <c r="MB188" s="159"/>
      <c r="MC188" s="159"/>
      <c r="MD188" s="159"/>
      <c r="ME188" s="159"/>
      <c r="MF188" s="159"/>
      <c r="MG188" s="159"/>
      <c r="MH188" s="159"/>
      <c r="MI188" s="159"/>
      <c r="MJ188" s="159"/>
      <c r="MK188" s="159"/>
      <c r="ML188" s="159"/>
      <c r="MM188" s="159"/>
      <c r="MN188" s="159"/>
      <c r="MO188" s="159"/>
      <c r="MP188" s="159"/>
      <c r="MQ188" s="159"/>
      <c r="MR188" s="159"/>
      <c r="MS188" s="159"/>
      <c r="MT188" s="159"/>
      <c r="MU188" s="159"/>
      <c r="MV188" s="159"/>
      <c r="MW188" s="159"/>
      <c r="MX188" s="159"/>
      <c r="MY188" s="159"/>
      <c r="MZ188" s="159"/>
      <c r="NA188" s="159"/>
      <c r="NB188" s="159"/>
      <c r="NC188" s="159"/>
      <c r="ND188" s="159"/>
      <c r="NE188" s="159"/>
      <c r="NF188" s="159"/>
      <c r="NG188" s="159"/>
      <c r="NH188" s="159"/>
      <c r="NI188" s="159"/>
      <c r="NJ188" s="159"/>
      <c r="NK188" s="159"/>
      <c r="NL188" s="159"/>
      <c r="NM188" s="159"/>
      <c r="NN188" s="159"/>
      <c r="NO188" s="159"/>
      <c r="NP188" s="159"/>
      <c r="NQ188" s="159"/>
      <c r="NR188" s="159"/>
      <c r="NS188" s="159"/>
      <c r="NT188" s="159"/>
      <c r="NU188" s="159"/>
      <c r="NV188" s="159"/>
      <c r="NW188" s="159"/>
      <c r="NX188" s="159"/>
      <c r="NY188" s="159"/>
      <c r="NZ188" s="159"/>
      <c r="OA188" s="159"/>
      <c r="OB188" s="159"/>
      <c r="OC188" s="159"/>
      <c r="OD188" s="159"/>
      <c r="OE188" s="159"/>
      <c r="OF188" s="159"/>
      <c r="OG188" s="159"/>
      <c r="OH188" s="159"/>
      <c r="OI188" s="159"/>
      <c r="OJ188" s="159"/>
      <c r="OK188" s="159"/>
      <c r="OL188" s="159"/>
      <c r="OM188" s="159"/>
      <c r="ON188" s="159"/>
      <c r="OO188" s="159"/>
      <c r="OP188" s="159"/>
      <c r="OQ188" s="159"/>
      <c r="OR188" s="159"/>
      <c r="OS188" s="159"/>
      <c r="OT188" s="159"/>
      <c r="OU188" s="159"/>
      <c r="OV188" s="159"/>
      <c r="OW188" s="159"/>
      <c r="OX188" s="159"/>
      <c r="OY188" s="159"/>
      <c r="OZ188" s="159"/>
      <c r="PA188" s="159"/>
      <c r="PB188" s="159"/>
      <c r="PC188" s="159"/>
      <c r="PD188" s="159"/>
      <c r="PE188" s="159"/>
      <c r="PF188" s="159"/>
      <c r="PG188" s="159"/>
      <c r="PH188" s="159"/>
      <c r="PI188" s="159"/>
      <c r="PJ188" s="159"/>
      <c r="PK188" s="159"/>
      <c r="PL188" s="159"/>
      <c r="PM188" s="159"/>
      <c r="PN188" s="159"/>
      <c r="PO188" s="159"/>
      <c r="PP188" s="159"/>
      <c r="PQ188" s="159"/>
      <c r="PR188" s="159"/>
      <c r="PS188" s="159"/>
      <c r="PT188" s="159"/>
      <c r="PU188" s="159"/>
      <c r="PV188" s="159"/>
      <c r="PW188" s="159"/>
      <c r="PX188" s="159"/>
      <c r="PY188" s="159"/>
      <c r="PZ188" s="159"/>
      <c r="QA188" s="159"/>
      <c r="QB188" s="159"/>
      <c r="QC188" s="159"/>
      <c r="QD188" s="159"/>
      <c r="QE188" s="159"/>
      <c r="QF188" s="159"/>
      <c r="QG188" s="159"/>
      <c r="QH188" s="159"/>
      <c r="QI188" s="159"/>
      <c r="QJ188" s="159"/>
      <c r="QK188" s="159"/>
      <c r="QL188" s="159"/>
      <c r="QM188" s="159"/>
      <c r="QN188" s="159"/>
      <c r="QO188" s="159"/>
      <c r="QP188" s="159"/>
      <c r="QQ188" s="159"/>
      <c r="QR188" s="159"/>
      <c r="QS188" s="159"/>
      <c r="QT188" s="159"/>
      <c r="QU188" s="159"/>
      <c r="QV188" s="159"/>
      <c r="QW188" s="159"/>
      <c r="QX188" s="159"/>
      <c r="QY188" s="159"/>
      <c r="QZ188" s="159"/>
      <c r="RA188" s="159"/>
      <c r="RB188" s="159"/>
      <c r="RC188" s="159"/>
      <c r="RD188" s="159"/>
      <c r="RE188" s="159"/>
      <c r="RF188" s="159"/>
      <c r="RG188" s="159"/>
      <c r="RH188" s="159"/>
      <c r="RI188" s="159"/>
      <c r="RJ188" s="159"/>
      <c r="RK188" s="159"/>
      <c r="RL188" s="159"/>
      <c r="RM188" s="159"/>
      <c r="RN188" s="159"/>
      <c r="RO188" s="159"/>
      <c r="RP188" s="159"/>
      <c r="RQ188" s="159"/>
      <c r="RR188" s="159"/>
      <c r="RS188" s="159"/>
      <c r="RT188" s="159"/>
      <c r="RU188" s="159"/>
      <c r="RV188" s="159"/>
      <c r="RW188" s="159"/>
      <c r="RX188" s="159"/>
      <c r="RY188" s="159"/>
      <c r="RZ188" s="159"/>
      <c r="SA188" s="159"/>
      <c r="SB188" s="159"/>
      <c r="SC188" s="159"/>
      <c r="SD188" s="159"/>
      <c r="SE188" s="159"/>
      <c r="SF188" s="159"/>
      <c r="SG188" s="159"/>
      <c r="SH188" s="159"/>
      <c r="SI188" s="159"/>
      <c r="SJ188" s="159"/>
      <c r="SK188" s="159"/>
      <c r="SL188" s="159"/>
      <c r="SM188" s="159"/>
      <c r="SN188" s="159"/>
      <c r="SO188" s="159"/>
      <c r="SP188" s="159"/>
      <c r="SQ188" s="159"/>
      <c r="SR188" s="159"/>
      <c r="SS188" s="159"/>
      <c r="ST188" s="159"/>
      <c r="SU188" s="159"/>
      <c r="SV188" s="159"/>
      <c r="SW188" s="159"/>
      <c r="SX188" s="159"/>
      <c r="SY188" s="159"/>
      <c r="SZ188" s="159"/>
      <c r="TA188" s="159"/>
      <c r="TB188" s="159"/>
      <c r="TC188" s="159"/>
      <c r="TD188" s="159"/>
      <c r="TE188" s="159"/>
      <c r="TF188" s="159"/>
      <c r="TG188" s="159"/>
      <c r="TH188" s="159"/>
      <c r="TI188" s="159"/>
      <c r="TJ188" s="159"/>
      <c r="TK188" s="159"/>
      <c r="TL188" s="159"/>
      <c r="TM188" s="159"/>
      <c r="TN188" s="159"/>
      <c r="TO188" s="159"/>
      <c r="TP188" s="159"/>
      <c r="TQ188" s="159"/>
      <c r="TR188" s="159"/>
      <c r="TS188" s="159"/>
      <c r="TT188" s="159"/>
      <c r="TU188" s="159"/>
      <c r="TV188" s="159"/>
      <c r="TW188" s="159"/>
      <c r="TX188" s="159"/>
      <c r="TY188" s="159"/>
      <c r="TZ188" s="159"/>
      <c r="UA188" s="159"/>
      <c r="UB188" s="159"/>
      <c r="UC188" s="159"/>
      <c r="UD188" s="159"/>
      <c r="UE188" s="159"/>
      <c r="UF188" s="159"/>
      <c r="UG188" s="159"/>
      <c r="UH188" s="159"/>
      <c r="UI188" s="159"/>
      <c r="UJ188" s="159"/>
      <c r="UK188" s="159"/>
      <c r="UL188" s="159"/>
      <c r="UM188" s="159"/>
      <c r="UN188" s="159"/>
      <c r="UO188" s="159"/>
      <c r="UP188" s="159"/>
      <c r="UQ188" s="159"/>
      <c r="UR188" s="159"/>
      <c r="US188" s="159"/>
      <c r="UT188" s="159"/>
      <c r="UU188" s="159"/>
      <c r="UV188" s="159"/>
      <c r="UW188" s="159"/>
      <c r="UX188" s="159"/>
      <c r="UY188" s="159"/>
      <c r="UZ188" s="159"/>
      <c r="VA188" s="159"/>
      <c r="VB188" s="159"/>
      <c r="VC188" s="159"/>
      <c r="VD188" s="159"/>
      <c r="VE188" s="159"/>
      <c r="VF188" s="159"/>
      <c r="VG188" s="159"/>
      <c r="VH188" s="159"/>
      <c r="VI188" s="159"/>
      <c r="VJ188" s="159"/>
      <c r="VK188" s="159"/>
      <c r="VL188" s="159"/>
      <c r="VM188" s="159"/>
      <c r="VN188" s="159"/>
      <c r="VO188" s="159"/>
      <c r="VP188" s="159"/>
      <c r="VQ188" s="159"/>
      <c r="VR188" s="159"/>
      <c r="VS188" s="159"/>
      <c r="VT188" s="159"/>
      <c r="VU188" s="159"/>
      <c r="VV188" s="159"/>
      <c r="VW188" s="159"/>
      <c r="VX188" s="159"/>
      <c r="VY188" s="159"/>
      <c r="VZ188" s="159"/>
      <c r="WA188" s="159"/>
      <c r="WB188" s="159"/>
      <c r="WC188" s="159"/>
      <c r="WD188" s="159"/>
      <c r="WE188" s="159"/>
      <c r="WF188" s="159"/>
      <c r="WG188" s="159"/>
      <c r="WH188" s="159"/>
      <c r="WI188" s="159"/>
      <c r="WJ188" s="159"/>
      <c r="WK188" s="159"/>
      <c r="WL188" s="159"/>
      <c r="WM188" s="159"/>
      <c r="WN188" s="159"/>
      <c r="WO188" s="159"/>
      <c r="WP188" s="159"/>
      <c r="WQ188" s="159"/>
      <c r="WR188" s="159"/>
      <c r="WS188" s="159"/>
      <c r="WT188" s="159"/>
      <c r="WU188" s="159"/>
      <c r="WV188" s="159"/>
      <c r="WW188" s="159"/>
      <c r="WX188" s="159"/>
      <c r="WY188" s="159"/>
      <c r="WZ188" s="159"/>
      <c r="XA188" s="159"/>
      <c r="XB188" s="159"/>
      <c r="XC188" s="159"/>
      <c r="XD188" s="159"/>
      <c r="XE188" s="159"/>
      <c r="XF188" s="159"/>
      <c r="XG188" s="159"/>
      <c r="XH188" s="159"/>
      <c r="XI188" s="159"/>
      <c r="XJ188" s="159"/>
      <c r="XK188" s="159"/>
      <c r="XL188" s="159"/>
      <c r="XM188" s="159"/>
      <c r="XN188" s="159"/>
      <c r="XO188" s="159"/>
      <c r="XP188" s="159"/>
      <c r="XQ188" s="159"/>
      <c r="XR188" s="159"/>
      <c r="XS188" s="159"/>
      <c r="XT188" s="159"/>
      <c r="XU188" s="159"/>
      <c r="XV188" s="159"/>
      <c r="XW188" s="159"/>
      <c r="XX188" s="159"/>
      <c r="XY188" s="159"/>
      <c r="XZ188" s="159"/>
      <c r="YA188" s="159"/>
      <c r="YB188" s="159"/>
      <c r="YC188" s="159"/>
      <c r="YD188" s="159"/>
      <c r="YE188" s="159"/>
      <c r="YF188" s="159"/>
      <c r="YG188" s="159"/>
      <c r="YH188" s="159"/>
      <c r="YI188" s="159"/>
      <c r="YJ188" s="159"/>
      <c r="YK188" s="159"/>
      <c r="YL188" s="159"/>
      <c r="YM188" s="159"/>
      <c r="YN188" s="159"/>
      <c r="YO188" s="159"/>
      <c r="YP188" s="159"/>
      <c r="YQ188" s="159"/>
      <c r="YR188" s="159"/>
      <c r="YS188" s="159"/>
      <c r="YT188" s="159"/>
      <c r="YU188" s="159"/>
      <c r="YV188" s="159"/>
      <c r="YW188" s="159"/>
      <c r="YX188" s="159"/>
      <c r="YY188" s="159"/>
      <c r="YZ188" s="159"/>
      <c r="ZA188" s="159"/>
      <c r="ZB188" s="159"/>
      <c r="ZC188" s="159"/>
      <c r="ZD188" s="159"/>
      <c r="ZE188" s="159"/>
      <c r="ZF188" s="159"/>
      <c r="ZG188" s="159"/>
      <c r="ZH188" s="159"/>
      <c r="ZI188" s="159"/>
      <c r="ZJ188" s="159"/>
      <c r="ZK188" s="159"/>
      <c r="ZL188" s="159"/>
      <c r="ZM188" s="159"/>
      <c r="ZN188" s="159"/>
      <c r="ZO188" s="159"/>
      <c r="ZP188" s="159"/>
      <c r="ZQ188" s="159"/>
      <c r="ZR188" s="159"/>
      <c r="ZS188" s="159"/>
      <c r="ZT188" s="159"/>
      <c r="ZU188" s="159"/>
      <c r="ZV188" s="159"/>
      <c r="ZW188" s="159"/>
      <c r="ZX188" s="159"/>
      <c r="ZY188" s="159"/>
      <c r="ZZ188" s="159"/>
      <c r="AAA188" s="159"/>
      <c r="AAB188" s="159"/>
      <c r="AAC188" s="159"/>
      <c r="AAD188" s="159"/>
      <c r="AAE188" s="159"/>
      <c r="AAF188" s="159"/>
      <c r="AAG188" s="159"/>
      <c r="AAH188" s="159"/>
      <c r="AAI188" s="159"/>
      <c r="AAJ188" s="159"/>
      <c r="AAK188" s="159"/>
      <c r="AAL188" s="159"/>
      <c r="AAM188" s="159"/>
      <c r="AAN188" s="159"/>
      <c r="AAO188" s="159"/>
      <c r="AAP188" s="159"/>
      <c r="AAQ188" s="159"/>
      <c r="AAR188" s="159"/>
      <c r="AAS188" s="159"/>
      <c r="AAT188" s="159"/>
      <c r="AAU188" s="159"/>
      <c r="AAV188" s="159"/>
      <c r="AAW188" s="159"/>
      <c r="AAX188" s="159"/>
      <c r="AAY188" s="159"/>
      <c r="AAZ188" s="159"/>
      <c r="ABA188" s="159"/>
      <c r="ABB188" s="159"/>
      <c r="ABC188" s="159"/>
      <c r="ABD188" s="159"/>
      <c r="ABE188" s="159"/>
      <c r="ABF188" s="159"/>
      <c r="ABG188" s="159"/>
      <c r="ABH188" s="159"/>
      <c r="ABI188" s="159"/>
      <c r="ABJ188" s="159"/>
      <c r="ABK188" s="159"/>
      <c r="ABL188" s="159"/>
      <c r="ABM188" s="159"/>
      <c r="ABN188" s="159"/>
      <c r="ABO188" s="159"/>
      <c r="ABP188" s="159"/>
      <c r="ABQ188" s="159"/>
      <c r="ABR188" s="159"/>
      <c r="ABS188" s="159"/>
      <c r="ABT188" s="159"/>
      <c r="ABU188" s="159"/>
      <c r="ABV188" s="159"/>
      <c r="ABW188" s="159"/>
      <c r="ABX188" s="159"/>
      <c r="ABY188" s="159"/>
      <c r="ABZ188" s="159"/>
      <c r="ACA188" s="159"/>
      <c r="ACB188" s="159"/>
      <c r="ACC188" s="159"/>
      <c r="ACD188" s="159"/>
      <c r="ACE188" s="159"/>
      <c r="ACF188" s="159"/>
      <c r="ACG188" s="159"/>
      <c r="ACH188" s="159"/>
      <c r="ACI188" s="159"/>
      <c r="ACJ188" s="159"/>
      <c r="ACK188" s="159"/>
      <c r="ACL188" s="159"/>
      <c r="ACM188" s="159"/>
      <c r="ACN188" s="159"/>
      <c r="ACO188" s="159"/>
      <c r="ACP188" s="159"/>
      <c r="ACQ188" s="159"/>
      <c r="ACR188" s="159"/>
      <c r="ACS188" s="159"/>
      <c r="ACT188" s="159"/>
      <c r="ACU188" s="159"/>
      <c r="ACV188" s="159"/>
      <c r="ACW188" s="159"/>
      <c r="ACX188" s="159"/>
      <c r="ACY188" s="159"/>
      <c r="ACZ188" s="159"/>
      <c r="ADA188" s="159"/>
      <c r="ADB188" s="159"/>
      <c r="ADC188" s="159"/>
      <c r="ADD188" s="159"/>
      <c r="ADE188" s="159"/>
      <c r="ADF188" s="159"/>
      <c r="ADG188" s="159"/>
      <c r="ADH188" s="159"/>
      <c r="ADI188" s="159"/>
      <c r="ADJ188" s="159"/>
      <c r="ADK188" s="159"/>
      <c r="ADL188" s="159"/>
      <c r="ADM188" s="159"/>
      <c r="ADN188" s="159"/>
      <c r="ADO188" s="159"/>
      <c r="ADP188" s="159"/>
      <c r="ADQ188" s="159"/>
      <c r="ADR188" s="159"/>
      <c r="ADS188" s="159"/>
      <c r="ADT188" s="159"/>
      <c r="ADU188" s="159"/>
      <c r="ADV188" s="159"/>
      <c r="ADW188" s="159"/>
      <c r="ADX188" s="159"/>
      <c r="ADY188" s="159"/>
      <c r="ADZ188" s="159"/>
      <c r="AEA188" s="159"/>
      <c r="AEB188" s="159"/>
      <c r="AEC188" s="159"/>
      <c r="AED188" s="159"/>
      <c r="AEE188" s="159"/>
      <c r="AEF188" s="159"/>
      <c r="AEG188" s="159"/>
      <c r="AEH188" s="159"/>
      <c r="AEI188" s="159"/>
      <c r="AEJ188" s="159"/>
      <c r="AEK188" s="159"/>
      <c r="AEL188" s="159"/>
      <c r="AEM188" s="159"/>
      <c r="AEN188" s="159"/>
      <c r="AEO188" s="159"/>
      <c r="AEP188" s="159"/>
      <c r="AEQ188" s="159"/>
      <c r="AER188" s="159"/>
      <c r="AES188" s="159"/>
      <c r="AET188" s="159"/>
      <c r="AEU188" s="159"/>
      <c r="AEV188" s="159"/>
      <c r="AEW188" s="159"/>
      <c r="AEX188" s="159"/>
      <c r="AEY188" s="159"/>
      <c r="AEZ188" s="159"/>
      <c r="AFA188" s="159"/>
      <c r="AFB188" s="159"/>
      <c r="AFC188" s="159"/>
      <c r="AFD188" s="159"/>
      <c r="AFE188" s="159"/>
      <c r="AFF188" s="159"/>
      <c r="AFG188" s="159"/>
      <c r="AFH188" s="159"/>
      <c r="AFI188" s="159"/>
      <c r="AFJ188" s="159"/>
      <c r="AFK188" s="159"/>
      <c r="AFL188" s="159"/>
      <c r="AFM188" s="159"/>
      <c r="AFN188" s="159"/>
      <c r="AFO188" s="159"/>
      <c r="AFP188" s="159"/>
      <c r="AFQ188" s="159"/>
      <c r="AFR188" s="159"/>
      <c r="AFS188" s="159"/>
      <c r="AFT188" s="159"/>
      <c r="AFU188" s="159"/>
      <c r="AFV188" s="159"/>
      <c r="AFW188" s="159"/>
      <c r="AFX188" s="159"/>
      <c r="AFY188" s="159"/>
      <c r="AFZ188" s="159"/>
      <c r="AGA188" s="159"/>
      <c r="AGB188" s="159"/>
      <c r="AGC188" s="159"/>
      <c r="AGD188" s="159"/>
      <c r="AGE188" s="159"/>
      <c r="AGF188" s="159"/>
      <c r="AGG188" s="159"/>
      <c r="AGH188" s="159"/>
      <c r="AGI188" s="159"/>
      <c r="AGJ188" s="159"/>
      <c r="AGK188" s="159"/>
      <c r="AGL188" s="159"/>
      <c r="AGM188" s="159"/>
      <c r="AGN188" s="159"/>
      <c r="AGO188" s="159"/>
      <c r="AGP188" s="159"/>
      <c r="AGQ188" s="159"/>
      <c r="AGR188" s="159"/>
      <c r="AGS188" s="159"/>
      <c r="AGT188" s="159"/>
      <c r="AGU188" s="159"/>
      <c r="AGV188" s="159"/>
      <c r="AGW188" s="159"/>
      <c r="AGX188" s="159"/>
      <c r="AGY188" s="159"/>
      <c r="AGZ188" s="159"/>
      <c r="AHA188" s="159"/>
      <c r="AHB188" s="159"/>
      <c r="AHC188" s="159"/>
      <c r="AHD188" s="159"/>
      <c r="AHE188" s="159"/>
      <c r="AHF188" s="159"/>
      <c r="AHG188" s="159"/>
      <c r="AHH188" s="159"/>
      <c r="AHI188" s="159"/>
      <c r="AHJ188" s="159"/>
      <c r="AHK188" s="159"/>
      <c r="AHL188" s="159"/>
      <c r="AHM188" s="159"/>
      <c r="AHN188" s="159"/>
      <c r="AHO188" s="159"/>
      <c r="AHP188" s="159"/>
      <c r="AHQ188" s="159"/>
      <c r="AHR188" s="159"/>
      <c r="AHS188" s="159"/>
      <c r="AHT188" s="159"/>
      <c r="AHU188" s="159"/>
      <c r="AHV188" s="159"/>
      <c r="AHW188" s="159"/>
      <c r="AHX188" s="159"/>
      <c r="AHY188" s="159"/>
      <c r="AHZ188" s="159"/>
      <c r="AIA188" s="159"/>
      <c r="AIB188" s="159"/>
      <c r="AIC188" s="159"/>
      <c r="AID188" s="159"/>
      <c r="AIE188" s="159"/>
      <c r="AIF188" s="159"/>
      <c r="AIG188" s="159"/>
      <c r="AIH188" s="159"/>
      <c r="AII188" s="159"/>
      <c r="AIJ188" s="159"/>
      <c r="AIK188" s="159"/>
      <c r="AIL188" s="159"/>
      <c r="AIM188" s="159"/>
      <c r="AIN188" s="159"/>
      <c r="AIO188" s="159"/>
      <c r="AIP188" s="159"/>
      <c r="AIQ188" s="159"/>
      <c r="AIR188" s="159"/>
      <c r="AIS188" s="159"/>
      <c r="AIT188" s="159"/>
      <c r="AIU188" s="159"/>
      <c r="AIV188" s="159"/>
      <c r="AIW188" s="159"/>
      <c r="AIX188" s="159"/>
      <c r="AIY188" s="159"/>
      <c r="AIZ188" s="159"/>
      <c r="AJA188" s="159"/>
      <c r="AJB188" s="159"/>
      <c r="AJC188" s="159"/>
      <c r="AJD188" s="159"/>
      <c r="AJE188" s="159"/>
      <c r="AJF188" s="159"/>
      <c r="AJG188" s="159"/>
      <c r="AJH188" s="159"/>
      <c r="AJI188" s="159"/>
      <c r="AJJ188" s="159"/>
      <c r="AJK188" s="159"/>
      <c r="AJL188" s="159"/>
      <c r="AJM188" s="159"/>
      <c r="AJN188" s="159"/>
      <c r="AJO188" s="159"/>
      <c r="AJP188" s="159"/>
      <c r="AJQ188" s="159"/>
      <c r="AJR188" s="159"/>
      <c r="AJS188" s="159"/>
      <c r="AJT188" s="159"/>
      <c r="AJU188" s="159"/>
      <c r="AJV188" s="159"/>
      <c r="AJW188" s="159"/>
      <c r="AJX188" s="159"/>
      <c r="AJY188" s="159"/>
      <c r="AJZ188" s="159"/>
      <c r="AKA188" s="159"/>
      <c r="AKB188" s="159"/>
      <c r="AKC188" s="159"/>
      <c r="AKD188" s="159"/>
      <c r="AKE188" s="159"/>
      <c r="AKF188" s="159"/>
      <c r="AKG188" s="159"/>
      <c r="AKH188" s="159"/>
      <c r="AKI188" s="159"/>
      <c r="AKJ188" s="159"/>
      <c r="AKK188" s="159"/>
      <c r="AKL188" s="159"/>
      <c r="AKM188" s="159"/>
      <c r="AKN188" s="159"/>
      <c r="AKO188" s="159"/>
      <c r="AKP188" s="159"/>
      <c r="AKQ188" s="159"/>
      <c r="AKR188" s="159"/>
      <c r="AKS188" s="159"/>
      <c r="AKT188" s="159"/>
      <c r="AKU188" s="159"/>
      <c r="AKV188" s="159"/>
      <c r="AKW188" s="159"/>
      <c r="AKX188" s="159"/>
      <c r="AKY188" s="159"/>
      <c r="AKZ188" s="159"/>
      <c r="ALA188" s="159"/>
      <c r="ALB188" s="159"/>
      <c r="ALC188" s="159"/>
      <c r="ALD188" s="159"/>
      <c r="ALE188" s="159"/>
      <c r="ALF188" s="159"/>
      <c r="ALG188" s="159"/>
      <c r="ALH188" s="159"/>
      <c r="ALI188" s="159"/>
      <c r="ALJ188" s="159"/>
      <c r="ALK188" s="159"/>
      <c r="ALL188" s="159"/>
      <c r="ALM188" s="159"/>
      <c r="ALN188" s="159"/>
      <c r="ALO188" s="159"/>
      <c r="ALP188" s="159"/>
      <c r="ALQ188" s="159"/>
      <c r="ALR188" s="159"/>
      <c r="ALS188" s="159"/>
      <c r="ALT188" s="159"/>
      <c r="ALU188" s="159"/>
      <c r="ALV188" s="159"/>
      <c r="ALW188" s="159"/>
      <c r="ALX188" s="159"/>
      <c r="ALY188" s="159"/>
      <c r="ALZ188" s="159"/>
      <c r="AMA188" s="159"/>
      <c r="AMB188" s="159"/>
      <c r="AMC188" s="159"/>
      <c r="AMD188" s="159"/>
      <c r="AME188" s="159"/>
      <c r="AMF188" s="159"/>
      <c r="AMG188" s="159"/>
      <c r="AMH188" s="159"/>
      <c r="AMI188" s="159"/>
      <c r="AMJ188" s="159"/>
      <c r="AMK188" s="159"/>
      <c r="AML188" s="159"/>
      <c r="AMM188" s="159"/>
      <c r="AMN188" s="159"/>
      <c r="AMO188" s="159"/>
    </row>
    <row r="189" spans="1:1029" s="161" customFormat="1" ht="26.25" thickTop="1" x14ac:dyDescent="0.25">
      <c r="A189" s="138">
        <v>46286</v>
      </c>
      <c r="B189" s="119" t="s">
        <v>193</v>
      </c>
      <c r="C189" s="119" t="s">
        <v>130</v>
      </c>
      <c r="D189" s="139" t="s">
        <v>21</v>
      </c>
      <c r="E189" s="120" t="s">
        <v>19</v>
      </c>
      <c r="F189" s="121" t="s">
        <v>57</v>
      </c>
      <c r="G189" s="121" t="s">
        <v>31</v>
      </c>
      <c r="H189" s="146" t="b">
        <f t="shared" si="12"/>
        <v>0</v>
      </c>
      <c r="I189" s="121" t="s">
        <v>101</v>
      </c>
      <c r="J189" s="121" t="s">
        <v>163</v>
      </c>
      <c r="K189" s="121" t="s">
        <v>31</v>
      </c>
      <c r="L189" s="146" t="b">
        <f t="shared" si="13"/>
        <v>0</v>
      </c>
      <c r="M189" s="121" t="s">
        <v>101</v>
      </c>
      <c r="N189" s="121" t="s">
        <v>130</v>
      </c>
      <c r="O189" s="121" t="s">
        <v>21</v>
      </c>
      <c r="P189" s="146">
        <f t="shared" si="14"/>
        <v>1</v>
      </c>
      <c r="Q189" s="121" t="s">
        <v>101</v>
      </c>
      <c r="R189" s="119" t="s">
        <v>119</v>
      </c>
      <c r="S189" s="119" t="s">
        <v>21</v>
      </c>
      <c r="T189" s="146">
        <f t="shared" si="15"/>
        <v>0.5</v>
      </c>
      <c r="U189" s="159"/>
      <c r="V189" s="159"/>
      <c r="W189" s="159"/>
      <c r="X189" s="159"/>
      <c r="Y189" s="159"/>
      <c r="Z189" s="159"/>
      <c r="AA189" s="159"/>
      <c r="AB189" s="159"/>
      <c r="AC189" s="159"/>
      <c r="AD189" s="159"/>
      <c r="AE189" s="159"/>
      <c r="AF189" s="159"/>
      <c r="AG189" s="159"/>
      <c r="AH189" s="159"/>
      <c r="AI189" s="159"/>
      <c r="AJ189" s="159"/>
      <c r="AK189" s="159"/>
      <c r="AL189" s="159"/>
      <c r="AM189" s="159"/>
      <c r="AN189" s="159"/>
      <c r="AO189" s="159"/>
      <c r="AP189" s="159"/>
      <c r="AQ189" s="159"/>
      <c r="AR189" s="159"/>
      <c r="AS189" s="159"/>
      <c r="AT189" s="159"/>
      <c r="AU189" s="159"/>
      <c r="AV189" s="159"/>
      <c r="AW189" s="159"/>
      <c r="AX189" s="159"/>
      <c r="AY189" s="159"/>
      <c r="AZ189" s="159"/>
      <c r="BA189" s="159"/>
      <c r="BB189" s="159"/>
      <c r="BC189" s="159"/>
      <c r="BD189" s="159"/>
      <c r="BE189" s="159"/>
      <c r="BF189" s="159"/>
      <c r="BG189" s="159"/>
      <c r="BH189" s="159"/>
      <c r="BI189" s="159"/>
      <c r="BJ189" s="159"/>
      <c r="BK189" s="159"/>
      <c r="BL189" s="159"/>
      <c r="BM189" s="159"/>
      <c r="BN189" s="159"/>
      <c r="BO189" s="159"/>
      <c r="BP189" s="159"/>
      <c r="BQ189" s="159"/>
      <c r="BR189" s="159"/>
      <c r="BS189" s="159"/>
      <c r="BT189" s="159"/>
      <c r="BU189" s="159"/>
      <c r="BV189" s="159"/>
      <c r="BW189" s="159"/>
      <c r="BX189" s="159"/>
      <c r="BY189" s="159"/>
      <c r="BZ189" s="159"/>
      <c r="CA189" s="159"/>
      <c r="CB189" s="159"/>
      <c r="CC189" s="159"/>
      <c r="CD189" s="159"/>
      <c r="CE189" s="159"/>
      <c r="CF189" s="159"/>
      <c r="CG189" s="159"/>
      <c r="CH189" s="159"/>
      <c r="CI189" s="159"/>
      <c r="CJ189" s="159"/>
      <c r="CK189" s="159"/>
      <c r="CL189" s="159"/>
      <c r="CM189" s="159"/>
      <c r="CN189" s="159"/>
      <c r="CO189" s="159"/>
      <c r="CP189" s="159"/>
      <c r="CQ189" s="159"/>
      <c r="CR189" s="159"/>
      <c r="CS189" s="159"/>
      <c r="CT189" s="159"/>
      <c r="CU189" s="159"/>
      <c r="CV189" s="159"/>
      <c r="CW189" s="159"/>
      <c r="CX189" s="159"/>
      <c r="CY189" s="159"/>
      <c r="CZ189" s="159"/>
      <c r="DA189" s="159"/>
      <c r="DB189" s="159"/>
      <c r="DC189" s="159"/>
      <c r="DD189" s="159"/>
      <c r="DE189" s="159"/>
      <c r="DF189" s="159"/>
      <c r="DG189" s="159"/>
      <c r="DH189" s="159"/>
      <c r="DI189" s="159"/>
      <c r="DJ189" s="159"/>
      <c r="DK189" s="159"/>
      <c r="DL189" s="159"/>
      <c r="DM189" s="159"/>
      <c r="DN189" s="159"/>
      <c r="DO189" s="159"/>
      <c r="DP189" s="159"/>
      <c r="DQ189" s="159"/>
      <c r="DR189" s="159"/>
      <c r="DS189" s="159"/>
      <c r="DT189" s="159"/>
      <c r="DU189" s="159"/>
      <c r="DV189" s="159"/>
      <c r="DW189" s="159"/>
      <c r="DX189" s="159"/>
      <c r="DY189" s="159"/>
      <c r="DZ189" s="159"/>
      <c r="EA189" s="159"/>
      <c r="EB189" s="159"/>
      <c r="EC189" s="159"/>
      <c r="ED189" s="159"/>
      <c r="EE189" s="159"/>
      <c r="EF189" s="159"/>
      <c r="EG189" s="159"/>
      <c r="EH189" s="159"/>
      <c r="EI189" s="159"/>
      <c r="EJ189" s="159"/>
      <c r="EK189" s="159"/>
      <c r="EL189" s="159"/>
      <c r="EM189" s="159"/>
      <c r="EN189" s="159"/>
      <c r="EO189" s="159"/>
      <c r="EP189" s="159"/>
      <c r="EQ189" s="159"/>
      <c r="ER189" s="159"/>
      <c r="ES189" s="159"/>
      <c r="ET189" s="159"/>
      <c r="EU189" s="159"/>
      <c r="EV189" s="159"/>
      <c r="EW189" s="159"/>
      <c r="EX189" s="159"/>
      <c r="EY189" s="159"/>
      <c r="EZ189" s="159"/>
      <c r="FA189" s="159"/>
      <c r="FB189" s="159"/>
      <c r="FC189" s="159"/>
      <c r="FD189" s="159"/>
      <c r="FE189" s="159"/>
      <c r="FF189" s="159"/>
      <c r="FG189" s="159"/>
      <c r="FH189" s="159"/>
      <c r="FI189" s="159"/>
      <c r="FJ189" s="159"/>
      <c r="FK189" s="159"/>
      <c r="FL189" s="159"/>
      <c r="FM189" s="159"/>
      <c r="FN189" s="159"/>
      <c r="FO189" s="159"/>
      <c r="FP189" s="159"/>
      <c r="FQ189" s="159"/>
      <c r="FR189" s="159"/>
      <c r="FS189" s="159"/>
      <c r="FT189" s="159"/>
      <c r="FU189" s="159"/>
      <c r="FV189" s="159"/>
      <c r="FW189" s="159"/>
      <c r="FX189" s="159"/>
      <c r="FY189" s="159"/>
      <c r="FZ189" s="159"/>
      <c r="GA189" s="159"/>
      <c r="GB189" s="159"/>
      <c r="GC189" s="159"/>
      <c r="GD189" s="159"/>
      <c r="GE189" s="159"/>
      <c r="GF189" s="159"/>
      <c r="GG189" s="159"/>
      <c r="GH189" s="159"/>
      <c r="GI189" s="159"/>
      <c r="GJ189" s="159"/>
      <c r="GK189" s="159"/>
      <c r="GL189" s="159"/>
      <c r="GM189" s="159"/>
      <c r="GN189" s="159"/>
      <c r="GO189" s="159"/>
      <c r="GP189" s="159"/>
      <c r="GQ189" s="159"/>
      <c r="GR189" s="159"/>
      <c r="GS189" s="159"/>
      <c r="GT189" s="159"/>
      <c r="GU189" s="159"/>
      <c r="GV189" s="159"/>
      <c r="GW189" s="159"/>
      <c r="GX189" s="159"/>
      <c r="GY189" s="159"/>
      <c r="GZ189" s="159"/>
      <c r="HA189" s="159"/>
      <c r="HB189" s="159"/>
      <c r="HC189" s="159"/>
      <c r="HD189" s="159"/>
      <c r="HE189" s="159"/>
      <c r="HF189" s="159"/>
      <c r="HG189" s="159"/>
      <c r="HH189" s="159"/>
      <c r="HI189" s="159"/>
      <c r="HJ189" s="159"/>
      <c r="HK189" s="159"/>
      <c r="HL189" s="159"/>
      <c r="HM189" s="159"/>
      <c r="HN189" s="159"/>
      <c r="HO189" s="159"/>
      <c r="HP189" s="159"/>
      <c r="HQ189" s="159"/>
      <c r="HR189" s="159"/>
      <c r="HS189" s="159"/>
      <c r="HT189" s="159"/>
      <c r="HU189" s="159"/>
      <c r="HV189" s="159"/>
      <c r="HW189" s="159"/>
      <c r="HX189" s="159"/>
      <c r="HY189" s="159"/>
      <c r="HZ189" s="159"/>
      <c r="IA189" s="159"/>
      <c r="IB189" s="159"/>
      <c r="IC189" s="159"/>
      <c r="ID189" s="159"/>
      <c r="IE189" s="159"/>
      <c r="IF189" s="159"/>
      <c r="IG189" s="159"/>
      <c r="IH189" s="159"/>
      <c r="II189" s="159"/>
      <c r="IJ189" s="159"/>
      <c r="IK189" s="159"/>
      <c r="IL189" s="159"/>
      <c r="IM189" s="159"/>
      <c r="IN189" s="159"/>
      <c r="IO189" s="159"/>
      <c r="IP189" s="159"/>
      <c r="IQ189" s="159"/>
      <c r="IR189" s="159"/>
      <c r="IS189" s="159"/>
      <c r="IT189" s="159"/>
      <c r="IU189" s="159"/>
      <c r="IV189" s="159"/>
      <c r="IW189" s="159"/>
      <c r="IX189" s="159"/>
      <c r="IY189" s="159"/>
      <c r="IZ189" s="159"/>
      <c r="JA189" s="159"/>
      <c r="JB189" s="159"/>
      <c r="JC189" s="159"/>
      <c r="JD189" s="159"/>
      <c r="JE189" s="159"/>
      <c r="JF189" s="159"/>
      <c r="JG189" s="159"/>
      <c r="JH189" s="159"/>
      <c r="JI189" s="159"/>
      <c r="JJ189" s="159"/>
      <c r="JK189" s="159"/>
      <c r="JL189" s="159"/>
      <c r="JM189" s="159"/>
      <c r="JN189" s="159"/>
      <c r="JO189" s="159"/>
      <c r="JP189" s="159"/>
      <c r="JQ189" s="159"/>
      <c r="JR189" s="159"/>
      <c r="JS189" s="159"/>
      <c r="JT189" s="159"/>
      <c r="JU189" s="159"/>
      <c r="JV189" s="159"/>
      <c r="JW189" s="159"/>
      <c r="JX189" s="159"/>
      <c r="JY189" s="159"/>
      <c r="JZ189" s="159"/>
      <c r="KA189" s="159"/>
      <c r="KB189" s="159"/>
      <c r="KC189" s="159"/>
      <c r="KD189" s="159"/>
      <c r="KE189" s="159"/>
      <c r="KF189" s="159"/>
      <c r="KG189" s="159"/>
      <c r="KH189" s="159"/>
      <c r="KI189" s="159"/>
      <c r="KJ189" s="159"/>
      <c r="KK189" s="159"/>
      <c r="KL189" s="159"/>
      <c r="KM189" s="159"/>
      <c r="KN189" s="159"/>
      <c r="KO189" s="159"/>
      <c r="KP189" s="159"/>
      <c r="KQ189" s="159"/>
      <c r="KR189" s="159"/>
      <c r="KS189" s="159"/>
      <c r="KT189" s="159"/>
      <c r="KU189" s="159"/>
      <c r="KV189" s="159"/>
      <c r="KW189" s="159"/>
      <c r="KX189" s="159"/>
      <c r="KY189" s="159"/>
      <c r="KZ189" s="159"/>
      <c r="LA189" s="159"/>
      <c r="LB189" s="159"/>
      <c r="LC189" s="159"/>
      <c r="LD189" s="159"/>
      <c r="LE189" s="159"/>
      <c r="LF189" s="159"/>
      <c r="LG189" s="159"/>
      <c r="LH189" s="159"/>
      <c r="LI189" s="159"/>
      <c r="LJ189" s="159"/>
      <c r="LK189" s="159"/>
      <c r="LL189" s="159"/>
      <c r="LM189" s="159"/>
      <c r="LN189" s="159"/>
      <c r="LO189" s="159"/>
      <c r="LP189" s="159"/>
      <c r="LQ189" s="159"/>
      <c r="LR189" s="159"/>
      <c r="LS189" s="159"/>
      <c r="LT189" s="159"/>
      <c r="LU189" s="159"/>
      <c r="LV189" s="159"/>
      <c r="LW189" s="159"/>
      <c r="LX189" s="159"/>
      <c r="LY189" s="159"/>
      <c r="LZ189" s="159"/>
      <c r="MA189" s="159"/>
      <c r="MB189" s="159"/>
      <c r="MC189" s="159"/>
      <c r="MD189" s="159"/>
      <c r="ME189" s="159"/>
      <c r="MF189" s="159"/>
      <c r="MG189" s="159"/>
      <c r="MH189" s="159"/>
      <c r="MI189" s="159"/>
      <c r="MJ189" s="159"/>
      <c r="MK189" s="159"/>
      <c r="ML189" s="159"/>
      <c r="MM189" s="159"/>
      <c r="MN189" s="159"/>
      <c r="MO189" s="159"/>
      <c r="MP189" s="159"/>
      <c r="MQ189" s="159"/>
      <c r="MR189" s="159"/>
      <c r="MS189" s="159"/>
      <c r="MT189" s="159"/>
      <c r="MU189" s="159"/>
      <c r="MV189" s="159"/>
      <c r="MW189" s="159"/>
      <c r="MX189" s="159"/>
      <c r="MY189" s="159"/>
      <c r="MZ189" s="159"/>
      <c r="NA189" s="159"/>
      <c r="NB189" s="159"/>
      <c r="NC189" s="159"/>
      <c r="ND189" s="159"/>
      <c r="NE189" s="159"/>
      <c r="NF189" s="159"/>
      <c r="NG189" s="159"/>
      <c r="NH189" s="159"/>
      <c r="NI189" s="159"/>
      <c r="NJ189" s="159"/>
      <c r="NK189" s="159"/>
      <c r="NL189" s="159"/>
      <c r="NM189" s="159"/>
      <c r="NN189" s="159"/>
      <c r="NO189" s="159"/>
      <c r="NP189" s="159"/>
      <c r="NQ189" s="159"/>
      <c r="NR189" s="159"/>
      <c r="NS189" s="159"/>
      <c r="NT189" s="159"/>
      <c r="NU189" s="159"/>
      <c r="NV189" s="159"/>
      <c r="NW189" s="159"/>
      <c r="NX189" s="159"/>
      <c r="NY189" s="159"/>
      <c r="NZ189" s="159"/>
      <c r="OA189" s="159"/>
      <c r="OB189" s="159"/>
      <c r="OC189" s="159"/>
      <c r="OD189" s="159"/>
      <c r="OE189" s="159"/>
      <c r="OF189" s="159"/>
      <c r="OG189" s="159"/>
      <c r="OH189" s="159"/>
      <c r="OI189" s="159"/>
      <c r="OJ189" s="159"/>
      <c r="OK189" s="159"/>
      <c r="OL189" s="159"/>
      <c r="OM189" s="159"/>
      <c r="ON189" s="159"/>
      <c r="OO189" s="159"/>
      <c r="OP189" s="159"/>
      <c r="OQ189" s="159"/>
      <c r="OR189" s="159"/>
      <c r="OS189" s="159"/>
      <c r="OT189" s="159"/>
      <c r="OU189" s="159"/>
      <c r="OV189" s="159"/>
      <c r="OW189" s="159"/>
      <c r="OX189" s="159"/>
      <c r="OY189" s="159"/>
      <c r="OZ189" s="159"/>
      <c r="PA189" s="159"/>
      <c r="PB189" s="159"/>
      <c r="PC189" s="159"/>
      <c r="PD189" s="159"/>
      <c r="PE189" s="159"/>
      <c r="PF189" s="159"/>
      <c r="PG189" s="159"/>
      <c r="PH189" s="159"/>
      <c r="PI189" s="159"/>
      <c r="PJ189" s="159"/>
      <c r="PK189" s="159"/>
      <c r="PL189" s="159"/>
      <c r="PM189" s="159"/>
      <c r="PN189" s="159"/>
      <c r="PO189" s="159"/>
      <c r="PP189" s="159"/>
      <c r="PQ189" s="159"/>
      <c r="PR189" s="159"/>
      <c r="PS189" s="159"/>
      <c r="PT189" s="159"/>
      <c r="PU189" s="159"/>
      <c r="PV189" s="159"/>
      <c r="PW189" s="159"/>
      <c r="PX189" s="159"/>
      <c r="PY189" s="159"/>
      <c r="PZ189" s="159"/>
      <c r="QA189" s="159"/>
      <c r="QB189" s="159"/>
      <c r="QC189" s="159"/>
      <c r="QD189" s="159"/>
      <c r="QE189" s="159"/>
      <c r="QF189" s="159"/>
      <c r="QG189" s="159"/>
      <c r="QH189" s="159"/>
      <c r="QI189" s="159"/>
      <c r="QJ189" s="159"/>
      <c r="QK189" s="159"/>
      <c r="QL189" s="159"/>
      <c r="QM189" s="159"/>
      <c r="QN189" s="159"/>
      <c r="QO189" s="159"/>
      <c r="QP189" s="159"/>
      <c r="QQ189" s="159"/>
      <c r="QR189" s="159"/>
      <c r="QS189" s="159"/>
      <c r="QT189" s="159"/>
      <c r="QU189" s="159"/>
      <c r="QV189" s="159"/>
      <c r="QW189" s="159"/>
      <c r="QX189" s="159"/>
      <c r="QY189" s="159"/>
      <c r="QZ189" s="159"/>
      <c r="RA189" s="159"/>
      <c r="RB189" s="159"/>
      <c r="RC189" s="159"/>
      <c r="RD189" s="159"/>
      <c r="RE189" s="159"/>
      <c r="RF189" s="159"/>
      <c r="RG189" s="159"/>
      <c r="RH189" s="159"/>
      <c r="RI189" s="159"/>
      <c r="RJ189" s="159"/>
      <c r="RK189" s="159"/>
      <c r="RL189" s="159"/>
      <c r="RM189" s="159"/>
      <c r="RN189" s="159"/>
      <c r="RO189" s="159"/>
      <c r="RP189" s="159"/>
      <c r="RQ189" s="159"/>
      <c r="RR189" s="159"/>
      <c r="RS189" s="159"/>
      <c r="RT189" s="159"/>
      <c r="RU189" s="159"/>
      <c r="RV189" s="159"/>
      <c r="RW189" s="159"/>
      <c r="RX189" s="159"/>
      <c r="RY189" s="159"/>
      <c r="RZ189" s="159"/>
      <c r="SA189" s="159"/>
      <c r="SB189" s="159"/>
      <c r="SC189" s="159"/>
      <c r="SD189" s="159"/>
      <c r="SE189" s="159"/>
      <c r="SF189" s="159"/>
      <c r="SG189" s="159"/>
      <c r="SH189" s="159"/>
      <c r="SI189" s="159"/>
      <c r="SJ189" s="159"/>
      <c r="SK189" s="159"/>
      <c r="SL189" s="159"/>
      <c r="SM189" s="159"/>
      <c r="SN189" s="159"/>
      <c r="SO189" s="159"/>
      <c r="SP189" s="159"/>
      <c r="SQ189" s="159"/>
      <c r="SR189" s="159"/>
      <c r="SS189" s="159"/>
      <c r="ST189" s="159"/>
      <c r="SU189" s="159"/>
      <c r="SV189" s="159"/>
      <c r="SW189" s="159"/>
      <c r="SX189" s="159"/>
      <c r="SY189" s="159"/>
      <c r="SZ189" s="159"/>
      <c r="TA189" s="159"/>
      <c r="TB189" s="159"/>
      <c r="TC189" s="159"/>
      <c r="TD189" s="159"/>
      <c r="TE189" s="159"/>
      <c r="TF189" s="159"/>
      <c r="TG189" s="159"/>
      <c r="TH189" s="159"/>
      <c r="TI189" s="159"/>
      <c r="TJ189" s="159"/>
      <c r="TK189" s="159"/>
      <c r="TL189" s="159"/>
      <c r="TM189" s="159"/>
      <c r="TN189" s="159"/>
      <c r="TO189" s="159"/>
      <c r="TP189" s="159"/>
      <c r="TQ189" s="159"/>
      <c r="TR189" s="159"/>
      <c r="TS189" s="159"/>
      <c r="TT189" s="159"/>
      <c r="TU189" s="159"/>
      <c r="TV189" s="159"/>
      <c r="TW189" s="159"/>
      <c r="TX189" s="159"/>
      <c r="TY189" s="159"/>
      <c r="TZ189" s="159"/>
      <c r="UA189" s="159"/>
      <c r="UB189" s="159"/>
      <c r="UC189" s="159"/>
      <c r="UD189" s="159"/>
      <c r="UE189" s="159"/>
      <c r="UF189" s="159"/>
      <c r="UG189" s="159"/>
      <c r="UH189" s="159"/>
      <c r="UI189" s="159"/>
      <c r="UJ189" s="159"/>
      <c r="UK189" s="159"/>
      <c r="UL189" s="159"/>
      <c r="UM189" s="159"/>
      <c r="UN189" s="159"/>
      <c r="UO189" s="159"/>
      <c r="UP189" s="159"/>
      <c r="UQ189" s="159"/>
      <c r="UR189" s="159"/>
      <c r="US189" s="159"/>
      <c r="UT189" s="159"/>
      <c r="UU189" s="159"/>
      <c r="UV189" s="159"/>
      <c r="UW189" s="159"/>
      <c r="UX189" s="159"/>
      <c r="UY189" s="159"/>
      <c r="UZ189" s="159"/>
      <c r="VA189" s="159"/>
      <c r="VB189" s="159"/>
      <c r="VC189" s="159"/>
      <c r="VD189" s="159"/>
      <c r="VE189" s="159"/>
      <c r="VF189" s="159"/>
      <c r="VG189" s="159"/>
      <c r="VH189" s="159"/>
      <c r="VI189" s="159"/>
      <c r="VJ189" s="159"/>
      <c r="VK189" s="159"/>
      <c r="VL189" s="159"/>
      <c r="VM189" s="159"/>
      <c r="VN189" s="159"/>
      <c r="VO189" s="159"/>
      <c r="VP189" s="159"/>
      <c r="VQ189" s="159"/>
      <c r="VR189" s="159"/>
      <c r="VS189" s="159"/>
      <c r="VT189" s="159"/>
      <c r="VU189" s="159"/>
      <c r="VV189" s="159"/>
      <c r="VW189" s="159"/>
      <c r="VX189" s="159"/>
      <c r="VY189" s="159"/>
      <c r="VZ189" s="159"/>
      <c r="WA189" s="159"/>
      <c r="WB189" s="159"/>
      <c r="WC189" s="159"/>
      <c r="WD189" s="159"/>
      <c r="WE189" s="159"/>
      <c r="WF189" s="159"/>
      <c r="WG189" s="159"/>
      <c r="WH189" s="159"/>
      <c r="WI189" s="159"/>
      <c r="WJ189" s="159"/>
      <c r="WK189" s="159"/>
      <c r="WL189" s="159"/>
      <c r="WM189" s="159"/>
      <c r="WN189" s="159"/>
      <c r="WO189" s="159"/>
      <c r="WP189" s="159"/>
      <c r="WQ189" s="159"/>
      <c r="WR189" s="159"/>
      <c r="WS189" s="159"/>
      <c r="WT189" s="159"/>
      <c r="WU189" s="159"/>
      <c r="WV189" s="159"/>
      <c r="WW189" s="159"/>
      <c r="WX189" s="159"/>
      <c r="WY189" s="159"/>
      <c r="WZ189" s="159"/>
      <c r="XA189" s="159"/>
      <c r="XB189" s="159"/>
      <c r="XC189" s="159"/>
      <c r="XD189" s="159"/>
      <c r="XE189" s="159"/>
      <c r="XF189" s="159"/>
      <c r="XG189" s="159"/>
      <c r="XH189" s="159"/>
      <c r="XI189" s="159"/>
      <c r="XJ189" s="159"/>
      <c r="XK189" s="159"/>
      <c r="XL189" s="159"/>
      <c r="XM189" s="159"/>
      <c r="XN189" s="159"/>
      <c r="XO189" s="159"/>
      <c r="XP189" s="159"/>
      <c r="XQ189" s="159"/>
      <c r="XR189" s="159"/>
      <c r="XS189" s="159"/>
      <c r="XT189" s="159"/>
      <c r="XU189" s="159"/>
      <c r="XV189" s="159"/>
      <c r="XW189" s="159"/>
      <c r="XX189" s="159"/>
      <c r="XY189" s="159"/>
      <c r="XZ189" s="159"/>
      <c r="YA189" s="159"/>
      <c r="YB189" s="159"/>
      <c r="YC189" s="159"/>
      <c r="YD189" s="159"/>
      <c r="YE189" s="159"/>
      <c r="YF189" s="159"/>
      <c r="YG189" s="159"/>
      <c r="YH189" s="159"/>
      <c r="YI189" s="159"/>
      <c r="YJ189" s="159"/>
      <c r="YK189" s="159"/>
      <c r="YL189" s="159"/>
      <c r="YM189" s="159"/>
      <c r="YN189" s="159"/>
      <c r="YO189" s="159"/>
      <c r="YP189" s="159"/>
      <c r="YQ189" s="159"/>
      <c r="YR189" s="159"/>
      <c r="YS189" s="159"/>
      <c r="YT189" s="159"/>
      <c r="YU189" s="159"/>
      <c r="YV189" s="159"/>
      <c r="YW189" s="159"/>
      <c r="YX189" s="159"/>
      <c r="YY189" s="159"/>
      <c r="YZ189" s="159"/>
      <c r="ZA189" s="159"/>
      <c r="ZB189" s="159"/>
      <c r="ZC189" s="159"/>
      <c r="ZD189" s="159"/>
      <c r="ZE189" s="159"/>
      <c r="ZF189" s="159"/>
      <c r="ZG189" s="159"/>
      <c r="ZH189" s="159"/>
      <c r="ZI189" s="159"/>
      <c r="ZJ189" s="159"/>
      <c r="ZK189" s="159"/>
      <c r="ZL189" s="159"/>
      <c r="ZM189" s="159"/>
      <c r="ZN189" s="159"/>
      <c r="ZO189" s="159"/>
      <c r="ZP189" s="159"/>
      <c r="ZQ189" s="159"/>
      <c r="ZR189" s="159"/>
      <c r="ZS189" s="159"/>
      <c r="ZT189" s="159"/>
      <c r="ZU189" s="159"/>
      <c r="ZV189" s="159"/>
      <c r="ZW189" s="159"/>
      <c r="ZX189" s="159"/>
      <c r="ZY189" s="159"/>
      <c r="ZZ189" s="159"/>
      <c r="AAA189" s="159"/>
      <c r="AAB189" s="159"/>
      <c r="AAC189" s="159"/>
      <c r="AAD189" s="159"/>
      <c r="AAE189" s="159"/>
      <c r="AAF189" s="159"/>
      <c r="AAG189" s="159"/>
      <c r="AAH189" s="159"/>
      <c r="AAI189" s="159"/>
      <c r="AAJ189" s="159"/>
      <c r="AAK189" s="159"/>
      <c r="AAL189" s="159"/>
      <c r="AAM189" s="159"/>
      <c r="AAN189" s="159"/>
      <c r="AAO189" s="159"/>
      <c r="AAP189" s="159"/>
      <c r="AAQ189" s="159"/>
      <c r="AAR189" s="159"/>
      <c r="AAS189" s="159"/>
      <c r="AAT189" s="159"/>
      <c r="AAU189" s="159"/>
      <c r="AAV189" s="159"/>
      <c r="AAW189" s="159"/>
      <c r="AAX189" s="159"/>
      <c r="AAY189" s="159"/>
      <c r="AAZ189" s="159"/>
      <c r="ABA189" s="159"/>
      <c r="ABB189" s="159"/>
      <c r="ABC189" s="159"/>
      <c r="ABD189" s="159"/>
      <c r="ABE189" s="159"/>
      <c r="ABF189" s="159"/>
      <c r="ABG189" s="159"/>
      <c r="ABH189" s="159"/>
      <c r="ABI189" s="159"/>
      <c r="ABJ189" s="159"/>
      <c r="ABK189" s="159"/>
      <c r="ABL189" s="159"/>
      <c r="ABM189" s="159"/>
      <c r="ABN189" s="159"/>
      <c r="ABO189" s="159"/>
      <c r="ABP189" s="159"/>
      <c r="ABQ189" s="159"/>
      <c r="ABR189" s="159"/>
      <c r="ABS189" s="159"/>
      <c r="ABT189" s="159"/>
      <c r="ABU189" s="159"/>
      <c r="ABV189" s="159"/>
      <c r="ABW189" s="159"/>
      <c r="ABX189" s="159"/>
      <c r="ABY189" s="159"/>
      <c r="ABZ189" s="159"/>
      <c r="ACA189" s="159"/>
      <c r="ACB189" s="159"/>
      <c r="ACC189" s="159"/>
      <c r="ACD189" s="159"/>
      <c r="ACE189" s="159"/>
      <c r="ACF189" s="159"/>
      <c r="ACG189" s="159"/>
      <c r="ACH189" s="159"/>
      <c r="ACI189" s="159"/>
      <c r="ACJ189" s="159"/>
      <c r="ACK189" s="159"/>
      <c r="ACL189" s="159"/>
      <c r="ACM189" s="159"/>
      <c r="ACN189" s="159"/>
      <c r="ACO189" s="159"/>
      <c r="ACP189" s="159"/>
      <c r="ACQ189" s="159"/>
      <c r="ACR189" s="159"/>
      <c r="ACS189" s="159"/>
      <c r="ACT189" s="159"/>
      <c r="ACU189" s="159"/>
      <c r="ACV189" s="159"/>
      <c r="ACW189" s="159"/>
      <c r="ACX189" s="159"/>
      <c r="ACY189" s="159"/>
      <c r="ACZ189" s="159"/>
      <c r="ADA189" s="159"/>
      <c r="ADB189" s="159"/>
      <c r="ADC189" s="159"/>
      <c r="ADD189" s="159"/>
      <c r="ADE189" s="159"/>
      <c r="ADF189" s="159"/>
      <c r="ADG189" s="159"/>
      <c r="ADH189" s="159"/>
      <c r="ADI189" s="159"/>
      <c r="ADJ189" s="159"/>
      <c r="ADK189" s="159"/>
      <c r="ADL189" s="159"/>
      <c r="ADM189" s="159"/>
      <c r="ADN189" s="159"/>
      <c r="ADO189" s="159"/>
      <c r="ADP189" s="159"/>
      <c r="ADQ189" s="159"/>
      <c r="ADR189" s="159"/>
      <c r="ADS189" s="159"/>
      <c r="ADT189" s="159"/>
      <c r="ADU189" s="159"/>
      <c r="ADV189" s="159"/>
      <c r="ADW189" s="159"/>
      <c r="ADX189" s="159"/>
      <c r="ADY189" s="159"/>
      <c r="ADZ189" s="159"/>
      <c r="AEA189" s="159"/>
      <c r="AEB189" s="159"/>
      <c r="AEC189" s="159"/>
      <c r="AED189" s="159"/>
      <c r="AEE189" s="159"/>
      <c r="AEF189" s="159"/>
      <c r="AEG189" s="159"/>
      <c r="AEH189" s="159"/>
      <c r="AEI189" s="159"/>
      <c r="AEJ189" s="159"/>
      <c r="AEK189" s="159"/>
      <c r="AEL189" s="159"/>
      <c r="AEM189" s="159"/>
      <c r="AEN189" s="159"/>
      <c r="AEO189" s="159"/>
      <c r="AEP189" s="159"/>
      <c r="AEQ189" s="159"/>
      <c r="AER189" s="159"/>
      <c r="AES189" s="159"/>
      <c r="AET189" s="159"/>
      <c r="AEU189" s="159"/>
      <c r="AEV189" s="159"/>
      <c r="AEW189" s="159"/>
      <c r="AEX189" s="159"/>
      <c r="AEY189" s="159"/>
      <c r="AEZ189" s="159"/>
      <c r="AFA189" s="159"/>
      <c r="AFB189" s="159"/>
      <c r="AFC189" s="159"/>
      <c r="AFD189" s="159"/>
      <c r="AFE189" s="159"/>
      <c r="AFF189" s="159"/>
      <c r="AFG189" s="159"/>
      <c r="AFH189" s="159"/>
      <c r="AFI189" s="159"/>
      <c r="AFJ189" s="159"/>
      <c r="AFK189" s="159"/>
      <c r="AFL189" s="159"/>
      <c r="AFM189" s="159"/>
      <c r="AFN189" s="159"/>
      <c r="AFO189" s="159"/>
      <c r="AFP189" s="159"/>
      <c r="AFQ189" s="159"/>
      <c r="AFR189" s="159"/>
      <c r="AFS189" s="159"/>
      <c r="AFT189" s="159"/>
      <c r="AFU189" s="159"/>
      <c r="AFV189" s="159"/>
      <c r="AFW189" s="159"/>
      <c r="AFX189" s="159"/>
      <c r="AFY189" s="159"/>
      <c r="AFZ189" s="159"/>
      <c r="AGA189" s="159"/>
      <c r="AGB189" s="159"/>
      <c r="AGC189" s="159"/>
      <c r="AGD189" s="159"/>
      <c r="AGE189" s="159"/>
      <c r="AGF189" s="159"/>
      <c r="AGG189" s="159"/>
      <c r="AGH189" s="159"/>
      <c r="AGI189" s="159"/>
      <c r="AGJ189" s="159"/>
      <c r="AGK189" s="159"/>
      <c r="AGL189" s="159"/>
      <c r="AGM189" s="159"/>
      <c r="AGN189" s="159"/>
      <c r="AGO189" s="159"/>
      <c r="AGP189" s="159"/>
      <c r="AGQ189" s="159"/>
      <c r="AGR189" s="159"/>
      <c r="AGS189" s="159"/>
      <c r="AGT189" s="159"/>
      <c r="AGU189" s="159"/>
      <c r="AGV189" s="159"/>
      <c r="AGW189" s="159"/>
      <c r="AGX189" s="159"/>
      <c r="AGY189" s="159"/>
      <c r="AGZ189" s="159"/>
      <c r="AHA189" s="159"/>
      <c r="AHB189" s="159"/>
      <c r="AHC189" s="159"/>
      <c r="AHD189" s="159"/>
      <c r="AHE189" s="159"/>
      <c r="AHF189" s="159"/>
      <c r="AHG189" s="159"/>
      <c r="AHH189" s="159"/>
      <c r="AHI189" s="159"/>
      <c r="AHJ189" s="159"/>
      <c r="AHK189" s="159"/>
      <c r="AHL189" s="159"/>
      <c r="AHM189" s="159"/>
      <c r="AHN189" s="159"/>
      <c r="AHO189" s="159"/>
      <c r="AHP189" s="159"/>
      <c r="AHQ189" s="159"/>
      <c r="AHR189" s="159"/>
      <c r="AHS189" s="159"/>
      <c r="AHT189" s="159"/>
      <c r="AHU189" s="159"/>
      <c r="AHV189" s="159"/>
      <c r="AHW189" s="159"/>
      <c r="AHX189" s="159"/>
      <c r="AHY189" s="159"/>
      <c r="AHZ189" s="159"/>
      <c r="AIA189" s="159"/>
      <c r="AIB189" s="159"/>
      <c r="AIC189" s="159"/>
      <c r="AID189" s="159"/>
      <c r="AIE189" s="159"/>
      <c r="AIF189" s="159"/>
      <c r="AIG189" s="159"/>
      <c r="AIH189" s="159"/>
      <c r="AII189" s="159"/>
      <c r="AIJ189" s="159"/>
      <c r="AIK189" s="159"/>
      <c r="AIL189" s="159"/>
      <c r="AIM189" s="159"/>
      <c r="AIN189" s="159"/>
      <c r="AIO189" s="159"/>
      <c r="AIP189" s="159"/>
      <c r="AIQ189" s="159"/>
      <c r="AIR189" s="159"/>
      <c r="AIS189" s="159"/>
      <c r="AIT189" s="159"/>
      <c r="AIU189" s="159"/>
      <c r="AIV189" s="159"/>
      <c r="AIW189" s="159"/>
      <c r="AIX189" s="159"/>
      <c r="AIY189" s="159"/>
      <c r="AIZ189" s="159"/>
      <c r="AJA189" s="159"/>
      <c r="AJB189" s="159"/>
      <c r="AJC189" s="159"/>
      <c r="AJD189" s="159"/>
      <c r="AJE189" s="159"/>
      <c r="AJF189" s="159"/>
      <c r="AJG189" s="159"/>
      <c r="AJH189" s="159"/>
      <c r="AJI189" s="159"/>
      <c r="AJJ189" s="159"/>
      <c r="AJK189" s="159"/>
      <c r="AJL189" s="159"/>
      <c r="AJM189" s="159"/>
      <c r="AJN189" s="159"/>
      <c r="AJO189" s="159"/>
      <c r="AJP189" s="159"/>
      <c r="AJQ189" s="159"/>
      <c r="AJR189" s="159"/>
      <c r="AJS189" s="159"/>
      <c r="AJT189" s="159"/>
      <c r="AJU189" s="159"/>
      <c r="AJV189" s="159"/>
      <c r="AJW189" s="159"/>
      <c r="AJX189" s="159"/>
      <c r="AJY189" s="159"/>
      <c r="AJZ189" s="159"/>
      <c r="AKA189" s="159"/>
      <c r="AKB189" s="159"/>
      <c r="AKC189" s="159"/>
      <c r="AKD189" s="159"/>
      <c r="AKE189" s="159"/>
      <c r="AKF189" s="159"/>
      <c r="AKG189" s="159"/>
      <c r="AKH189" s="159"/>
      <c r="AKI189" s="159"/>
      <c r="AKJ189" s="159"/>
      <c r="AKK189" s="159"/>
      <c r="AKL189" s="159"/>
      <c r="AKM189" s="159"/>
      <c r="AKN189" s="159"/>
      <c r="AKO189" s="159"/>
      <c r="AKP189" s="159"/>
      <c r="AKQ189" s="159"/>
      <c r="AKR189" s="159"/>
      <c r="AKS189" s="159"/>
      <c r="AKT189" s="159"/>
      <c r="AKU189" s="159"/>
      <c r="AKV189" s="159"/>
      <c r="AKW189" s="159"/>
      <c r="AKX189" s="159"/>
      <c r="AKY189" s="159"/>
      <c r="AKZ189" s="159"/>
      <c r="ALA189" s="159"/>
      <c r="ALB189" s="159"/>
      <c r="ALC189" s="159"/>
      <c r="ALD189" s="159"/>
      <c r="ALE189" s="159"/>
      <c r="ALF189" s="159"/>
      <c r="ALG189" s="159"/>
      <c r="ALH189" s="159"/>
      <c r="ALI189" s="159"/>
      <c r="ALJ189" s="159"/>
      <c r="ALK189" s="159"/>
      <c r="ALL189" s="159"/>
      <c r="ALM189" s="159"/>
      <c r="ALN189" s="159"/>
      <c r="ALO189" s="159"/>
      <c r="ALP189" s="159"/>
      <c r="ALQ189" s="159"/>
      <c r="ALR189" s="159"/>
      <c r="ALS189" s="159"/>
      <c r="ALT189" s="159"/>
      <c r="ALU189" s="159"/>
      <c r="ALV189" s="159"/>
      <c r="ALW189" s="159"/>
      <c r="ALX189" s="159"/>
      <c r="ALY189" s="159"/>
      <c r="ALZ189" s="159"/>
      <c r="AMA189" s="159"/>
      <c r="AMB189" s="159"/>
      <c r="AMC189" s="159"/>
      <c r="AMD189" s="159"/>
      <c r="AME189" s="159"/>
      <c r="AMF189" s="159"/>
      <c r="AMG189" s="159"/>
      <c r="AMH189" s="159"/>
      <c r="AMI189" s="159"/>
      <c r="AMJ189" s="159"/>
      <c r="AMK189" s="159"/>
      <c r="AML189" s="159"/>
      <c r="AMM189" s="159"/>
      <c r="AMN189" s="159"/>
      <c r="AMO189" s="159"/>
    </row>
    <row r="190" spans="1:1029" s="161" customFormat="1" ht="25.5" x14ac:dyDescent="0.25">
      <c r="A190" s="138">
        <v>46287</v>
      </c>
      <c r="B190" s="99" t="s">
        <v>113</v>
      </c>
      <c r="C190" s="99" t="s">
        <v>88</v>
      </c>
      <c r="D190" s="160" t="s">
        <v>168</v>
      </c>
      <c r="E190" s="118" t="s">
        <v>47</v>
      </c>
      <c r="F190" s="149" t="s">
        <v>125</v>
      </c>
      <c r="G190" s="149" t="s">
        <v>16</v>
      </c>
      <c r="H190" s="141" t="b">
        <f t="shared" si="12"/>
        <v>0</v>
      </c>
      <c r="I190" s="121" t="s">
        <v>19</v>
      </c>
      <c r="J190" s="121" t="s">
        <v>57</v>
      </c>
      <c r="K190" s="121" t="s">
        <v>27</v>
      </c>
      <c r="L190" s="141" t="b">
        <f t="shared" si="13"/>
        <v>0</v>
      </c>
      <c r="M190" s="121" t="s">
        <v>105</v>
      </c>
      <c r="N190" s="121" t="s">
        <v>77</v>
      </c>
      <c r="O190" s="121" t="s">
        <v>27</v>
      </c>
      <c r="P190" s="141" t="b">
        <f t="shared" si="14"/>
        <v>0</v>
      </c>
      <c r="Q190" s="149" t="s">
        <v>105</v>
      </c>
      <c r="R190" s="99" t="s">
        <v>38</v>
      </c>
      <c r="S190" s="99" t="s">
        <v>16</v>
      </c>
      <c r="T190" s="141" t="b">
        <f t="shared" si="15"/>
        <v>0</v>
      </c>
      <c r="U190" s="159"/>
      <c r="V190" s="159"/>
      <c r="W190" s="159"/>
      <c r="X190" s="159"/>
      <c r="Y190" s="159"/>
      <c r="Z190" s="159"/>
      <c r="AA190" s="159"/>
      <c r="AB190" s="159"/>
      <c r="AC190" s="159"/>
      <c r="AD190" s="159"/>
      <c r="AE190" s="159"/>
      <c r="AF190" s="159"/>
      <c r="AG190" s="159"/>
      <c r="AH190" s="159"/>
      <c r="AI190" s="159"/>
      <c r="AJ190" s="159"/>
      <c r="AK190" s="159"/>
      <c r="AL190" s="159"/>
      <c r="AM190" s="159"/>
      <c r="AN190" s="159"/>
      <c r="AO190" s="159"/>
      <c r="AP190" s="159"/>
      <c r="AQ190" s="159"/>
      <c r="AR190" s="159"/>
      <c r="AS190" s="159"/>
      <c r="AT190" s="159"/>
      <c r="AU190" s="159"/>
      <c r="AV190" s="159"/>
      <c r="AW190" s="159"/>
      <c r="AX190" s="159"/>
      <c r="AY190" s="159"/>
      <c r="AZ190" s="159"/>
      <c r="BA190" s="159"/>
      <c r="BB190" s="159"/>
      <c r="BC190" s="159"/>
      <c r="BD190" s="159"/>
      <c r="BE190" s="159"/>
      <c r="BF190" s="159"/>
      <c r="BG190" s="159"/>
      <c r="BH190" s="159"/>
      <c r="BI190" s="159"/>
      <c r="BJ190" s="159"/>
      <c r="BK190" s="159"/>
      <c r="BL190" s="159"/>
      <c r="BM190" s="159"/>
      <c r="BN190" s="159"/>
      <c r="BO190" s="159"/>
      <c r="BP190" s="159"/>
      <c r="BQ190" s="159"/>
      <c r="BR190" s="159"/>
      <c r="BS190" s="159"/>
      <c r="BT190" s="159"/>
      <c r="BU190" s="159"/>
      <c r="BV190" s="159"/>
      <c r="BW190" s="159"/>
      <c r="BX190" s="159"/>
      <c r="BY190" s="159"/>
      <c r="BZ190" s="159"/>
      <c r="CA190" s="159"/>
      <c r="CB190" s="159"/>
      <c r="CC190" s="159"/>
      <c r="CD190" s="159"/>
      <c r="CE190" s="159"/>
      <c r="CF190" s="159"/>
      <c r="CG190" s="159"/>
      <c r="CH190" s="159"/>
      <c r="CI190" s="159"/>
      <c r="CJ190" s="159"/>
      <c r="CK190" s="159"/>
      <c r="CL190" s="159"/>
      <c r="CM190" s="159"/>
      <c r="CN190" s="159"/>
      <c r="CO190" s="159"/>
      <c r="CP190" s="159"/>
      <c r="CQ190" s="159"/>
      <c r="CR190" s="159"/>
      <c r="CS190" s="159"/>
      <c r="CT190" s="159"/>
      <c r="CU190" s="159"/>
      <c r="CV190" s="159"/>
      <c r="CW190" s="159"/>
      <c r="CX190" s="159"/>
      <c r="CY190" s="159"/>
      <c r="CZ190" s="159"/>
      <c r="DA190" s="159"/>
      <c r="DB190" s="159"/>
      <c r="DC190" s="159"/>
      <c r="DD190" s="159"/>
      <c r="DE190" s="159"/>
      <c r="DF190" s="159"/>
      <c r="DG190" s="159"/>
      <c r="DH190" s="159"/>
      <c r="DI190" s="159"/>
      <c r="DJ190" s="159"/>
      <c r="DK190" s="159"/>
      <c r="DL190" s="159"/>
      <c r="DM190" s="159"/>
      <c r="DN190" s="159"/>
      <c r="DO190" s="159"/>
      <c r="DP190" s="159"/>
      <c r="DQ190" s="159"/>
      <c r="DR190" s="159"/>
      <c r="DS190" s="159"/>
      <c r="DT190" s="159"/>
      <c r="DU190" s="159"/>
      <c r="DV190" s="159"/>
      <c r="DW190" s="159"/>
      <c r="DX190" s="159"/>
      <c r="DY190" s="159"/>
      <c r="DZ190" s="159"/>
      <c r="EA190" s="159"/>
      <c r="EB190" s="159"/>
      <c r="EC190" s="159"/>
      <c r="ED190" s="159"/>
      <c r="EE190" s="159"/>
      <c r="EF190" s="159"/>
      <c r="EG190" s="159"/>
      <c r="EH190" s="159"/>
      <c r="EI190" s="159"/>
      <c r="EJ190" s="159"/>
      <c r="EK190" s="159"/>
      <c r="EL190" s="159"/>
      <c r="EM190" s="159"/>
      <c r="EN190" s="159"/>
      <c r="EO190" s="159"/>
      <c r="EP190" s="159"/>
      <c r="EQ190" s="159"/>
      <c r="ER190" s="159"/>
      <c r="ES190" s="159"/>
      <c r="ET190" s="159"/>
      <c r="EU190" s="159"/>
      <c r="EV190" s="159"/>
      <c r="EW190" s="159"/>
      <c r="EX190" s="159"/>
      <c r="EY190" s="159"/>
      <c r="EZ190" s="159"/>
      <c r="FA190" s="159"/>
      <c r="FB190" s="159"/>
      <c r="FC190" s="159"/>
      <c r="FD190" s="159"/>
      <c r="FE190" s="159"/>
      <c r="FF190" s="159"/>
      <c r="FG190" s="159"/>
      <c r="FH190" s="159"/>
      <c r="FI190" s="159"/>
      <c r="FJ190" s="159"/>
      <c r="FK190" s="159"/>
      <c r="FL190" s="159"/>
      <c r="FM190" s="159"/>
      <c r="FN190" s="159"/>
      <c r="FO190" s="159"/>
      <c r="FP190" s="159"/>
      <c r="FQ190" s="159"/>
      <c r="FR190" s="159"/>
      <c r="FS190" s="159"/>
      <c r="FT190" s="159"/>
      <c r="FU190" s="159"/>
      <c r="FV190" s="159"/>
      <c r="FW190" s="159"/>
      <c r="FX190" s="159"/>
      <c r="FY190" s="159"/>
      <c r="FZ190" s="159"/>
      <c r="GA190" s="159"/>
      <c r="GB190" s="159"/>
      <c r="GC190" s="159"/>
      <c r="GD190" s="159"/>
      <c r="GE190" s="159"/>
      <c r="GF190" s="159"/>
      <c r="GG190" s="159"/>
      <c r="GH190" s="159"/>
      <c r="GI190" s="159"/>
      <c r="GJ190" s="159"/>
      <c r="GK190" s="159"/>
      <c r="GL190" s="159"/>
      <c r="GM190" s="159"/>
      <c r="GN190" s="159"/>
      <c r="GO190" s="159"/>
      <c r="GP190" s="159"/>
      <c r="GQ190" s="159"/>
      <c r="GR190" s="159"/>
      <c r="GS190" s="159"/>
      <c r="GT190" s="159"/>
      <c r="GU190" s="159"/>
      <c r="GV190" s="159"/>
      <c r="GW190" s="159"/>
      <c r="GX190" s="159"/>
      <c r="GY190" s="159"/>
      <c r="GZ190" s="159"/>
      <c r="HA190" s="159"/>
      <c r="HB190" s="159"/>
      <c r="HC190" s="159"/>
      <c r="HD190" s="159"/>
      <c r="HE190" s="159"/>
      <c r="HF190" s="159"/>
      <c r="HG190" s="159"/>
      <c r="HH190" s="159"/>
      <c r="HI190" s="159"/>
      <c r="HJ190" s="159"/>
      <c r="HK190" s="159"/>
      <c r="HL190" s="159"/>
      <c r="HM190" s="159"/>
      <c r="HN190" s="159"/>
      <c r="HO190" s="159"/>
      <c r="HP190" s="159"/>
      <c r="HQ190" s="159"/>
      <c r="HR190" s="159"/>
      <c r="HS190" s="159"/>
      <c r="HT190" s="159"/>
      <c r="HU190" s="159"/>
      <c r="HV190" s="159"/>
      <c r="HW190" s="159"/>
      <c r="HX190" s="159"/>
      <c r="HY190" s="159"/>
      <c r="HZ190" s="159"/>
      <c r="IA190" s="159"/>
      <c r="IB190" s="159"/>
      <c r="IC190" s="159"/>
      <c r="ID190" s="159"/>
      <c r="IE190" s="159"/>
      <c r="IF190" s="159"/>
      <c r="IG190" s="159"/>
      <c r="IH190" s="159"/>
      <c r="II190" s="159"/>
      <c r="IJ190" s="159"/>
      <c r="IK190" s="159"/>
      <c r="IL190" s="159"/>
      <c r="IM190" s="159"/>
      <c r="IN190" s="159"/>
      <c r="IO190" s="159"/>
      <c r="IP190" s="159"/>
      <c r="IQ190" s="159"/>
      <c r="IR190" s="159"/>
      <c r="IS190" s="159"/>
      <c r="IT190" s="159"/>
      <c r="IU190" s="159"/>
      <c r="IV190" s="159"/>
      <c r="IW190" s="159"/>
      <c r="IX190" s="159"/>
      <c r="IY190" s="159"/>
      <c r="IZ190" s="159"/>
      <c r="JA190" s="159"/>
      <c r="JB190" s="159"/>
      <c r="JC190" s="159"/>
      <c r="JD190" s="159"/>
      <c r="JE190" s="159"/>
      <c r="JF190" s="159"/>
      <c r="JG190" s="159"/>
      <c r="JH190" s="159"/>
      <c r="JI190" s="159"/>
      <c r="JJ190" s="159"/>
      <c r="JK190" s="159"/>
      <c r="JL190" s="159"/>
      <c r="JM190" s="159"/>
      <c r="JN190" s="159"/>
      <c r="JO190" s="159"/>
      <c r="JP190" s="159"/>
      <c r="JQ190" s="159"/>
      <c r="JR190" s="159"/>
      <c r="JS190" s="159"/>
      <c r="JT190" s="159"/>
      <c r="JU190" s="159"/>
      <c r="JV190" s="159"/>
      <c r="JW190" s="159"/>
      <c r="JX190" s="159"/>
      <c r="JY190" s="159"/>
      <c r="JZ190" s="159"/>
      <c r="KA190" s="159"/>
      <c r="KB190" s="159"/>
      <c r="KC190" s="159"/>
      <c r="KD190" s="159"/>
      <c r="KE190" s="159"/>
      <c r="KF190" s="159"/>
      <c r="KG190" s="159"/>
      <c r="KH190" s="159"/>
      <c r="KI190" s="159"/>
      <c r="KJ190" s="159"/>
      <c r="KK190" s="159"/>
      <c r="KL190" s="159"/>
      <c r="KM190" s="159"/>
      <c r="KN190" s="159"/>
      <c r="KO190" s="159"/>
      <c r="KP190" s="159"/>
      <c r="KQ190" s="159"/>
      <c r="KR190" s="159"/>
      <c r="KS190" s="159"/>
      <c r="KT190" s="159"/>
      <c r="KU190" s="159"/>
      <c r="KV190" s="159"/>
      <c r="KW190" s="159"/>
      <c r="KX190" s="159"/>
      <c r="KY190" s="159"/>
      <c r="KZ190" s="159"/>
      <c r="LA190" s="159"/>
      <c r="LB190" s="159"/>
      <c r="LC190" s="159"/>
      <c r="LD190" s="159"/>
      <c r="LE190" s="159"/>
      <c r="LF190" s="159"/>
      <c r="LG190" s="159"/>
      <c r="LH190" s="159"/>
      <c r="LI190" s="159"/>
      <c r="LJ190" s="159"/>
      <c r="LK190" s="159"/>
      <c r="LL190" s="159"/>
      <c r="LM190" s="159"/>
      <c r="LN190" s="159"/>
      <c r="LO190" s="159"/>
      <c r="LP190" s="159"/>
      <c r="LQ190" s="159"/>
      <c r="LR190" s="159"/>
      <c r="LS190" s="159"/>
      <c r="LT190" s="159"/>
      <c r="LU190" s="159"/>
      <c r="LV190" s="159"/>
      <c r="LW190" s="159"/>
      <c r="LX190" s="159"/>
      <c r="LY190" s="159"/>
      <c r="LZ190" s="159"/>
      <c r="MA190" s="159"/>
      <c r="MB190" s="159"/>
      <c r="MC190" s="159"/>
      <c r="MD190" s="159"/>
      <c r="ME190" s="159"/>
      <c r="MF190" s="159"/>
      <c r="MG190" s="159"/>
      <c r="MH190" s="159"/>
      <c r="MI190" s="159"/>
      <c r="MJ190" s="159"/>
      <c r="MK190" s="159"/>
      <c r="ML190" s="159"/>
      <c r="MM190" s="159"/>
      <c r="MN190" s="159"/>
      <c r="MO190" s="159"/>
      <c r="MP190" s="159"/>
      <c r="MQ190" s="159"/>
      <c r="MR190" s="159"/>
      <c r="MS190" s="159"/>
      <c r="MT190" s="159"/>
      <c r="MU190" s="159"/>
      <c r="MV190" s="159"/>
      <c r="MW190" s="159"/>
      <c r="MX190" s="159"/>
      <c r="MY190" s="159"/>
      <c r="MZ190" s="159"/>
      <c r="NA190" s="159"/>
      <c r="NB190" s="159"/>
      <c r="NC190" s="159"/>
      <c r="ND190" s="159"/>
      <c r="NE190" s="159"/>
      <c r="NF190" s="159"/>
      <c r="NG190" s="159"/>
      <c r="NH190" s="159"/>
      <c r="NI190" s="159"/>
      <c r="NJ190" s="159"/>
      <c r="NK190" s="159"/>
      <c r="NL190" s="159"/>
      <c r="NM190" s="159"/>
      <c r="NN190" s="159"/>
      <c r="NO190" s="159"/>
      <c r="NP190" s="159"/>
      <c r="NQ190" s="159"/>
      <c r="NR190" s="159"/>
      <c r="NS190" s="159"/>
      <c r="NT190" s="159"/>
      <c r="NU190" s="159"/>
      <c r="NV190" s="159"/>
      <c r="NW190" s="159"/>
      <c r="NX190" s="159"/>
      <c r="NY190" s="159"/>
      <c r="NZ190" s="159"/>
      <c r="OA190" s="159"/>
      <c r="OB190" s="159"/>
      <c r="OC190" s="159"/>
      <c r="OD190" s="159"/>
      <c r="OE190" s="159"/>
      <c r="OF190" s="159"/>
      <c r="OG190" s="159"/>
      <c r="OH190" s="159"/>
      <c r="OI190" s="159"/>
      <c r="OJ190" s="159"/>
      <c r="OK190" s="159"/>
      <c r="OL190" s="159"/>
      <c r="OM190" s="159"/>
      <c r="ON190" s="159"/>
      <c r="OO190" s="159"/>
      <c r="OP190" s="159"/>
      <c r="OQ190" s="159"/>
      <c r="OR190" s="159"/>
      <c r="OS190" s="159"/>
      <c r="OT190" s="159"/>
      <c r="OU190" s="159"/>
      <c r="OV190" s="159"/>
      <c r="OW190" s="159"/>
      <c r="OX190" s="159"/>
      <c r="OY190" s="159"/>
      <c r="OZ190" s="159"/>
      <c r="PA190" s="159"/>
      <c r="PB190" s="159"/>
      <c r="PC190" s="159"/>
      <c r="PD190" s="159"/>
      <c r="PE190" s="159"/>
      <c r="PF190" s="159"/>
      <c r="PG190" s="159"/>
      <c r="PH190" s="159"/>
      <c r="PI190" s="159"/>
      <c r="PJ190" s="159"/>
      <c r="PK190" s="159"/>
      <c r="PL190" s="159"/>
      <c r="PM190" s="159"/>
      <c r="PN190" s="159"/>
      <c r="PO190" s="159"/>
      <c r="PP190" s="159"/>
      <c r="PQ190" s="159"/>
      <c r="PR190" s="159"/>
      <c r="PS190" s="159"/>
      <c r="PT190" s="159"/>
      <c r="PU190" s="159"/>
      <c r="PV190" s="159"/>
      <c r="PW190" s="159"/>
      <c r="PX190" s="159"/>
      <c r="PY190" s="159"/>
      <c r="PZ190" s="159"/>
      <c r="QA190" s="159"/>
      <c r="QB190" s="159"/>
      <c r="QC190" s="159"/>
      <c r="QD190" s="159"/>
      <c r="QE190" s="159"/>
      <c r="QF190" s="159"/>
      <c r="QG190" s="159"/>
      <c r="QH190" s="159"/>
      <c r="QI190" s="159"/>
      <c r="QJ190" s="159"/>
      <c r="QK190" s="159"/>
      <c r="QL190" s="159"/>
      <c r="QM190" s="159"/>
      <c r="QN190" s="159"/>
      <c r="QO190" s="159"/>
      <c r="QP190" s="159"/>
      <c r="QQ190" s="159"/>
      <c r="QR190" s="159"/>
      <c r="QS190" s="159"/>
      <c r="QT190" s="159"/>
      <c r="QU190" s="159"/>
      <c r="QV190" s="159"/>
      <c r="QW190" s="159"/>
      <c r="QX190" s="159"/>
      <c r="QY190" s="159"/>
      <c r="QZ190" s="159"/>
      <c r="RA190" s="159"/>
      <c r="RB190" s="159"/>
      <c r="RC190" s="159"/>
      <c r="RD190" s="159"/>
      <c r="RE190" s="159"/>
      <c r="RF190" s="159"/>
      <c r="RG190" s="159"/>
      <c r="RH190" s="159"/>
      <c r="RI190" s="159"/>
      <c r="RJ190" s="159"/>
      <c r="RK190" s="159"/>
      <c r="RL190" s="159"/>
      <c r="RM190" s="159"/>
      <c r="RN190" s="159"/>
      <c r="RO190" s="159"/>
      <c r="RP190" s="159"/>
      <c r="RQ190" s="159"/>
      <c r="RR190" s="159"/>
      <c r="RS190" s="159"/>
      <c r="RT190" s="159"/>
      <c r="RU190" s="159"/>
      <c r="RV190" s="159"/>
      <c r="RW190" s="159"/>
      <c r="RX190" s="159"/>
      <c r="RY190" s="159"/>
      <c r="RZ190" s="159"/>
      <c r="SA190" s="159"/>
      <c r="SB190" s="159"/>
      <c r="SC190" s="159"/>
      <c r="SD190" s="159"/>
      <c r="SE190" s="159"/>
      <c r="SF190" s="159"/>
      <c r="SG190" s="159"/>
      <c r="SH190" s="159"/>
      <c r="SI190" s="159"/>
      <c r="SJ190" s="159"/>
      <c r="SK190" s="159"/>
      <c r="SL190" s="159"/>
      <c r="SM190" s="159"/>
      <c r="SN190" s="159"/>
      <c r="SO190" s="159"/>
      <c r="SP190" s="159"/>
      <c r="SQ190" s="159"/>
      <c r="SR190" s="159"/>
      <c r="SS190" s="159"/>
      <c r="ST190" s="159"/>
      <c r="SU190" s="159"/>
      <c r="SV190" s="159"/>
      <c r="SW190" s="159"/>
      <c r="SX190" s="159"/>
      <c r="SY190" s="159"/>
      <c r="SZ190" s="159"/>
      <c r="TA190" s="159"/>
      <c r="TB190" s="159"/>
      <c r="TC190" s="159"/>
      <c r="TD190" s="159"/>
      <c r="TE190" s="159"/>
      <c r="TF190" s="159"/>
      <c r="TG190" s="159"/>
      <c r="TH190" s="159"/>
      <c r="TI190" s="159"/>
      <c r="TJ190" s="159"/>
      <c r="TK190" s="159"/>
      <c r="TL190" s="159"/>
      <c r="TM190" s="159"/>
      <c r="TN190" s="159"/>
      <c r="TO190" s="159"/>
      <c r="TP190" s="159"/>
      <c r="TQ190" s="159"/>
      <c r="TR190" s="159"/>
      <c r="TS190" s="159"/>
      <c r="TT190" s="159"/>
      <c r="TU190" s="159"/>
      <c r="TV190" s="159"/>
      <c r="TW190" s="159"/>
      <c r="TX190" s="159"/>
      <c r="TY190" s="159"/>
      <c r="TZ190" s="159"/>
      <c r="UA190" s="159"/>
      <c r="UB190" s="159"/>
      <c r="UC190" s="159"/>
      <c r="UD190" s="159"/>
      <c r="UE190" s="159"/>
      <c r="UF190" s="159"/>
      <c r="UG190" s="159"/>
      <c r="UH190" s="159"/>
      <c r="UI190" s="159"/>
      <c r="UJ190" s="159"/>
      <c r="UK190" s="159"/>
      <c r="UL190" s="159"/>
      <c r="UM190" s="159"/>
      <c r="UN190" s="159"/>
      <c r="UO190" s="159"/>
      <c r="UP190" s="159"/>
      <c r="UQ190" s="159"/>
      <c r="UR190" s="159"/>
      <c r="US190" s="159"/>
      <c r="UT190" s="159"/>
      <c r="UU190" s="159"/>
      <c r="UV190" s="159"/>
      <c r="UW190" s="159"/>
      <c r="UX190" s="159"/>
      <c r="UY190" s="159"/>
      <c r="UZ190" s="159"/>
      <c r="VA190" s="159"/>
      <c r="VB190" s="159"/>
      <c r="VC190" s="159"/>
      <c r="VD190" s="159"/>
      <c r="VE190" s="159"/>
      <c r="VF190" s="159"/>
      <c r="VG190" s="159"/>
      <c r="VH190" s="159"/>
      <c r="VI190" s="159"/>
      <c r="VJ190" s="159"/>
      <c r="VK190" s="159"/>
      <c r="VL190" s="159"/>
      <c r="VM190" s="159"/>
      <c r="VN190" s="159"/>
      <c r="VO190" s="159"/>
      <c r="VP190" s="159"/>
      <c r="VQ190" s="159"/>
      <c r="VR190" s="159"/>
      <c r="VS190" s="159"/>
      <c r="VT190" s="159"/>
      <c r="VU190" s="159"/>
      <c r="VV190" s="159"/>
      <c r="VW190" s="159"/>
      <c r="VX190" s="159"/>
      <c r="VY190" s="159"/>
      <c r="VZ190" s="159"/>
      <c r="WA190" s="159"/>
      <c r="WB190" s="159"/>
      <c r="WC190" s="159"/>
      <c r="WD190" s="159"/>
      <c r="WE190" s="159"/>
      <c r="WF190" s="159"/>
      <c r="WG190" s="159"/>
      <c r="WH190" s="159"/>
      <c r="WI190" s="159"/>
      <c r="WJ190" s="159"/>
      <c r="WK190" s="159"/>
      <c r="WL190" s="159"/>
      <c r="WM190" s="159"/>
      <c r="WN190" s="159"/>
      <c r="WO190" s="159"/>
      <c r="WP190" s="159"/>
      <c r="WQ190" s="159"/>
      <c r="WR190" s="159"/>
      <c r="WS190" s="159"/>
      <c r="WT190" s="159"/>
      <c r="WU190" s="159"/>
      <c r="WV190" s="159"/>
      <c r="WW190" s="159"/>
      <c r="WX190" s="159"/>
      <c r="WY190" s="159"/>
      <c r="WZ190" s="159"/>
      <c r="XA190" s="159"/>
      <c r="XB190" s="159"/>
      <c r="XC190" s="159"/>
      <c r="XD190" s="159"/>
      <c r="XE190" s="159"/>
      <c r="XF190" s="159"/>
      <c r="XG190" s="159"/>
      <c r="XH190" s="159"/>
      <c r="XI190" s="159"/>
      <c r="XJ190" s="159"/>
      <c r="XK190" s="159"/>
      <c r="XL190" s="159"/>
      <c r="XM190" s="159"/>
      <c r="XN190" s="159"/>
      <c r="XO190" s="159"/>
      <c r="XP190" s="159"/>
      <c r="XQ190" s="159"/>
      <c r="XR190" s="159"/>
      <c r="XS190" s="159"/>
      <c r="XT190" s="159"/>
      <c r="XU190" s="159"/>
      <c r="XV190" s="159"/>
      <c r="XW190" s="159"/>
      <c r="XX190" s="159"/>
      <c r="XY190" s="159"/>
      <c r="XZ190" s="159"/>
      <c r="YA190" s="159"/>
      <c r="YB190" s="159"/>
      <c r="YC190" s="159"/>
      <c r="YD190" s="159"/>
      <c r="YE190" s="159"/>
      <c r="YF190" s="159"/>
      <c r="YG190" s="159"/>
      <c r="YH190" s="159"/>
      <c r="YI190" s="159"/>
      <c r="YJ190" s="159"/>
      <c r="YK190" s="159"/>
      <c r="YL190" s="159"/>
      <c r="YM190" s="159"/>
      <c r="YN190" s="159"/>
      <c r="YO190" s="159"/>
      <c r="YP190" s="159"/>
      <c r="YQ190" s="159"/>
      <c r="YR190" s="159"/>
      <c r="YS190" s="159"/>
      <c r="YT190" s="159"/>
      <c r="YU190" s="159"/>
      <c r="YV190" s="159"/>
      <c r="YW190" s="159"/>
      <c r="YX190" s="159"/>
      <c r="YY190" s="159"/>
      <c r="YZ190" s="159"/>
      <c r="ZA190" s="159"/>
      <c r="ZB190" s="159"/>
      <c r="ZC190" s="159"/>
      <c r="ZD190" s="159"/>
      <c r="ZE190" s="159"/>
      <c r="ZF190" s="159"/>
      <c r="ZG190" s="159"/>
      <c r="ZH190" s="159"/>
      <c r="ZI190" s="159"/>
      <c r="ZJ190" s="159"/>
      <c r="ZK190" s="159"/>
      <c r="ZL190" s="159"/>
      <c r="ZM190" s="159"/>
      <c r="ZN190" s="159"/>
      <c r="ZO190" s="159"/>
      <c r="ZP190" s="159"/>
      <c r="ZQ190" s="159"/>
      <c r="ZR190" s="159"/>
      <c r="ZS190" s="159"/>
      <c r="ZT190" s="159"/>
      <c r="ZU190" s="159"/>
      <c r="ZV190" s="159"/>
      <c r="ZW190" s="159"/>
      <c r="ZX190" s="159"/>
      <c r="ZY190" s="159"/>
      <c r="ZZ190" s="159"/>
      <c r="AAA190" s="159"/>
      <c r="AAB190" s="159"/>
      <c r="AAC190" s="159"/>
      <c r="AAD190" s="159"/>
      <c r="AAE190" s="159"/>
      <c r="AAF190" s="159"/>
      <c r="AAG190" s="159"/>
      <c r="AAH190" s="159"/>
      <c r="AAI190" s="159"/>
      <c r="AAJ190" s="159"/>
      <c r="AAK190" s="159"/>
      <c r="AAL190" s="159"/>
      <c r="AAM190" s="159"/>
      <c r="AAN190" s="159"/>
      <c r="AAO190" s="159"/>
      <c r="AAP190" s="159"/>
      <c r="AAQ190" s="159"/>
      <c r="AAR190" s="159"/>
      <c r="AAS190" s="159"/>
      <c r="AAT190" s="159"/>
      <c r="AAU190" s="159"/>
      <c r="AAV190" s="159"/>
      <c r="AAW190" s="159"/>
      <c r="AAX190" s="159"/>
      <c r="AAY190" s="159"/>
      <c r="AAZ190" s="159"/>
      <c r="ABA190" s="159"/>
      <c r="ABB190" s="159"/>
      <c r="ABC190" s="159"/>
      <c r="ABD190" s="159"/>
      <c r="ABE190" s="159"/>
      <c r="ABF190" s="159"/>
      <c r="ABG190" s="159"/>
      <c r="ABH190" s="159"/>
      <c r="ABI190" s="159"/>
      <c r="ABJ190" s="159"/>
      <c r="ABK190" s="159"/>
      <c r="ABL190" s="159"/>
      <c r="ABM190" s="159"/>
      <c r="ABN190" s="159"/>
      <c r="ABO190" s="159"/>
      <c r="ABP190" s="159"/>
      <c r="ABQ190" s="159"/>
      <c r="ABR190" s="159"/>
      <c r="ABS190" s="159"/>
      <c r="ABT190" s="159"/>
      <c r="ABU190" s="159"/>
      <c r="ABV190" s="159"/>
      <c r="ABW190" s="159"/>
      <c r="ABX190" s="159"/>
      <c r="ABY190" s="159"/>
      <c r="ABZ190" s="159"/>
      <c r="ACA190" s="159"/>
      <c r="ACB190" s="159"/>
      <c r="ACC190" s="159"/>
      <c r="ACD190" s="159"/>
      <c r="ACE190" s="159"/>
      <c r="ACF190" s="159"/>
      <c r="ACG190" s="159"/>
      <c r="ACH190" s="159"/>
      <c r="ACI190" s="159"/>
      <c r="ACJ190" s="159"/>
      <c r="ACK190" s="159"/>
      <c r="ACL190" s="159"/>
      <c r="ACM190" s="159"/>
      <c r="ACN190" s="159"/>
      <c r="ACO190" s="159"/>
      <c r="ACP190" s="159"/>
      <c r="ACQ190" s="159"/>
      <c r="ACR190" s="159"/>
      <c r="ACS190" s="159"/>
      <c r="ACT190" s="159"/>
      <c r="ACU190" s="159"/>
      <c r="ACV190" s="159"/>
      <c r="ACW190" s="159"/>
      <c r="ACX190" s="159"/>
      <c r="ACY190" s="159"/>
      <c r="ACZ190" s="159"/>
      <c r="ADA190" s="159"/>
      <c r="ADB190" s="159"/>
      <c r="ADC190" s="159"/>
      <c r="ADD190" s="159"/>
      <c r="ADE190" s="159"/>
      <c r="ADF190" s="159"/>
      <c r="ADG190" s="159"/>
      <c r="ADH190" s="159"/>
      <c r="ADI190" s="159"/>
      <c r="ADJ190" s="159"/>
      <c r="ADK190" s="159"/>
      <c r="ADL190" s="159"/>
      <c r="ADM190" s="159"/>
      <c r="ADN190" s="159"/>
      <c r="ADO190" s="159"/>
      <c r="ADP190" s="159"/>
      <c r="ADQ190" s="159"/>
      <c r="ADR190" s="159"/>
      <c r="ADS190" s="159"/>
      <c r="ADT190" s="159"/>
      <c r="ADU190" s="159"/>
      <c r="ADV190" s="159"/>
      <c r="ADW190" s="159"/>
      <c r="ADX190" s="159"/>
      <c r="ADY190" s="159"/>
      <c r="ADZ190" s="159"/>
      <c r="AEA190" s="159"/>
      <c r="AEB190" s="159"/>
      <c r="AEC190" s="159"/>
      <c r="AED190" s="159"/>
      <c r="AEE190" s="159"/>
      <c r="AEF190" s="159"/>
      <c r="AEG190" s="159"/>
      <c r="AEH190" s="159"/>
      <c r="AEI190" s="159"/>
      <c r="AEJ190" s="159"/>
      <c r="AEK190" s="159"/>
      <c r="AEL190" s="159"/>
      <c r="AEM190" s="159"/>
      <c r="AEN190" s="159"/>
      <c r="AEO190" s="159"/>
      <c r="AEP190" s="159"/>
      <c r="AEQ190" s="159"/>
      <c r="AER190" s="159"/>
      <c r="AES190" s="159"/>
      <c r="AET190" s="159"/>
      <c r="AEU190" s="159"/>
      <c r="AEV190" s="159"/>
      <c r="AEW190" s="159"/>
      <c r="AEX190" s="159"/>
      <c r="AEY190" s="159"/>
      <c r="AEZ190" s="159"/>
      <c r="AFA190" s="159"/>
      <c r="AFB190" s="159"/>
      <c r="AFC190" s="159"/>
      <c r="AFD190" s="159"/>
      <c r="AFE190" s="159"/>
      <c r="AFF190" s="159"/>
      <c r="AFG190" s="159"/>
      <c r="AFH190" s="159"/>
      <c r="AFI190" s="159"/>
      <c r="AFJ190" s="159"/>
      <c r="AFK190" s="159"/>
      <c r="AFL190" s="159"/>
      <c r="AFM190" s="159"/>
      <c r="AFN190" s="159"/>
      <c r="AFO190" s="159"/>
      <c r="AFP190" s="159"/>
      <c r="AFQ190" s="159"/>
      <c r="AFR190" s="159"/>
      <c r="AFS190" s="159"/>
      <c r="AFT190" s="159"/>
      <c r="AFU190" s="159"/>
      <c r="AFV190" s="159"/>
      <c r="AFW190" s="159"/>
      <c r="AFX190" s="159"/>
      <c r="AFY190" s="159"/>
      <c r="AFZ190" s="159"/>
      <c r="AGA190" s="159"/>
      <c r="AGB190" s="159"/>
      <c r="AGC190" s="159"/>
      <c r="AGD190" s="159"/>
      <c r="AGE190" s="159"/>
      <c r="AGF190" s="159"/>
      <c r="AGG190" s="159"/>
      <c r="AGH190" s="159"/>
      <c r="AGI190" s="159"/>
      <c r="AGJ190" s="159"/>
      <c r="AGK190" s="159"/>
      <c r="AGL190" s="159"/>
      <c r="AGM190" s="159"/>
      <c r="AGN190" s="159"/>
      <c r="AGO190" s="159"/>
      <c r="AGP190" s="159"/>
      <c r="AGQ190" s="159"/>
      <c r="AGR190" s="159"/>
      <c r="AGS190" s="159"/>
      <c r="AGT190" s="159"/>
      <c r="AGU190" s="159"/>
      <c r="AGV190" s="159"/>
      <c r="AGW190" s="159"/>
      <c r="AGX190" s="159"/>
      <c r="AGY190" s="159"/>
      <c r="AGZ190" s="159"/>
      <c r="AHA190" s="159"/>
      <c r="AHB190" s="159"/>
      <c r="AHC190" s="159"/>
      <c r="AHD190" s="159"/>
      <c r="AHE190" s="159"/>
      <c r="AHF190" s="159"/>
      <c r="AHG190" s="159"/>
      <c r="AHH190" s="159"/>
      <c r="AHI190" s="159"/>
      <c r="AHJ190" s="159"/>
      <c r="AHK190" s="159"/>
      <c r="AHL190" s="159"/>
      <c r="AHM190" s="159"/>
      <c r="AHN190" s="159"/>
      <c r="AHO190" s="159"/>
      <c r="AHP190" s="159"/>
      <c r="AHQ190" s="159"/>
      <c r="AHR190" s="159"/>
      <c r="AHS190" s="159"/>
      <c r="AHT190" s="159"/>
      <c r="AHU190" s="159"/>
      <c r="AHV190" s="159"/>
      <c r="AHW190" s="159"/>
      <c r="AHX190" s="159"/>
      <c r="AHY190" s="159"/>
      <c r="AHZ190" s="159"/>
      <c r="AIA190" s="159"/>
      <c r="AIB190" s="159"/>
      <c r="AIC190" s="159"/>
      <c r="AID190" s="159"/>
      <c r="AIE190" s="159"/>
      <c r="AIF190" s="159"/>
      <c r="AIG190" s="159"/>
      <c r="AIH190" s="159"/>
      <c r="AII190" s="159"/>
      <c r="AIJ190" s="159"/>
      <c r="AIK190" s="159"/>
      <c r="AIL190" s="159"/>
      <c r="AIM190" s="159"/>
      <c r="AIN190" s="159"/>
      <c r="AIO190" s="159"/>
      <c r="AIP190" s="159"/>
      <c r="AIQ190" s="159"/>
      <c r="AIR190" s="159"/>
      <c r="AIS190" s="159"/>
      <c r="AIT190" s="159"/>
      <c r="AIU190" s="159"/>
      <c r="AIV190" s="159"/>
      <c r="AIW190" s="159"/>
      <c r="AIX190" s="159"/>
      <c r="AIY190" s="159"/>
      <c r="AIZ190" s="159"/>
      <c r="AJA190" s="159"/>
      <c r="AJB190" s="159"/>
      <c r="AJC190" s="159"/>
      <c r="AJD190" s="159"/>
      <c r="AJE190" s="159"/>
      <c r="AJF190" s="159"/>
      <c r="AJG190" s="159"/>
      <c r="AJH190" s="159"/>
      <c r="AJI190" s="159"/>
      <c r="AJJ190" s="159"/>
      <c r="AJK190" s="159"/>
      <c r="AJL190" s="159"/>
      <c r="AJM190" s="159"/>
      <c r="AJN190" s="159"/>
      <c r="AJO190" s="159"/>
      <c r="AJP190" s="159"/>
      <c r="AJQ190" s="159"/>
      <c r="AJR190" s="159"/>
      <c r="AJS190" s="159"/>
      <c r="AJT190" s="159"/>
      <c r="AJU190" s="159"/>
      <c r="AJV190" s="159"/>
      <c r="AJW190" s="159"/>
      <c r="AJX190" s="159"/>
      <c r="AJY190" s="159"/>
      <c r="AJZ190" s="159"/>
      <c r="AKA190" s="159"/>
      <c r="AKB190" s="159"/>
      <c r="AKC190" s="159"/>
      <c r="AKD190" s="159"/>
      <c r="AKE190" s="159"/>
      <c r="AKF190" s="159"/>
      <c r="AKG190" s="159"/>
      <c r="AKH190" s="159"/>
      <c r="AKI190" s="159"/>
      <c r="AKJ190" s="159"/>
      <c r="AKK190" s="159"/>
      <c r="AKL190" s="159"/>
      <c r="AKM190" s="159"/>
      <c r="AKN190" s="159"/>
      <c r="AKO190" s="159"/>
      <c r="AKP190" s="159"/>
      <c r="AKQ190" s="159"/>
      <c r="AKR190" s="159"/>
      <c r="AKS190" s="159"/>
      <c r="AKT190" s="159"/>
      <c r="AKU190" s="159"/>
      <c r="AKV190" s="159"/>
      <c r="AKW190" s="159"/>
      <c r="AKX190" s="159"/>
      <c r="AKY190" s="159"/>
      <c r="AKZ190" s="159"/>
      <c r="ALA190" s="159"/>
      <c r="ALB190" s="159"/>
      <c r="ALC190" s="159"/>
      <c r="ALD190" s="159"/>
      <c r="ALE190" s="159"/>
      <c r="ALF190" s="159"/>
      <c r="ALG190" s="159"/>
      <c r="ALH190" s="159"/>
      <c r="ALI190" s="159"/>
      <c r="ALJ190" s="159"/>
      <c r="ALK190" s="159"/>
      <c r="ALL190" s="159"/>
      <c r="ALM190" s="159"/>
      <c r="ALN190" s="159"/>
      <c r="ALO190" s="159"/>
      <c r="ALP190" s="159"/>
      <c r="ALQ190" s="159"/>
      <c r="ALR190" s="159"/>
      <c r="ALS190" s="159"/>
      <c r="ALT190" s="159"/>
      <c r="ALU190" s="159"/>
      <c r="ALV190" s="159"/>
      <c r="ALW190" s="159"/>
      <c r="ALX190" s="159"/>
      <c r="ALY190" s="159"/>
      <c r="ALZ190" s="159"/>
      <c r="AMA190" s="159"/>
      <c r="AMB190" s="159"/>
      <c r="AMC190" s="159"/>
      <c r="AMD190" s="159"/>
      <c r="AME190" s="159"/>
      <c r="AMF190" s="159"/>
      <c r="AMG190" s="159"/>
      <c r="AMH190" s="159"/>
      <c r="AMI190" s="159"/>
      <c r="AMJ190" s="159"/>
      <c r="AMK190" s="159"/>
      <c r="AML190" s="159"/>
      <c r="AMM190" s="159"/>
      <c r="AMN190" s="159"/>
      <c r="AMO190" s="159"/>
    </row>
    <row r="191" spans="1:1029" s="161" customFormat="1" ht="30.75" customHeight="1" x14ac:dyDescent="0.25">
      <c r="A191" s="138">
        <v>46288</v>
      </c>
      <c r="B191" s="99" t="s">
        <v>141</v>
      </c>
      <c r="C191" s="99" t="s">
        <v>10</v>
      </c>
      <c r="D191" s="160" t="s">
        <v>31</v>
      </c>
      <c r="E191" s="118" t="s">
        <v>14</v>
      </c>
      <c r="F191" s="149" t="s">
        <v>38</v>
      </c>
      <c r="G191" s="149" t="s">
        <v>31</v>
      </c>
      <c r="H191" s="141">
        <f t="shared" si="12"/>
        <v>0.5</v>
      </c>
      <c r="I191" s="121" t="s">
        <v>105</v>
      </c>
      <c r="J191" s="121" t="s">
        <v>38</v>
      </c>
      <c r="K191" s="121" t="s">
        <v>16</v>
      </c>
      <c r="L191" s="141" t="b">
        <f t="shared" si="13"/>
        <v>0</v>
      </c>
      <c r="M191" s="121" t="s">
        <v>29</v>
      </c>
      <c r="N191" s="121" t="s">
        <v>151</v>
      </c>
      <c r="O191" s="121" t="s">
        <v>16</v>
      </c>
      <c r="P191" s="141" t="b">
        <f t="shared" si="14"/>
        <v>0</v>
      </c>
      <c r="Q191" s="149" t="s">
        <v>101</v>
      </c>
      <c r="R191" s="99" t="s">
        <v>125</v>
      </c>
      <c r="S191" s="99" t="s">
        <v>11</v>
      </c>
      <c r="T191" s="141" t="b">
        <f t="shared" si="15"/>
        <v>0</v>
      </c>
      <c r="U191" s="159"/>
      <c r="V191" s="159"/>
      <c r="W191" s="159"/>
      <c r="X191" s="159"/>
      <c r="Y191" s="159"/>
      <c r="Z191" s="159"/>
      <c r="AA191" s="159"/>
      <c r="AB191" s="159"/>
      <c r="AC191" s="159"/>
      <c r="AD191" s="159"/>
      <c r="AE191" s="159"/>
      <c r="AF191" s="159"/>
      <c r="AG191" s="159"/>
      <c r="AH191" s="159"/>
      <c r="AI191" s="159"/>
      <c r="AJ191" s="159"/>
      <c r="AK191" s="159"/>
      <c r="AL191" s="159"/>
      <c r="AM191" s="159"/>
      <c r="AN191" s="159"/>
      <c r="AO191" s="159"/>
      <c r="AP191" s="159"/>
      <c r="AQ191" s="159"/>
      <c r="AR191" s="159"/>
      <c r="AS191" s="159"/>
      <c r="AT191" s="159"/>
      <c r="AU191" s="159"/>
      <c r="AV191" s="159"/>
      <c r="AW191" s="159"/>
      <c r="AX191" s="159"/>
      <c r="AY191" s="159"/>
      <c r="AZ191" s="159"/>
      <c r="BA191" s="159"/>
      <c r="BB191" s="159"/>
      <c r="BC191" s="159"/>
      <c r="BD191" s="159"/>
      <c r="BE191" s="159"/>
      <c r="BF191" s="159"/>
      <c r="BG191" s="159"/>
      <c r="BH191" s="159"/>
      <c r="BI191" s="159"/>
      <c r="BJ191" s="159"/>
      <c r="BK191" s="159"/>
      <c r="BL191" s="159"/>
      <c r="BM191" s="159"/>
      <c r="BN191" s="159"/>
      <c r="BO191" s="159"/>
      <c r="BP191" s="159"/>
      <c r="BQ191" s="159"/>
      <c r="BR191" s="159"/>
      <c r="BS191" s="159"/>
      <c r="BT191" s="159"/>
      <c r="BU191" s="159"/>
      <c r="BV191" s="159"/>
      <c r="BW191" s="159"/>
      <c r="BX191" s="159"/>
      <c r="BY191" s="159"/>
      <c r="BZ191" s="159"/>
      <c r="CA191" s="159"/>
      <c r="CB191" s="159"/>
      <c r="CC191" s="159"/>
      <c r="CD191" s="159"/>
      <c r="CE191" s="159"/>
      <c r="CF191" s="159"/>
      <c r="CG191" s="159"/>
      <c r="CH191" s="159"/>
      <c r="CI191" s="159"/>
      <c r="CJ191" s="159"/>
      <c r="CK191" s="159"/>
      <c r="CL191" s="159"/>
      <c r="CM191" s="159"/>
      <c r="CN191" s="159"/>
      <c r="CO191" s="159"/>
      <c r="CP191" s="159"/>
      <c r="CQ191" s="159"/>
      <c r="CR191" s="159"/>
      <c r="CS191" s="159"/>
      <c r="CT191" s="159"/>
      <c r="CU191" s="159"/>
      <c r="CV191" s="159"/>
      <c r="CW191" s="159"/>
      <c r="CX191" s="159"/>
      <c r="CY191" s="159"/>
      <c r="CZ191" s="159"/>
      <c r="DA191" s="159"/>
      <c r="DB191" s="159"/>
      <c r="DC191" s="159"/>
      <c r="DD191" s="159"/>
      <c r="DE191" s="159"/>
      <c r="DF191" s="159"/>
      <c r="DG191" s="159"/>
      <c r="DH191" s="159"/>
      <c r="DI191" s="159"/>
      <c r="DJ191" s="159"/>
      <c r="DK191" s="159"/>
      <c r="DL191" s="159"/>
      <c r="DM191" s="159"/>
      <c r="DN191" s="159"/>
      <c r="DO191" s="159"/>
      <c r="DP191" s="159"/>
      <c r="DQ191" s="159"/>
      <c r="DR191" s="159"/>
      <c r="DS191" s="159"/>
      <c r="DT191" s="159"/>
      <c r="DU191" s="159"/>
      <c r="DV191" s="159"/>
      <c r="DW191" s="159"/>
      <c r="DX191" s="159"/>
      <c r="DY191" s="159"/>
      <c r="DZ191" s="159"/>
      <c r="EA191" s="159"/>
      <c r="EB191" s="159"/>
      <c r="EC191" s="159"/>
      <c r="ED191" s="159"/>
      <c r="EE191" s="159"/>
      <c r="EF191" s="159"/>
      <c r="EG191" s="159"/>
      <c r="EH191" s="159"/>
      <c r="EI191" s="159"/>
      <c r="EJ191" s="159"/>
      <c r="EK191" s="159"/>
      <c r="EL191" s="159"/>
      <c r="EM191" s="159"/>
      <c r="EN191" s="159"/>
      <c r="EO191" s="159"/>
      <c r="EP191" s="159"/>
      <c r="EQ191" s="159"/>
      <c r="ER191" s="159"/>
      <c r="ES191" s="159"/>
      <c r="ET191" s="159"/>
      <c r="EU191" s="159"/>
      <c r="EV191" s="159"/>
      <c r="EW191" s="159"/>
      <c r="EX191" s="159"/>
      <c r="EY191" s="159"/>
      <c r="EZ191" s="159"/>
      <c r="FA191" s="159"/>
      <c r="FB191" s="159"/>
      <c r="FC191" s="159"/>
      <c r="FD191" s="159"/>
      <c r="FE191" s="159"/>
      <c r="FF191" s="159"/>
      <c r="FG191" s="159"/>
      <c r="FH191" s="159"/>
      <c r="FI191" s="159"/>
      <c r="FJ191" s="159"/>
      <c r="FK191" s="159"/>
      <c r="FL191" s="159"/>
      <c r="FM191" s="159"/>
      <c r="FN191" s="159"/>
      <c r="FO191" s="159"/>
      <c r="FP191" s="159"/>
      <c r="FQ191" s="159"/>
      <c r="FR191" s="159"/>
      <c r="FS191" s="159"/>
      <c r="FT191" s="159"/>
      <c r="FU191" s="159"/>
      <c r="FV191" s="159"/>
      <c r="FW191" s="159"/>
      <c r="FX191" s="159"/>
      <c r="FY191" s="159"/>
      <c r="FZ191" s="159"/>
      <c r="GA191" s="159"/>
      <c r="GB191" s="159"/>
      <c r="GC191" s="159"/>
      <c r="GD191" s="159"/>
      <c r="GE191" s="159"/>
      <c r="GF191" s="159"/>
      <c r="GG191" s="159"/>
      <c r="GH191" s="159"/>
      <c r="GI191" s="159"/>
      <c r="GJ191" s="159"/>
      <c r="GK191" s="159"/>
      <c r="GL191" s="159"/>
      <c r="GM191" s="159"/>
      <c r="GN191" s="159"/>
      <c r="GO191" s="159"/>
      <c r="GP191" s="159"/>
      <c r="GQ191" s="159"/>
      <c r="GR191" s="159"/>
      <c r="GS191" s="159"/>
      <c r="GT191" s="159"/>
      <c r="GU191" s="159"/>
      <c r="GV191" s="159"/>
      <c r="GW191" s="159"/>
      <c r="GX191" s="159"/>
      <c r="GY191" s="159"/>
      <c r="GZ191" s="159"/>
      <c r="HA191" s="159"/>
      <c r="HB191" s="159"/>
      <c r="HC191" s="159"/>
      <c r="HD191" s="159"/>
      <c r="HE191" s="159"/>
      <c r="HF191" s="159"/>
      <c r="HG191" s="159"/>
      <c r="HH191" s="159"/>
      <c r="HI191" s="159"/>
      <c r="HJ191" s="159"/>
      <c r="HK191" s="159"/>
      <c r="HL191" s="159"/>
      <c r="HM191" s="159"/>
      <c r="HN191" s="159"/>
      <c r="HO191" s="159"/>
      <c r="HP191" s="159"/>
      <c r="HQ191" s="159"/>
      <c r="HR191" s="159"/>
      <c r="HS191" s="159"/>
      <c r="HT191" s="159"/>
      <c r="HU191" s="159"/>
      <c r="HV191" s="159"/>
      <c r="HW191" s="159"/>
      <c r="HX191" s="159"/>
      <c r="HY191" s="159"/>
      <c r="HZ191" s="159"/>
      <c r="IA191" s="159"/>
      <c r="IB191" s="159"/>
      <c r="IC191" s="159"/>
      <c r="ID191" s="159"/>
      <c r="IE191" s="159"/>
      <c r="IF191" s="159"/>
      <c r="IG191" s="159"/>
      <c r="IH191" s="159"/>
      <c r="II191" s="159"/>
      <c r="IJ191" s="159"/>
      <c r="IK191" s="159"/>
      <c r="IL191" s="159"/>
      <c r="IM191" s="159"/>
      <c r="IN191" s="159"/>
      <c r="IO191" s="159"/>
      <c r="IP191" s="159"/>
      <c r="IQ191" s="159"/>
      <c r="IR191" s="159"/>
      <c r="IS191" s="159"/>
      <c r="IT191" s="159"/>
      <c r="IU191" s="159"/>
      <c r="IV191" s="159"/>
      <c r="IW191" s="159"/>
      <c r="IX191" s="159"/>
      <c r="IY191" s="159"/>
      <c r="IZ191" s="159"/>
      <c r="JA191" s="159"/>
      <c r="JB191" s="159"/>
      <c r="JC191" s="159"/>
      <c r="JD191" s="159"/>
      <c r="JE191" s="159"/>
      <c r="JF191" s="159"/>
      <c r="JG191" s="159"/>
      <c r="JH191" s="159"/>
      <c r="JI191" s="159"/>
      <c r="JJ191" s="159"/>
      <c r="JK191" s="159"/>
      <c r="JL191" s="159"/>
      <c r="JM191" s="159"/>
      <c r="JN191" s="159"/>
      <c r="JO191" s="159"/>
      <c r="JP191" s="159"/>
      <c r="JQ191" s="159"/>
      <c r="JR191" s="159"/>
      <c r="JS191" s="159"/>
      <c r="JT191" s="159"/>
      <c r="JU191" s="159"/>
      <c r="JV191" s="159"/>
      <c r="JW191" s="159"/>
      <c r="JX191" s="159"/>
      <c r="JY191" s="159"/>
      <c r="JZ191" s="159"/>
      <c r="KA191" s="159"/>
      <c r="KB191" s="159"/>
      <c r="KC191" s="159"/>
      <c r="KD191" s="159"/>
      <c r="KE191" s="159"/>
      <c r="KF191" s="159"/>
      <c r="KG191" s="159"/>
      <c r="KH191" s="159"/>
      <c r="KI191" s="159"/>
      <c r="KJ191" s="159"/>
      <c r="KK191" s="159"/>
      <c r="KL191" s="159"/>
      <c r="KM191" s="159"/>
      <c r="KN191" s="159"/>
      <c r="KO191" s="159"/>
      <c r="KP191" s="159"/>
      <c r="KQ191" s="159"/>
      <c r="KR191" s="159"/>
      <c r="KS191" s="159"/>
      <c r="KT191" s="159"/>
      <c r="KU191" s="159"/>
      <c r="KV191" s="159"/>
      <c r="KW191" s="159"/>
      <c r="KX191" s="159"/>
      <c r="KY191" s="159"/>
      <c r="KZ191" s="159"/>
      <c r="LA191" s="159"/>
      <c r="LB191" s="159"/>
      <c r="LC191" s="159"/>
      <c r="LD191" s="159"/>
      <c r="LE191" s="159"/>
      <c r="LF191" s="159"/>
      <c r="LG191" s="159"/>
      <c r="LH191" s="159"/>
      <c r="LI191" s="159"/>
      <c r="LJ191" s="159"/>
      <c r="LK191" s="159"/>
      <c r="LL191" s="159"/>
      <c r="LM191" s="159"/>
      <c r="LN191" s="159"/>
      <c r="LO191" s="159"/>
      <c r="LP191" s="159"/>
      <c r="LQ191" s="159"/>
      <c r="LR191" s="159"/>
      <c r="LS191" s="159"/>
      <c r="LT191" s="159"/>
      <c r="LU191" s="159"/>
      <c r="LV191" s="159"/>
      <c r="LW191" s="159"/>
      <c r="LX191" s="159"/>
      <c r="LY191" s="159"/>
      <c r="LZ191" s="159"/>
      <c r="MA191" s="159"/>
      <c r="MB191" s="159"/>
      <c r="MC191" s="159"/>
      <c r="MD191" s="159"/>
      <c r="ME191" s="159"/>
      <c r="MF191" s="159"/>
      <c r="MG191" s="159"/>
      <c r="MH191" s="159"/>
      <c r="MI191" s="159"/>
      <c r="MJ191" s="159"/>
      <c r="MK191" s="159"/>
      <c r="ML191" s="159"/>
      <c r="MM191" s="159"/>
      <c r="MN191" s="159"/>
      <c r="MO191" s="159"/>
      <c r="MP191" s="159"/>
      <c r="MQ191" s="159"/>
      <c r="MR191" s="159"/>
      <c r="MS191" s="159"/>
      <c r="MT191" s="159"/>
      <c r="MU191" s="159"/>
      <c r="MV191" s="159"/>
      <c r="MW191" s="159"/>
      <c r="MX191" s="159"/>
      <c r="MY191" s="159"/>
      <c r="MZ191" s="159"/>
      <c r="NA191" s="159"/>
      <c r="NB191" s="159"/>
      <c r="NC191" s="159"/>
      <c r="ND191" s="159"/>
      <c r="NE191" s="159"/>
      <c r="NF191" s="159"/>
      <c r="NG191" s="159"/>
      <c r="NH191" s="159"/>
      <c r="NI191" s="159"/>
      <c r="NJ191" s="159"/>
      <c r="NK191" s="159"/>
      <c r="NL191" s="159"/>
      <c r="NM191" s="159"/>
      <c r="NN191" s="159"/>
      <c r="NO191" s="159"/>
      <c r="NP191" s="159"/>
      <c r="NQ191" s="159"/>
      <c r="NR191" s="159"/>
      <c r="NS191" s="159"/>
      <c r="NT191" s="159"/>
      <c r="NU191" s="159"/>
      <c r="NV191" s="159"/>
      <c r="NW191" s="159"/>
      <c r="NX191" s="159"/>
      <c r="NY191" s="159"/>
      <c r="NZ191" s="159"/>
      <c r="OA191" s="159"/>
      <c r="OB191" s="159"/>
      <c r="OC191" s="159"/>
      <c r="OD191" s="159"/>
      <c r="OE191" s="159"/>
      <c r="OF191" s="159"/>
      <c r="OG191" s="159"/>
      <c r="OH191" s="159"/>
      <c r="OI191" s="159"/>
      <c r="OJ191" s="159"/>
      <c r="OK191" s="159"/>
      <c r="OL191" s="159"/>
      <c r="OM191" s="159"/>
      <c r="ON191" s="159"/>
      <c r="OO191" s="159"/>
      <c r="OP191" s="159"/>
      <c r="OQ191" s="159"/>
      <c r="OR191" s="159"/>
      <c r="OS191" s="159"/>
      <c r="OT191" s="159"/>
      <c r="OU191" s="159"/>
      <c r="OV191" s="159"/>
      <c r="OW191" s="159"/>
      <c r="OX191" s="159"/>
      <c r="OY191" s="159"/>
      <c r="OZ191" s="159"/>
      <c r="PA191" s="159"/>
      <c r="PB191" s="159"/>
      <c r="PC191" s="159"/>
      <c r="PD191" s="159"/>
      <c r="PE191" s="159"/>
      <c r="PF191" s="159"/>
      <c r="PG191" s="159"/>
      <c r="PH191" s="159"/>
      <c r="PI191" s="159"/>
      <c r="PJ191" s="159"/>
      <c r="PK191" s="159"/>
      <c r="PL191" s="159"/>
      <c r="PM191" s="159"/>
      <c r="PN191" s="159"/>
      <c r="PO191" s="159"/>
      <c r="PP191" s="159"/>
      <c r="PQ191" s="159"/>
      <c r="PR191" s="159"/>
      <c r="PS191" s="159"/>
      <c r="PT191" s="159"/>
      <c r="PU191" s="159"/>
      <c r="PV191" s="159"/>
      <c r="PW191" s="159"/>
      <c r="PX191" s="159"/>
      <c r="PY191" s="159"/>
      <c r="PZ191" s="159"/>
      <c r="QA191" s="159"/>
      <c r="QB191" s="159"/>
      <c r="QC191" s="159"/>
      <c r="QD191" s="159"/>
      <c r="QE191" s="159"/>
      <c r="QF191" s="159"/>
      <c r="QG191" s="159"/>
      <c r="QH191" s="159"/>
      <c r="QI191" s="159"/>
      <c r="QJ191" s="159"/>
      <c r="QK191" s="159"/>
      <c r="QL191" s="159"/>
      <c r="QM191" s="159"/>
      <c r="QN191" s="159"/>
      <c r="QO191" s="159"/>
      <c r="QP191" s="159"/>
      <c r="QQ191" s="159"/>
      <c r="QR191" s="159"/>
      <c r="QS191" s="159"/>
      <c r="QT191" s="159"/>
      <c r="QU191" s="159"/>
      <c r="QV191" s="159"/>
      <c r="QW191" s="159"/>
      <c r="QX191" s="159"/>
      <c r="QY191" s="159"/>
      <c r="QZ191" s="159"/>
      <c r="RA191" s="159"/>
      <c r="RB191" s="159"/>
      <c r="RC191" s="159"/>
      <c r="RD191" s="159"/>
      <c r="RE191" s="159"/>
      <c r="RF191" s="159"/>
      <c r="RG191" s="159"/>
      <c r="RH191" s="159"/>
      <c r="RI191" s="159"/>
      <c r="RJ191" s="159"/>
      <c r="RK191" s="159"/>
      <c r="RL191" s="159"/>
      <c r="RM191" s="159"/>
      <c r="RN191" s="159"/>
      <c r="RO191" s="159"/>
      <c r="RP191" s="159"/>
      <c r="RQ191" s="159"/>
      <c r="RR191" s="159"/>
      <c r="RS191" s="159"/>
      <c r="RT191" s="159"/>
      <c r="RU191" s="159"/>
      <c r="RV191" s="159"/>
      <c r="RW191" s="159"/>
      <c r="RX191" s="159"/>
      <c r="RY191" s="159"/>
      <c r="RZ191" s="159"/>
      <c r="SA191" s="159"/>
      <c r="SB191" s="159"/>
      <c r="SC191" s="159"/>
      <c r="SD191" s="159"/>
      <c r="SE191" s="159"/>
      <c r="SF191" s="159"/>
      <c r="SG191" s="159"/>
      <c r="SH191" s="159"/>
      <c r="SI191" s="159"/>
      <c r="SJ191" s="159"/>
      <c r="SK191" s="159"/>
      <c r="SL191" s="159"/>
      <c r="SM191" s="159"/>
      <c r="SN191" s="159"/>
      <c r="SO191" s="159"/>
      <c r="SP191" s="159"/>
      <c r="SQ191" s="159"/>
      <c r="SR191" s="159"/>
      <c r="SS191" s="159"/>
      <c r="ST191" s="159"/>
      <c r="SU191" s="159"/>
      <c r="SV191" s="159"/>
      <c r="SW191" s="159"/>
      <c r="SX191" s="159"/>
      <c r="SY191" s="159"/>
      <c r="SZ191" s="159"/>
      <c r="TA191" s="159"/>
      <c r="TB191" s="159"/>
      <c r="TC191" s="159"/>
      <c r="TD191" s="159"/>
      <c r="TE191" s="159"/>
      <c r="TF191" s="159"/>
      <c r="TG191" s="159"/>
      <c r="TH191" s="159"/>
      <c r="TI191" s="159"/>
      <c r="TJ191" s="159"/>
      <c r="TK191" s="159"/>
      <c r="TL191" s="159"/>
      <c r="TM191" s="159"/>
      <c r="TN191" s="159"/>
      <c r="TO191" s="159"/>
      <c r="TP191" s="159"/>
      <c r="TQ191" s="159"/>
      <c r="TR191" s="159"/>
      <c r="TS191" s="159"/>
      <c r="TT191" s="159"/>
      <c r="TU191" s="159"/>
      <c r="TV191" s="159"/>
      <c r="TW191" s="159"/>
      <c r="TX191" s="159"/>
      <c r="TY191" s="159"/>
      <c r="TZ191" s="159"/>
      <c r="UA191" s="159"/>
      <c r="UB191" s="159"/>
      <c r="UC191" s="159"/>
      <c r="UD191" s="159"/>
      <c r="UE191" s="159"/>
      <c r="UF191" s="159"/>
      <c r="UG191" s="159"/>
      <c r="UH191" s="159"/>
      <c r="UI191" s="159"/>
      <c r="UJ191" s="159"/>
      <c r="UK191" s="159"/>
      <c r="UL191" s="159"/>
      <c r="UM191" s="159"/>
      <c r="UN191" s="159"/>
      <c r="UO191" s="159"/>
      <c r="UP191" s="159"/>
      <c r="UQ191" s="159"/>
      <c r="UR191" s="159"/>
      <c r="US191" s="159"/>
      <c r="UT191" s="159"/>
      <c r="UU191" s="159"/>
      <c r="UV191" s="159"/>
      <c r="UW191" s="159"/>
      <c r="UX191" s="159"/>
      <c r="UY191" s="159"/>
      <c r="UZ191" s="159"/>
      <c r="VA191" s="159"/>
      <c r="VB191" s="159"/>
      <c r="VC191" s="159"/>
      <c r="VD191" s="159"/>
      <c r="VE191" s="159"/>
      <c r="VF191" s="159"/>
      <c r="VG191" s="159"/>
      <c r="VH191" s="159"/>
      <c r="VI191" s="159"/>
      <c r="VJ191" s="159"/>
      <c r="VK191" s="159"/>
      <c r="VL191" s="159"/>
      <c r="VM191" s="159"/>
      <c r="VN191" s="159"/>
      <c r="VO191" s="159"/>
      <c r="VP191" s="159"/>
      <c r="VQ191" s="159"/>
      <c r="VR191" s="159"/>
      <c r="VS191" s="159"/>
      <c r="VT191" s="159"/>
      <c r="VU191" s="159"/>
      <c r="VV191" s="159"/>
      <c r="VW191" s="159"/>
      <c r="VX191" s="159"/>
      <c r="VY191" s="159"/>
      <c r="VZ191" s="159"/>
      <c r="WA191" s="159"/>
      <c r="WB191" s="159"/>
      <c r="WC191" s="159"/>
      <c r="WD191" s="159"/>
      <c r="WE191" s="159"/>
      <c r="WF191" s="159"/>
      <c r="WG191" s="159"/>
      <c r="WH191" s="159"/>
      <c r="WI191" s="159"/>
      <c r="WJ191" s="159"/>
      <c r="WK191" s="159"/>
      <c r="WL191" s="159"/>
      <c r="WM191" s="159"/>
      <c r="WN191" s="159"/>
      <c r="WO191" s="159"/>
      <c r="WP191" s="159"/>
      <c r="WQ191" s="159"/>
      <c r="WR191" s="159"/>
      <c r="WS191" s="159"/>
      <c r="WT191" s="159"/>
      <c r="WU191" s="159"/>
      <c r="WV191" s="159"/>
      <c r="WW191" s="159"/>
      <c r="WX191" s="159"/>
      <c r="WY191" s="159"/>
      <c r="WZ191" s="159"/>
      <c r="XA191" s="159"/>
      <c r="XB191" s="159"/>
      <c r="XC191" s="159"/>
      <c r="XD191" s="159"/>
      <c r="XE191" s="159"/>
      <c r="XF191" s="159"/>
      <c r="XG191" s="159"/>
      <c r="XH191" s="159"/>
      <c r="XI191" s="159"/>
      <c r="XJ191" s="159"/>
      <c r="XK191" s="159"/>
      <c r="XL191" s="159"/>
      <c r="XM191" s="159"/>
      <c r="XN191" s="159"/>
      <c r="XO191" s="159"/>
      <c r="XP191" s="159"/>
      <c r="XQ191" s="159"/>
      <c r="XR191" s="159"/>
      <c r="XS191" s="159"/>
      <c r="XT191" s="159"/>
      <c r="XU191" s="159"/>
      <c r="XV191" s="159"/>
      <c r="XW191" s="159"/>
      <c r="XX191" s="159"/>
      <c r="XY191" s="159"/>
      <c r="XZ191" s="159"/>
      <c r="YA191" s="159"/>
      <c r="YB191" s="159"/>
      <c r="YC191" s="159"/>
      <c r="YD191" s="159"/>
      <c r="YE191" s="159"/>
      <c r="YF191" s="159"/>
      <c r="YG191" s="159"/>
      <c r="YH191" s="159"/>
      <c r="YI191" s="159"/>
      <c r="YJ191" s="159"/>
      <c r="YK191" s="159"/>
      <c r="YL191" s="159"/>
      <c r="YM191" s="159"/>
      <c r="YN191" s="159"/>
      <c r="YO191" s="159"/>
      <c r="YP191" s="159"/>
      <c r="YQ191" s="159"/>
      <c r="YR191" s="159"/>
      <c r="YS191" s="159"/>
      <c r="YT191" s="159"/>
      <c r="YU191" s="159"/>
      <c r="YV191" s="159"/>
      <c r="YW191" s="159"/>
      <c r="YX191" s="159"/>
      <c r="YY191" s="159"/>
      <c r="YZ191" s="159"/>
      <c r="ZA191" s="159"/>
      <c r="ZB191" s="159"/>
      <c r="ZC191" s="159"/>
      <c r="ZD191" s="159"/>
      <c r="ZE191" s="159"/>
      <c r="ZF191" s="159"/>
      <c r="ZG191" s="159"/>
      <c r="ZH191" s="159"/>
      <c r="ZI191" s="159"/>
      <c r="ZJ191" s="159"/>
      <c r="ZK191" s="159"/>
      <c r="ZL191" s="159"/>
      <c r="ZM191" s="159"/>
      <c r="ZN191" s="159"/>
      <c r="ZO191" s="159"/>
      <c r="ZP191" s="159"/>
      <c r="ZQ191" s="159"/>
      <c r="ZR191" s="159"/>
      <c r="ZS191" s="159"/>
      <c r="ZT191" s="159"/>
      <c r="ZU191" s="159"/>
      <c r="ZV191" s="159"/>
      <c r="ZW191" s="159"/>
      <c r="ZX191" s="159"/>
      <c r="ZY191" s="159"/>
      <c r="ZZ191" s="159"/>
      <c r="AAA191" s="159"/>
      <c r="AAB191" s="159"/>
      <c r="AAC191" s="159"/>
      <c r="AAD191" s="159"/>
      <c r="AAE191" s="159"/>
      <c r="AAF191" s="159"/>
      <c r="AAG191" s="159"/>
      <c r="AAH191" s="159"/>
      <c r="AAI191" s="159"/>
      <c r="AAJ191" s="159"/>
      <c r="AAK191" s="159"/>
      <c r="AAL191" s="159"/>
      <c r="AAM191" s="159"/>
      <c r="AAN191" s="159"/>
      <c r="AAO191" s="159"/>
      <c r="AAP191" s="159"/>
      <c r="AAQ191" s="159"/>
      <c r="AAR191" s="159"/>
      <c r="AAS191" s="159"/>
      <c r="AAT191" s="159"/>
      <c r="AAU191" s="159"/>
      <c r="AAV191" s="159"/>
      <c r="AAW191" s="159"/>
      <c r="AAX191" s="159"/>
      <c r="AAY191" s="159"/>
      <c r="AAZ191" s="159"/>
      <c r="ABA191" s="159"/>
      <c r="ABB191" s="159"/>
      <c r="ABC191" s="159"/>
      <c r="ABD191" s="159"/>
      <c r="ABE191" s="159"/>
      <c r="ABF191" s="159"/>
      <c r="ABG191" s="159"/>
      <c r="ABH191" s="159"/>
      <c r="ABI191" s="159"/>
      <c r="ABJ191" s="159"/>
      <c r="ABK191" s="159"/>
      <c r="ABL191" s="159"/>
      <c r="ABM191" s="159"/>
      <c r="ABN191" s="159"/>
      <c r="ABO191" s="159"/>
      <c r="ABP191" s="159"/>
      <c r="ABQ191" s="159"/>
      <c r="ABR191" s="159"/>
      <c r="ABS191" s="159"/>
      <c r="ABT191" s="159"/>
      <c r="ABU191" s="159"/>
      <c r="ABV191" s="159"/>
      <c r="ABW191" s="159"/>
      <c r="ABX191" s="159"/>
      <c r="ABY191" s="159"/>
      <c r="ABZ191" s="159"/>
      <c r="ACA191" s="159"/>
      <c r="ACB191" s="159"/>
      <c r="ACC191" s="159"/>
      <c r="ACD191" s="159"/>
      <c r="ACE191" s="159"/>
      <c r="ACF191" s="159"/>
      <c r="ACG191" s="159"/>
      <c r="ACH191" s="159"/>
      <c r="ACI191" s="159"/>
      <c r="ACJ191" s="159"/>
      <c r="ACK191" s="159"/>
      <c r="ACL191" s="159"/>
      <c r="ACM191" s="159"/>
      <c r="ACN191" s="159"/>
      <c r="ACO191" s="159"/>
      <c r="ACP191" s="159"/>
      <c r="ACQ191" s="159"/>
      <c r="ACR191" s="159"/>
      <c r="ACS191" s="159"/>
      <c r="ACT191" s="159"/>
      <c r="ACU191" s="159"/>
      <c r="ACV191" s="159"/>
      <c r="ACW191" s="159"/>
      <c r="ACX191" s="159"/>
      <c r="ACY191" s="159"/>
      <c r="ACZ191" s="159"/>
      <c r="ADA191" s="159"/>
      <c r="ADB191" s="159"/>
      <c r="ADC191" s="159"/>
      <c r="ADD191" s="159"/>
      <c r="ADE191" s="159"/>
      <c r="ADF191" s="159"/>
      <c r="ADG191" s="159"/>
      <c r="ADH191" s="159"/>
      <c r="ADI191" s="159"/>
      <c r="ADJ191" s="159"/>
      <c r="ADK191" s="159"/>
      <c r="ADL191" s="159"/>
      <c r="ADM191" s="159"/>
      <c r="ADN191" s="159"/>
      <c r="ADO191" s="159"/>
      <c r="ADP191" s="159"/>
      <c r="ADQ191" s="159"/>
      <c r="ADR191" s="159"/>
      <c r="ADS191" s="159"/>
      <c r="ADT191" s="159"/>
      <c r="ADU191" s="159"/>
      <c r="ADV191" s="159"/>
      <c r="ADW191" s="159"/>
      <c r="ADX191" s="159"/>
      <c r="ADY191" s="159"/>
      <c r="ADZ191" s="159"/>
      <c r="AEA191" s="159"/>
      <c r="AEB191" s="159"/>
      <c r="AEC191" s="159"/>
      <c r="AED191" s="159"/>
      <c r="AEE191" s="159"/>
      <c r="AEF191" s="159"/>
      <c r="AEG191" s="159"/>
      <c r="AEH191" s="159"/>
      <c r="AEI191" s="159"/>
      <c r="AEJ191" s="159"/>
      <c r="AEK191" s="159"/>
      <c r="AEL191" s="159"/>
      <c r="AEM191" s="159"/>
      <c r="AEN191" s="159"/>
      <c r="AEO191" s="159"/>
      <c r="AEP191" s="159"/>
      <c r="AEQ191" s="159"/>
      <c r="AER191" s="159"/>
      <c r="AES191" s="159"/>
      <c r="AET191" s="159"/>
      <c r="AEU191" s="159"/>
      <c r="AEV191" s="159"/>
      <c r="AEW191" s="159"/>
      <c r="AEX191" s="159"/>
      <c r="AEY191" s="159"/>
      <c r="AEZ191" s="159"/>
      <c r="AFA191" s="159"/>
      <c r="AFB191" s="159"/>
      <c r="AFC191" s="159"/>
      <c r="AFD191" s="159"/>
      <c r="AFE191" s="159"/>
      <c r="AFF191" s="159"/>
      <c r="AFG191" s="159"/>
      <c r="AFH191" s="159"/>
      <c r="AFI191" s="159"/>
      <c r="AFJ191" s="159"/>
      <c r="AFK191" s="159"/>
      <c r="AFL191" s="159"/>
      <c r="AFM191" s="159"/>
      <c r="AFN191" s="159"/>
      <c r="AFO191" s="159"/>
      <c r="AFP191" s="159"/>
      <c r="AFQ191" s="159"/>
      <c r="AFR191" s="159"/>
      <c r="AFS191" s="159"/>
      <c r="AFT191" s="159"/>
      <c r="AFU191" s="159"/>
      <c r="AFV191" s="159"/>
      <c r="AFW191" s="159"/>
      <c r="AFX191" s="159"/>
      <c r="AFY191" s="159"/>
      <c r="AFZ191" s="159"/>
      <c r="AGA191" s="159"/>
      <c r="AGB191" s="159"/>
      <c r="AGC191" s="159"/>
      <c r="AGD191" s="159"/>
      <c r="AGE191" s="159"/>
      <c r="AGF191" s="159"/>
      <c r="AGG191" s="159"/>
      <c r="AGH191" s="159"/>
      <c r="AGI191" s="159"/>
      <c r="AGJ191" s="159"/>
      <c r="AGK191" s="159"/>
      <c r="AGL191" s="159"/>
      <c r="AGM191" s="159"/>
      <c r="AGN191" s="159"/>
      <c r="AGO191" s="159"/>
      <c r="AGP191" s="159"/>
      <c r="AGQ191" s="159"/>
      <c r="AGR191" s="159"/>
      <c r="AGS191" s="159"/>
      <c r="AGT191" s="159"/>
      <c r="AGU191" s="159"/>
      <c r="AGV191" s="159"/>
      <c r="AGW191" s="159"/>
      <c r="AGX191" s="159"/>
      <c r="AGY191" s="159"/>
      <c r="AGZ191" s="159"/>
      <c r="AHA191" s="159"/>
      <c r="AHB191" s="159"/>
      <c r="AHC191" s="159"/>
      <c r="AHD191" s="159"/>
      <c r="AHE191" s="159"/>
      <c r="AHF191" s="159"/>
      <c r="AHG191" s="159"/>
      <c r="AHH191" s="159"/>
      <c r="AHI191" s="159"/>
      <c r="AHJ191" s="159"/>
      <c r="AHK191" s="159"/>
      <c r="AHL191" s="159"/>
      <c r="AHM191" s="159"/>
      <c r="AHN191" s="159"/>
      <c r="AHO191" s="159"/>
      <c r="AHP191" s="159"/>
      <c r="AHQ191" s="159"/>
      <c r="AHR191" s="159"/>
      <c r="AHS191" s="159"/>
      <c r="AHT191" s="159"/>
      <c r="AHU191" s="159"/>
      <c r="AHV191" s="159"/>
      <c r="AHW191" s="159"/>
      <c r="AHX191" s="159"/>
      <c r="AHY191" s="159"/>
      <c r="AHZ191" s="159"/>
      <c r="AIA191" s="159"/>
      <c r="AIB191" s="159"/>
      <c r="AIC191" s="159"/>
      <c r="AID191" s="159"/>
      <c r="AIE191" s="159"/>
      <c r="AIF191" s="159"/>
      <c r="AIG191" s="159"/>
      <c r="AIH191" s="159"/>
      <c r="AII191" s="159"/>
      <c r="AIJ191" s="159"/>
      <c r="AIK191" s="159"/>
      <c r="AIL191" s="159"/>
      <c r="AIM191" s="159"/>
      <c r="AIN191" s="159"/>
      <c r="AIO191" s="159"/>
      <c r="AIP191" s="159"/>
      <c r="AIQ191" s="159"/>
      <c r="AIR191" s="159"/>
      <c r="AIS191" s="159"/>
      <c r="AIT191" s="159"/>
      <c r="AIU191" s="159"/>
      <c r="AIV191" s="159"/>
      <c r="AIW191" s="159"/>
      <c r="AIX191" s="159"/>
      <c r="AIY191" s="159"/>
      <c r="AIZ191" s="159"/>
      <c r="AJA191" s="159"/>
      <c r="AJB191" s="159"/>
      <c r="AJC191" s="159"/>
      <c r="AJD191" s="159"/>
      <c r="AJE191" s="159"/>
      <c r="AJF191" s="159"/>
      <c r="AJG191" s="159"/>
      <c r="AJH191" s="159"/>
      <c r="AJI191" s="159"/>
      <c r="AJJ191" s="159"/>
      <c r="AJK191" s="159"/>
      <c r="AJL191" s="159"/>
      <c r="AJM191" s="159"/>
      <c r="AJN191" s="159"/>
      <c r="AJO191" s="159"/>
      <c r="AJP191" s="159"/>
      <c r="AJQ191" s="159"/>
      <c r="AJR191" s="159"/>
      <c r="AJS191" s="159"/>
      <c r="AJT191" s="159"/>
      <c r="AJU191" s="159"/>
      <c r="AJV191" s="159"/>
      <c r="AJW191" s="159"/>
      <c r="AJX191" s="159"/>
      <c r="AJY191" s="159"/>
      <c r="AJZ191" s="159"/>
      <c r="AKA191" s="159"/>
      <c r="AKB191" s="159"/>
      <c r="AKC191" s="159"/>
      <c r="AKD191" s="159"/>
      <c r="AKE191" s="159"/>
      <c r="AKF191" s="159"/>
      <c r="AKG191" s="159"/>
      <c r="AKH191" s="159"/>
      <c r="AKI191" s="159"/>
      <c r="AKJ191" s="159"/>
      <c r="AKK191" s="159"/>
      <c r="AKL191" s="159"/>
      <c r="AKM191" s="159"/>
      <c r="AKN191" s="159"/>
      <c r="AKO191" s="159"/>
      <c r="AKP191" s="159"/>
      <c r="AKQ191" s="159"/>
      <c r="AKR191" s="159"/>
      <c r="AKS191" s="159"/>
      <c r="AKT191" s="159"/>
      <c r="AKU191" s="159"/>
      <c r="AKV191" s="159"/>
      <c r="AKW191" s="159"/>
      <c r="AKX191" s="159"/>
      <c r="AKY191" s="159"/>
      <c r="AKZ191" s="159"/>
      <c r="ALA191" s="159"/>
      <c r="ALB191" s="159"/>
      <c r="ALC191" s="159"/>
      <c r="ALD191" s="159"/>
      <c r="ALE191" s="159"/>
      <c r="ALF191" s="159"/>
      <c r="ALG191" s="159"/>
      <c r="ALH191" s="159"/>
      <c r="ALI191" s="159"/>
      <c r="ALJ191" s="159"/>
      <c r="ALK191" s="159"/>
      <c r="ALL191" s="159"/>
      <c r="ALM191" s="159"/>
      <c r="ALN191" s="159"/>
      <c r="ALO191" s="159"/>
      <c r="ALP191" s="159"/>
      <c r="ALQ191" s="159"/>
      <c r="ALR191" s="159"/>
      <c r="ALS191" s="159"/>
      <c r="ALT191" s="159"/>
      <c r="ALU191" s="159"/>
      <c r="ALV191" s="159"/>
      <c r="ALW191" s="159"/>
      <c r="ALX191" s="159"/>
      <c r="ALY191" s="159"/>
      <c r="ALZ191" s="159"/>
      <c r="AMA191" s="159"/>
      <c r="AMB191" s="159"/>
      <c r="AMC191" s="159"/>
      <c r="AMD191" s="159"/>
      <c r="AME191" s="159"/>
      <c r="AMF191" s="159"/>
      <c r="AMG191" s="159"/>
      <c r="AMH191" s="159"/>
      <c r="AMI191" s="159"/>
      <c r="AMJ191" s="159"/>
      <c r="AMK191" s="159"/>
      <c r="AML191" s="159"/>
      <c r="AMM191" s="159"/>
      <c r="AMN191" s="159"/>
      <c r="AMO191" s="159"/>
    </row>
    <row r="192" spans="1:1029" s="161" customFormat="1" ht="25.5" x14ac:dyDescent="0.25">
      <c r="A192" s="138">
        <v>46289</v>
      </c>
      <c r="B192" s="99" t="s">
        <v>66</v>
      </c>
      <c r="C192" s="99" t="s">
        <v>293</v>
      </c>
      <c r="D192" s="160" t="s">
        <v>294</v>
      </c>
      <c r="E192" s="118" t="s">
        <v>8</v>
      </c>
      <c r="F192" s="149" t="s">
        <v>36</v>
      </c>
      <c r="G192" s="149" t="s">
        <v>34</v>
      </c>
      <c r="H192" s="141" t="b">
        <f t="shared" si="12"/>
        <v>0</v>
      </c>
      <c r="I192" s="121" t="s">
        <v>14</v>
      </c>
      <c r="J192" s="121" t="s">
        <v>163</v>
      </c>
      <c r="K192" s="121" t="s">
        <v>27</v>
      </c>
      <c r="L192" s="141" t="b">
        <f t="shared" si="13"/>
        <v>0</v>
      </c>
      <c r="M192" s="121" t="s">
        <v>14</v>
      </c>
      <c r="N192" s="121" t="s">
        <v>38</v>
      </c>
      <c r="O192" s="121" t="s">
        <v>27</v>
      </c>
      <c r="P192" s="141" t="b">
        <f t="shared" si="14"/>
        <v>0</v>
      </c>
      <c r="Q192" s="149" t="s">
        <v>29</v>
      </c>
      <c r="R192" s="99" t="s">
        <v>82</v>
      </c>
      <c r="S192" s="99" t="s">
        <v>294</v>
      </c>
      <c r="T192" s="141">
        <f t="shared" si="15"/>
        <v>0.5</v>
      </c>
      <c r="U192" s="159"/>
      <c r="V192" s="159"/>
      <c r="W192" s="159"/>
      <c r="X192" s="159"/>
      <c r="Y192" s="159"/>
      <c r="Z192" s="159"/>
      <c r="AA192" s="159"/>
      <c r="AB192" s="159"/>
      <c r="AC192" s="159"/>
      <c r="AD192" s="159"/>
      <c r="AE192" s="159"/>
      <c r="AF192" s="159"/>
      <c r="AG192" s="159"/>
      <c r="AH192" s="159"/>
      <c r="AI192" s="159"/>
      <c r="AJ192" s="159"/>
      <c r="AK192" s="159"/>
      <c r="AL192" s="159"/>
      <c r="AM192" s="159"/>
      <c r="AN192" s="159"/>
      <c r="AO192" s="159"/>
      <c r="AP192" s="159"/>
      <c r="AQ192" s="159"/>
      <c r="AR192" s="159"/>
      <c r="AS192" s="159"/>
      <c r="AT192" s="159"/>
      <c r="AU192" s="159"/>
      <c r="AV192" s="159"/>
      <c r="AW192" s="159"/>
      <c r="AX192" s="159"/>
      <c r="AY192" s="159"/>
      <c r="AZ192" s="159"/>
      <c r="BA192" s="159"/>
      <c r="BB192" s="159"/>
      <c r="BC192" s="159"/>
      <c r="BD192" s="159"/>
      <c r="BE192" s="159"/>
      <c r="BF192" s="159"/>
      <c r="BG192" s="159"/>
      <c r="BH192" s="159"/>
      <c r="BI192" s="159"/>
      <c r="BJ192" s="159"/>
      <c r="BK192" s="159"/>
      <c r="BL192" s="159"/>
      <c r="BM192" s="159"/>
      <c r="BN192" s="159"/>
      <c r="BO192" s="159"/>
      <c r="BP192" s="159"/>
      <c r="BQ192" s="159"/>
      <c r="BR192" s="159"/>
      <c r="BS192" s="159"/>
      <c r="BT192" s="159"/>
      <c r="BU192" s="159"/>
      <c r="BV192" s="159"/>
      <c r="BW192" s="159"/>
      <c r="BX192" s="159"/>
      <c r="BY192" s="159"/>
      <c r="BZ192" s="159"/>
      <c r="CA192" s="159"/>
      <c r="CB192" s="159"/>
      <c r="CC192" s="159"/>
      <c r="CD192" s="159"/>
      <c r="CE192" s="159"/>
      <c r="CF192" s="159"/>
      <c r="CG192" s="159"/>
      <c r="CH192" s="159"/>
      <c r="CI192" s="159"/>
      <c r="CJ192" s="159"/>
      <c r="CK192" s="159"/>
      <c r="CL192" s="159"/>
      <c r="CM192" s="159"/>
      <c r="CN192" s="159"/>
      <c r="CO192" s="159"/>
      <c r="CP192" s="159"/>
      <c r="CQ192" s="159"/>
      <c r="CR192" s="159"/>
      <c r="CS192" s="159"/>
      <c r="CT192" s="159"/>
      <c r="CU192" s="159"/>
      <c r="CV192" s="159"/>
      <c r="CW192" s="159"/>
      <c r="CX192" s="159"/>
      <c r="CY192" s="159"/>
      <c r="CZ192" s="159"/>
      <c r="DA192" s="159"/>
      <c r="DB192" s="159"/>
      <c r="DC192" s="159"/>
      <c r="DD192" s="159"/>
      <c r="DE192" s="159"/>
      <c r="DF192" s="159"/>
      <c r="DG192" s="159"/>
      <c r="DH192" s="159"/>
      <c r="DI192" s="159"/>
      <c r="DJ192" s="159"/>
      <c r="DK192" s="159"/>
      <c r="DL192" s="159"/>
      <c r="DM192" s="159"/>
      <c r="DN192" s="159"/>
      <c r="DO192" s="159"/>
      <c r="DP192" s="159"/>
      <c r="DQ192" s="159"/>
      <c r="DR192" s="159"/>
      <c r="DS192" s="159"/>
      <c r="DT192" s="159"/>
      <c r="DU192" s="159"/>
      <c r="DV192" s="159"/>
      <c r="DW192" s="159"/>
      <c r="DX192" s="159"/>
      <c r="DY192" s="159"/>
      <c r="DZ192" s="159"/>
      <c r="EA192" s="159"/>
      <c r="EB192" s="159"/>
      <c r="EC192" s="159"/>
      <c r="ED192" s="159"/>
      <c r="EE192" s="159"/>
      <c r="EF192" s="159"/>
      <c r="EG192" s="159"/>
      <c r="EH192" s="159"/>
      <c r="EI192" s="159"/>
      <c r="EJ192" s="159"/>
      <c r="EK192" s="159"/>
      <c r="EL192" s="159"/>
      <c r="EM192" s="159"/>
      <c r="EN192" s="159"/>
      <c r="EO192" s="159"/>
      <c r="EP192" s="159"/>
      <c r="EQ192" s="159"/>
      <c r="ER192" s="159"/>
      <c r="ES192" s="159"/>
      <c r="ET192" s="159"/>
      <c r="EU192" s="159"/>
      <c r="EV192" s="159"/>
      <c r="EW192" s="159"/>
      <c r="EX192" s="159"/>
      <c r="EY192" s="159"/>
      <c r="EZ192" s="159"/>
      <c r="FA192" s="159"/>
      <c r="FB192" s="159"/>
      <c r="FC192" s="159"/>
      <c r="FD192" s="159"/>
      <c r="FE192" s="159"/>
      <c r="FF192" s="159"/>
      <c r="FG192" s="159"/>
      <c r="FH192" s="159"/>
      <c r="FI192" s="159"/>
      <c r="FJ192" s="159"/>
      <c r="FK192" s="159"/>
      <c r="FL192" s="159"/>
      <c r="FM192" s="159"/>
      <c r="FN192" s="159"/>
      <c r="FO192" s="159"/>
      <c r="FP192" s="159"/>
      <c r="FQ192" s="159"/>
      <c r="FR192" s="159"/>
      <c r="FS192" s="159"/>
      <c r="FT192" s="159"/>
      <c r="FU192" s="159"/>
      <c r="FV192" s="159"/>
      <c r="FW192" s="159"/>
      <c r="FX192" s="159"/>
      <c r="FY192" s="159"/>
      <c r="FZ192" s="159"/>
      <c r="GA192" s="159"/>
      <c r="GB192" s="159"/>
      <c r="GC192" s="159"/>
      <c r="GD192" s="159"/>
      <c r="GE192" s="159"/>
      <c r="GF192" s="159"/>
      <c r="GG192" s="159"/>
      <c r="GH192" s="159"/>
      <c r="GI192" s="159"/>
      <c r="GJ192" s="159"/>
      <c r="GK192" s="159"/>
      <c r="GL192" s="159"/>
      <c r="GM192" s="159"/>
      <c r="GN192" s="159"/>
      <c r="GO192" s="159"/>
      <c r="GP192" s="159"/>
      <c r="GQ192" s="159"/>
      <c r="GR192" s="159"/>
      <c r="GS192" s="159"/>
      <c r="GT192" s="159"/>
      <c r="GU192" s="159"/>
      <c r="GV192" s="159"/>
      <c r="GW192" s="159"/>
      <c r="GX192" s="159"/>
      <c r="GY192" s="159"/>
      <c r="GZ192" s="159"/>
      <c r="HA192" s="159"/>
      <c r="HB192" s="159"/>
      <c r="HC192" s="159"/>
      <c r="HD192" s="159"/>
      <c r="HE192" s="159"/>
      <c r="HF192" s="159"/>
      <c r="HG192" s="159"/>
      <c r="HH192" s="159"/>
      <c r="HI192" s="159"/>
      <c r="HJ192" s="159"/>
      <c r="HK192" s="159"/>
      <c r="HL192" s="159"/>
      <c r="HM192" s="159"/>
      <c r="HN192" s="159"/>
      <c r="HO192" s="159"/>
      <c r="HP192" s="159"/>
      <c r="HQ192" s="159"/>
      <c r="HR192" s="159"/>
      <c r="HS192" s="159"/>
      <c r="HT192" s="159"/>
      <c r="HU192" s="159"/>
      <c r="HV192" s="159"/>
      <c r="HW192" s="159"/>
      <c r="HX192" s="159"/>
      <c r="HY192" s="159"/>
      <c r="HZ192" s="159"/>
      <c r="IA192" s="159"/>
      <c r="IB192" s="159"/>
      <c r="IC192" s="159"/>
      <c r="ID192" s="159"/>
      <c r="IE192" s="159"/>
      <c r="IF192" s="159"/>
      <c r="IG192" s="159"/>
      <c r="IH192" s="159"/>
      <c r="II192" s="159"/>
      <c r="IJ192" s="159"/>
      <c r="IK192" s="159"/>
      <c r="IL192" s="159"/>
      <c r="IM192" s="159"/>
      <c r="IN192" s="159"/>
      <c r="IO192" s="159"/>
      <c r="IP192" s="159"/>
      <c r="IQ192" s="159"/>
      <c r="IR192" s="159"/>
      <c r="IS192" s="159"/>
      <c r="IT192" s="159"/>
      <c r="IU192" s="159"/>
      <c r="IV192" s="159"/>
      <c r="IW192" s="159"/>
      <c r="IX192" s="159"/>
      <c r="IY192" s="159"/>
      <c r="IZ192" s="159"/>
      <c r="JA192" s="159"/>
      <c r="JB192" s="159"/>
      <c r="JC192" s="159"/>
      <c r="JD192" s="159"/>
      <c r="JE192" s="159"/>
      <c r="JF192" s="159"/>
      <c r="JG192" s="159"/>
      <c r="JH192" s="159"/>
      <c r="JI192" s="159"/>
      <c r="JJ192" s="159"/>
      <c r="JK192" s="159"/>
      <c r="JL192" s="159"/>
      <c r="JM192" s="159"/>
      <c r="JN192" s="159"/>
      <c r="JO192" s="159"/>
      <c r="JP192" s="159"/>
      <c r="JQ192" s="159"/>
      <c r="JR192" s="159"/>
      <c r="JS192" s="159"/>
      <c r="JT192" s="159"/>
      <c r="JU192" s="159"/>
      <c r="JV192" s="159"/>
      <c r="JW192" s="159"/>
      <c r="JX192" s="159"/>
      <c r="JY192" s="159"/>
      <c r="JZ192" s="159"/>
      <c r="KA192" s="159"/>
      <c r="KB192" s="159"/>
      <c r="KC192" s="159"/>
      <c r="KD192" s="159"/>
      <c r="KE192" s="159"/>
      <c r="KF192" s="159"/>
      <c r="KG192" s="159"/>
      <c r="KH192" s="159"/>
      <c r="KI192" s="159"/>
      <c r="KJ192" s="159"/>
      <c r="KK192" s="159"/>
      <c r="KL192" s="159"/>
      <c r="KM192" s="159"/>
      <c r="KN192" s="159"/>
      <c r="KO192" s="159"/>
      <c r="KP192" s="159"/>
      <c r="KQ192" s="159"/>
      <c r="KR192" s="159"/>
      <c r="KS192" s="159"/>
      <c r="KT192" s="159"/>
      <c r="KU192" s="159"/>
      <c r="KV192" s="159"/>
      <c r="KW192" s="159"/>
      <c r="KX192" s="159"/>
      <c r="KY192" s="159"/>
      <c r="KZ192" s="159"/>
      <c r="LA192" s="159"/>
      <c r="LB192" s="159"/>
      <c r="LC192" s="159"/>
      <c r="LD192" s="159"/>
      <c r="LE192" s="159"/>
      <c r="LF192" s="159"/>
      <c r="LG192" s="159"/>
      <c r="LH192" s="159"/>
      <c r="LI192" s="159"/>
      <c r="LJ192" s="159"/>
      <c r="LK192" s="159"/>
      <c r="LL192" s="159"/>
      <c r="LM192" s="159"/>
      <c r="LN192" s="159"/>
      <c r="LO192" s="159"/>
      <c r="LP192" s="159"/>
      <c r="LQ192" s="159"/>
      <c r="LR192" s="159"/>
      <c r="LS192" s="159"/>
      <c r="LT192" s="159"/>
      <c r="LU192" s="159"/>
      <c r="LV192" s="159"/>
      <c r="LW192" s="159"/>
      <c r="LX192" s="159"/>
      <c r="LY192" s="159"/>
      <c r="LZ192" s="159"/>
      <c r="MA192" s="159"/>
      <c r="MB192" s="159"/>
      <c r="MC192" s="159"/>
      <c r="MD192" s="159"/>
      <c r="ME192" s="159"/>
      <c r="MF192" s="159"/>
      <c r="MG192" s="159"/>
      <c r="MH192" s="159"/>
      <c r="MI192" s="159"/>
      <c r="MJ192" s="159"/>
      <c r="MK192" s="159"/>
      <c r="ML192" s="159"/>
      <c r="MM192" s="159"/>
      <c r="MN192" s="159"/>
      <c r="MO192" s="159"/>
      <c r="MP192" s="159"/>
      <c r="MQ192" s="159"/>
      <c r="MR192" s="159"/>
      <c r="MS192" s="159"/>
      <c r="MT192" s="159"/>
      <c r="MU192" s="159"/>
      <c r="MV192" s="159"/>
      <c r="MW192" s="159"/>
      <c r="MX192" s="159"/>
      <c r="MY192" s="159"/>
      <c r="MZ192" s="159"/>
      <c r="NA192" s="159"/>
      <c r="NB192" s="159"/>
      <c r="NC192" s="159"/>
      <c r="ND192" s="159"/>
      <c r="NE192" s="159"/>
      <c r="NF192" s="159"/>
      <c r="NG192" s="159"/>
      <c r="NH192" s="159"/>
      <c r="NI192" s="159"/>
      <c r="NJ192" s="159"/>
      <c r="NK192" s="159"/>
      <c r="NL192" s="159"/>
      <c r="NM192" s="159"/>
      <c r="NN192" s="159"/>
      <c r="NO192" s="159"/>
      <c r="NP192" s="159"/>
      <c r="NQ192" s="159"/>
      <c r="NR192" s="159"/>
      <c r="NS192" s="159"/>
      <c r="NT192" s="159"/>
      <c r="NU192" s="159"/>
      <c r="NV192" s="159"/>
      <c r="NW192" s="159"/>
      <c r="NX192" s="159"/>
      <c r="NY192" s="159"/>
      <c r="NZ192" s="159"/>
      <c r="OA192" s="159"/>
      <c r="OB192" s="159"/>
      <c r="OC192" s="159"/>
      <c r="OD192" s="159"/>
      <c r="OE192" s="159"/>
      <c r="OF192" s="159"/>
      <c r="OG192" s="159"/>
      <c r="OH192" s="159"/>
      <c r="OI192" s="159"/>
      <c r="OJ192" s="159"/>
      <c r="OK192" s="159"/>
      <c r="OL192" s="159"/>
      <c r="OM192" s="159"/>
      <c r="ON192" s="159"/>
      <c r="OO192" s="159"/>
      <c r="OP192" s="159"/>
      <c r="OQ192" s="159"/>
      <c r="OR192" s="159"/>
      <c r="OS192" s="159"/>
      <c r="OT192" s="159"/>
      <c r="OU192" s="159"/>
      <c r="OV192" s="159"/>
      <c r="OW192" s="159"/>
      <c r="OX192" s="159"/>
      <c r="OY192" s="159"/>
      <c r="OZ192" s="159"/>
      <c r="PA192" s="159"/>
      <c r="PB192" s="159"/>
      <c r="PC192" s="159"/>
      <c r="PD192" s="159"/>
      <c r="PE192" s="159"/>
      <c r="PF192" s="159"/>
      <c r="PG192" s="159"/>
      <c r="PH192" s="159"/>
      <c r="PI192" s="159"/>
      <c r="PJ192" s="159"/>
      <c r="PK192" s="159"/>
      <c r="PL192" s="159"/>
      <c r="PM192" s="159"/>
      <c r="PN192" s="159"/>
      <c r="PO192" s="159"/>
      <c r="PP192" s="159"/>
      <c r="PQ192" s="159"/>
      <c r="PR192" s="159"/>
      <c r="PS192" s="159"/>
      <c r="PT192" s="159"/>
      <c r="PU192" s="159"/>
      <c r="PV192" s="159"/>
      <c r="PW192" s="159"/>
      <c r="PX192" s="159"/>
      <c r="PY192" s="159"/>
      <c r="PZ192" s="159"/>
      <c r="QA192" s="159"/>
      <c r="QB192" s="159"/>
      <c r="QC192" s="159"/>
      <c r="QD192" s="159"/>
      <c r="QE192" s="159"/>
      <c r="QF192" s="159"/>
      <c r="QG192" s="159"/>
      <c r="QH192" s="159"/>
      <c r="QI192" s="159"/>
      <c r="QJ192" s="159"/>
      <c r="QK192" s="159"/>
      <c r="QL192" s="159"/>
      <c r="QM192" s="159"/>
      <c r="QN192" s="159"/>
      <c r="QO192" s="159"/>
      <c r="QP192" s="159"/>
      <c r="QQ192" s="159"/>
      <c r="QR192" s="159"/>
      <c r="QS192" s="159"/>
      <c r="QT192" s="159"/>
      <c r="QU192" s="159"/>
      <c r="QV192" s="159"/>
      <c r="QW192" s="159"/>
      <c r="QX192" s="159"/>
      <c r="QY192" s="159"/>
      <c r="QZ192" s="159"/>
      <c r="RA192" s="159"/>
      <c r="RB192" s="159"/>
      <c r="RC192" s="159"/>
      <c r="RD192" s="159"/>
      <c r="RE192" s="159"/>
      <c r="RF192" s="159"/>
      <c r="RG192" s="159"/>
      <c r="RH192" s="159"/>
      <c r="RI192" s="159"/>
      <c r="RJ192" s="159"/>
      <c r="RK192" s="159"/>
      <c r="RL192" s="159"/>
      <c r="RM192" s="159"/>
      <c r="RN192" s="159"/>
      <c r="RO192" s="159"/>
      <c r="RP192" s="159"/>
      <c r="RQ192" s="159"/>
      <c r="RR192" s="159"/>
      <c r="RS192" s="159"/>
      <c r="RT192" s="159"/>
      <c r="RU192" s="159"/>
      <c r="RV192" s="159"/>
      <c r="RW192" s="159"/>
      <c r="RX192" s="159"/>
      <c r="RY192" s="159"/>
      <c r="RZ192" s="159"/>
      <c r="SA192" s="159"/>
      <c r="SB192" s="159"/>
      <c r="SC192" s="159"/>
      <c r="SD192" s="159"/>
      <c r="SE192" s="159"/>
      <c r="SF192" s="159"/>
      <c r="SG192" s="159"/>
      <c r="SH192" s="159"/>
      <c r="SI192" s="159"/>
      <c r="SJ192" s="159"/>
      <c r="SK192" s="159"/>
      <c r="SL192" s="159"/>
      <c r="SM192" s="159"/>
      <c r="SN192" s="159"/>
      <c r="SO192" s="159"/>
      <c r="SP192" s="159"/>
      <c r="SQ192" s="159"/>
      <c r="SR192" s="159"/>
      <c r="SS192" s="159"/>
      <c r="ST192" s="159"/>
      <c r="SU192" s="159"/>
      <c r="SV192" s="159"/>
      <c r="SW192" s="159"/>
      <c r="SX192" s="159"/>
      <c r="SY192" s="159"/>
      <c r="SZ192" s="159"/>
      <c r="TA192" s="159"/>
      <c r="TB192" s="159"/>
      <c r="TC192" s="159"/>
      <c r="TD192" s="159"/>
      <c r="TE192" s="159"/>
      <c r="TF192" s="159"/>
      <c r="TG192" s="159"/>
      <c r="TH192" s="159"/>
      <c r="TI192" s="159"/>
      <c r="TJ192" s="159"/>
      <c r="TK192" s="159"/>
      <c r="TL192" s="159"/>
      <c r="TM192" s="159"/>
      <c r="TN192" s="159"/>
      <c r="TO192" s="159"/>
      <c r="TP192" s="159"/>
      <c r="TQ192" s="159"/>
      <c r="TR192" s="159"/>
      <c r="TS192" s="159"/>
      <c r="TT192" s="159"/>
      <c r="TU192" s="159"/>
      <c r="TV192" s="159"/>
      <c r="TW192" s="159"/>
      <c r="TX192" s="159"/>
      <c r="TY192" s="159"/>
      <c r="TZ192" s="159"/>
      <c r="UA192" s="159"/>
      <c r="UB192" s="159"/>
      <c r="UC192" s="159"/>
      <c r="UD192" s="159"/>
      <c r="UE192" s="159"/>
      <c r="UF192" s="159"/>
      <c r="UG192" s="159"/>
      <c r="UH192" s="159"/>
      <c r="UI192" s="159"/>
      <c r="UJ192" s="159"/>
      <c r="UK192" s="159"/>
      <c r="UL192" s="159"/>
      <c r="UM192" s="159"/>
      <c r="UN192" s="159"/>
      <c r="UO192" s="159"/>
      <c r="UP192" s="159"/>
      <c r="UQ192" s="159"/>
      <c r="UR192" s="159"/>
      <c r="US192" s="159"/>
      <c r="UT192" s="159"/>
      <c r="UU192" s="159"/>
      <c r="UV192" s="159"/>
      <c r="UW192" s="159"/>
      <c r="UX192" s="159"/>
      <c r="UY192" s="159"/>
      <c r="UZ192" s="159"/>
      <c r="VA192" s="159"/>
      <c r="VB192" s="159"/>
      <c r="VC192" s="159"/>
      <c r="VD192" s="159"/>
      <c r="VE192" s="159"/>
      <c r="VF192" s="159"/>
      <c r="VG192" s="159"/>
      <c r="VH192" s="159"/>
      <c r="VI192" s="159"/>
      <c r="VJ192" s="159"/>
      <c r="VK192" s="159"/>
      <c r="VL192" s="159"/>
      <c r="VM192" s="159"/>
      <c r="VN192" s="159"/>
      <c r="VO192" s="159"/>
      <c r="VP192" s="159"/>
      <c r="VQ192" s="159"/>
      <c r="VR192" s="159"/>
      <c r="VS192" s="159"/>
      <c r="VT192" s="159"/>
      <c r="VU192" s="159"/>
      <c r="VV192" s="159"/>
      <c r="VW192" s="159"/>
      <c r="VX192" s="159"/>
      <c r="VY192" s="159"/>
      <c r="VZ192" s="159"/>
      <c r="WA192" s="159"/>
      <c r="WB192" s="159"/>
      <c r="WC192" s="159"/>
      <c r="WD192" s="159"/>
      <c r="WE192" s="159"/>
      <c r="WF192" s="159"/>
      <c r="WG192" s="159"/>
      <c r="WH192" s="159"/>
      <c r="WI192" s="159"/>
      <c r="WJ192" s="159"/>
      <c r="WK192" s="159"/>
      <c r="WL192" s="159"/>
      <c r="WM192" s="159"/>
      <c r="WN192" s="159"/>
      <c r="WO192" s="159"/>
      <c r="WP192" s="159"/>
      <c r="WQ192" s="159"/>
      <c r="WR192" s="159"/>
      <c r="WS192" s="159"/>
      <c r="WT192" s="159"/>
      <c r="WU192" s="159"/>
      <c r="WV192" s="159"/>
      <c r="WW192" s="159"/>
      <c r="WX192" s="159"/>
      <c r="WY192" s="159"/>
      <c r="WZ192" s="159"/>
      <c r="XA192" s="159"/>
      <c r="XB192" s="159"/>
      <c r="XC192" s="159"/>
      <c r="XD192" s="159"/>
      <c r="XE192" s="159"/>
      <c r="XF192" s="159"/>
      <c r="XG192" s="159"/>
      <c r="XH192" s="159"/>
      <c r="XI192" s="159"/>
      <c r="XJ192" s="159"/>
      <c r="XK192" s="159"/>
      <c r="XL192" s="159"/>
      <c r="XM192" s="159"/>
      <c r="XN192" s="159"/>
      <c r="XO192" s="159"/>
      <c r="XP192" s="159"/>
      <c r="XQ192" s="159"/>
      <c r="XR192" s="159"/>
      <c r="XS192" s="159"/>
      <c r="XT192" s="159"/>
      <c r="XU192" s="159"/>
      <c r="XV192" s="159"/>
      <c r="XW192" s="159"/>
      <c r="XX192" s="159"/>
      <c r="XY192" s="159"/>
      <c r="XZ192" s="159"/>
      <c r="YA192" s="159"/>
      <c r="YB192" s="159"/>
      <c r="YC192" s="159"/>
      <c r="YD192" s="159"/>
      <c r="YE192" s="159"/>
      <c r="YF192" s="159"/>
      <c r="YG192" s="159"/>
      <c r="YH192" s="159"/>
      <c r="YI192" s="159"/>
      <c r="YJ192" s="159"/>
      <c r="YK192" s="159"/>
      <c r="YL192" s="159"/>
      <c r="YM192" s="159"/>
      <c r="YN192" s="159"/>
      <c r="YO192" s="159"/>
      <c r="YP192" s="159"/>
      <c r="YQ192" s="159"/>
      <c r="YR192" s="159"/>
      <c r="YS192" s="159"/>
      <c r="YT192" s="159"/>
      <c r="YU192" s="159"/>
      <c r="YV192" s="159"/>
      <c r="YW192" s="159"/>
      <c r="YX192" s="159"/>
      <c r="YY192" s="159"/>
      <c r="YZ192" s="159"/>
      <c r="ZA192" s="159"/>
      <c r="ZB192" s="159"/>
      <c r="ZC192" s="159"/>
      <c r="ZD192" s="159"/>
      <c r="ZE192" s="159"/>
      <c r="ZF192" s="159"/>
      <c r="ZG192" s="159"/>
      <c r="ZH192" s="159"/>
      <c r="ZI192" s="159"/>
      <c r="ZJ192" s="159"/>
      <c r="ZK192" s="159"/>
      <c r="ZL192" s="159"/>
      <c r="ZM192" s="159"/>
      <c r="ZN192" s="159"/>
      <c r="ZO192" s="159"/>
      <c r="ZP192" s="159"/>
      <c r="ZQ192" s="159"/>
      <c r="ZR192" s="159"/>
      <c r="ZS192" s="159"/>
      <c r="ZT192" s="159"/>
      <c r="ZU192" s="159"/>
      <c r="ZV192" s="159"/>
      <c r="ZW192" s="159"/>
      <c r="ZX192" s="159"/>
      <c r="ZY192" s="159"/>
      <c r="ZZ192" s="159"/>
      <c r="AAA192" s="159"/>
      <c r="AAB192" s="159"/>
      <c r="AAC192" s="159"/>
      <c r="AAD192" s="159"/>
      <c r="AAE192" s="159"/>
      <c r="AAF192" s="159"/>
      <c r="AAG192" s="159"/>
      <c r="AAH192" s="159"/>
      <c r="AAI192" s="159"/>
      <c r="AAJ192" s="159"/>
      <c r="AAK192" s="159"/>
      <c r="AAL192" s="159"/>
      <c r="AAM192" s="159"/>
      <c r="AAN192" s="159"/>
      <c r="AAO192" s="159"/>
      <c r="AAP192" s="159"/>
      <c r="AAQ192" s="159"/>
      <c r="AAR192" s="159"/>
      <c r="AAS192" s="159"/>
      <c r="AAT192" s="159"/>
      <c r="AAU192" s="159"/>
      <c r="AAV192" s="159"/>
      <c r="AAW192" s="159"/>
      <c r="AAX192" s="159"/>
      <c r="AAY192" s="159"/>
      <c r="AAZ192" s="159"/>
      <c r="ABA192" s="159"/>
      <c r="ABB192" s="159"/>
      <c r="ABC192" s="159"/>
      <c r="ABD192" s="159"/>
      <c r="ABE192" s="159"/>
      <c r="ABF192" s="159"/>
      <c r="ABG192" s="159"/>
      <c r="ABH192" s="159"/>
      <c r="ABI192" s="159"/>
      <c r="ABJ192" s="159"/>
      <c r="ABK192" s="159"/>
      <c r="ABL192" s="159"/>
      <c r="ABM192" s="159"/>
      <c r="ABN192" s="159"/>
      <c r="ABO192" s="159"/>
      <c r="ABP192" s="159"/>
      <c r="ABQ192" s="159"/>
      <c r="ABR192" s="159"/>
      <c r="ABS192" s="159"/>
      <c r="ABT192" s="159"/>
      <c r="ABU192" s="159"/>
      <c r="ABV192" s="159"/>
      <c r="ABW192" s="159"/>
      <c r="ABX192" s="159"/>
      <c r="ABY192" s="159"/>
      <c r="ABZ192" s="159"/>
      <c r="ACA192" s="159"/>
      <c r="ACB192" s="159"/>
      <c r="ACC192" s="159"/>
      <c r="ACD192" s="159"/>
      <c r="ACE192" s="159"/>
      <c r="ACF192" s="159"/>
      <c r="ACG192" s="159"/>
      <c r="ACH192" s="159"/>
      <c r="ACI192" s="159"/>
      <c r="ACJ192" s="159"/>
      <c r="ACK192" s="159"/>
      <c r="ACL192" s="159"/>
      <c r="ACM192" s="159"/>
      <c r="ACN192" s="159"/>
      <c r="ACO192" s="159"/>
      <c r="ACP192" s="159"/>
      <c r="ACQ192" s="159"/>
      <c r="ACR192" s="159"/>
      <c r="ACS192" s="159"/>
      <c r="ACT192" s="159"/>
      <c r="ACU192" s="159"/>
      <c r="ACV192" s="159"/>
      <c r="ACW192" s="159"/>
      <c r="ACX192" s="159"/>
      <c r="ACY192" s="159"/>
      <c r="ACZ192" s="159"/>
      <c r="ADA192" s="159"/>
      <c r="ADB192" s="159"/>
      <c r="ADC192" s="159"/>
      <c r="ADD192" s="159"/>
      <c r="ADE192" s="159"/>
      <c r="ADF192" s="159"/>
      <c r="ADG192" s="159"/>
      <c r="ADH192" s="159"/>
      <c r="ADI192" s="159"/>
      <c r="ADJ192" s="159"/>
      <c r="ADK192" s="159"/>
      <c r="ADL192" s="159"/>
      <c r="ADM192" s="159"/>
      <c r="ADN192" s="159"/>
      <c r="ADO192" s="159"/>
      <c r="ADP192" s="159"/>
      <c r="ADQ192" s="159"/>
      <c r="ADR192" s="159"/>
      <c r="ADS192" s="159"/>
      <c r="ADT192" s="159"/>
      <c r="ADU192" s="159"/>
      <c r="ADV192" s="159"/>
      <c r="ADW192" s="159"/>
      <c r="ADX192" s="159"/>
      <c r="ADY192" s="159"/>
      <c r="ADZ192" s="159"/>
      <c r="AEA192" s="159"/>
      <c r="AEB192" s="159"/>
      <c r="AEC192" s="159"/>
      <c r="AED192" s="159"/>
      <c r="AEE192" s="159"/>
      <c r="AEF192" s="159"/>
      <c r="AEG192" s="159"/>
      <c r="AEH192" s="159"/>
      <c r="AEI192" s="159"/>
      <c r="AEJ192" s="159"/>
      <c r="AEK192" s="159"/>
      <c r="AEL192" s="159"/>
      <c r="AEM192" s="159"/>
      <c r="AEN192" s="159"/>
      <c r="AEO192" s="159"/>
      <c r="AEP192" s="159"/>
      <c r="AEQ192" s="159"/>
      <c r="AER192" s="159"/>
      <c r="AES192" s="159"/>
      <c r="AET192" s="159"/>
      <c r="AEU192" s="159"/>
      <c r="AEV192" s="159"/>
      <c r="AEW192" s="159"/>
      <c r="AEX192" s="159"/>
      <c r="AEY192" s="159"/>
      <c r="AEZ192" s="159"/>
      <c r="AFA192" s="159"/>
      <c r="AFB192" s="159"/>
      <c r="AFC192" s="159"/>
      <c r="AFD192" s="159"/>
      <c r="AFE192" s="159"/>
      <c r="AFF192" s="159"/>
      <c r="AFG192" s="159"/>
      <c r="AFH192" s="159"/>
      <c r="AFI192" s="159"/>
      <c r="AFJ192" s="159"/>
      <c r="AFK192" s="159"/>
      <c r="AFL192" s="159"/>
      <c r="AFM192" s="159"/>
      <c r="AFN192" s="159"/>
      <c r="AFO192" s="159"/>
      <c r="AFP192" s="159"/>
      <c r="AFQ192" s="159"/>
      <c r="AFR192" s="159"/>
      <c r="AFS192" s="159"/>
      <c r="AFT192" s="159"/>
      <c r="AFU192" s="159"/>
      <c r="AFV192" s="159"/>
      <c r="AFW192" s="159"/>
      <c r="AFX192" s="159"/>
      <c r="AFY192" s="159"/>
      <c r="AFZ192" s="159"/>
      <c r="AGA192" s="159"/>
      <c r="AGB192" s="159"/>
      <c r="AGC192" s="159"/>
      <c r="AGD192" s="159"/>
      <c r="AGE192" s="159"/>
      <c r="AGF192" s="159"/>
      <c r="AGG192" s="159"/>
      <c r="AGH192" s="159"/>
      <c r="AGI192" s="159"/>
      <c r="AGJ192" s="159"/>
      <c r="AGK192" s="159"/>
      <c r="AGL192" s="159"/>
      <c r="AGM192" s="159"/>
      <c r="AGN192" s="159"/>
      <c r="AGO192" s="159"/>
      <c r="AGP192" s="159"/>
      <c r="AGQ192" s="159"/>
      <c r="AGR192" s="159"/>
      <c r="AGS192" s="159"/>
      <c r="AGT192" s="159"/>
      <c r="AGU192" s="159"/>
      <c r="AGV192" s="159"/>
      <c r="AGW192" s="159"/>
      <c r="AGX192" s="159"/>
      <c r="AGY192" s="159"/>
      <c r="AGZ192" s="159"/>
      <c r="AHA192" s="159"/>
      <c r="AHB192" s="159"/>
      <c r="AHC192" s="159"/>
      <c r="AHD192" s="159"/>
      <c r="AHE192" s="159"/>
      <c r="AHF192" s="159"/>
      <c r="AHG192" s="159"/>
      <c r="AHH192" s="159"/>
      <c r="AHI192" s="159"/>
      <c r="AHJ192" s="159"/>
      <c r="AHK192" s="159"/>
      <c r="AHL192" s="159"/>
      <c r="AHM192" s="159"/>
      <c r="AHN192" s="159"/>
      <c r="AHO192" s="159"/>
      <c r="AHP192" s="159"/>
      <c r="AHQ192" s="159"/>
      <c r="AHR192" s="159"/>
      <c r="AHS192" s="159"/>
      <c r="AHT192" s="159"/>
      <c r="AHU192" s="159"/>
      <c r="AHV192" s="159"/>
      <c r="AHW192" s="159"/>
      <c r="AHX192" s="159"/>
      <c r="AHY192" s="159"/>
      <c r="AHZ192" s="159"/>
      <c r="AIA192" s="159"/>
      <c r="AIB192" s="159"/>
      <c r="AIC192" s="159"/>
      <c r="AID192" s="159"/>
      <c r="AIE192" s="159"/>
      <c r="AIF192" s="159"/>
      <c r="AIG192" s="159"/>
      <c r="AIH192" s="159"/>
      <c r="AII192" s="159"/>
      <c r="AIJ192" s="159"/>
      <c r="AIK192" s="159"/>
      <c r="AIL192" s="159"/>
      <c r="AIM192" s="159"/>
      <c r="AIN192" s="159"/>
      <c r="AIO192" s="159"/>
      <c r="AIP192" s="159"/>
      <c r="AIQ192" s="159"/>
      <c r="AIR192" s="159"/>
      <c r="AIS192" s="159"/>
      <c r="AIT192" s="159"/>
      <c r="AIU192" s="159"/>
      <c r="AIV192" s="159"/>
      <c r="AIW192" s="159"/>
      <c r="AIX192" s="159"/>
      <c r="AIY192" s="159"/>
      <c r="AIZ192" s="159"/>
      <c r="AJA192" s="159"/>
      <c r="AJB192" s="159"/>
      <c r="AJC192" s="159"/>
      <c r="AJD192" s="159"/>
      <c r="AJE192" s="159"/>
      <c r="AJF192" s="159"/>
      <c r="AJG192" s="159"/>
      <c r="AJH192" s="159"/>
      <c r="AJI192" s="159"/>
      <c r="AJJ192" s="159"/>
      <c r="AJK192" s="159"/>
      <c r="AJL192" s="159"/>
      <c r="AJM192" s="159"/>
      <c r="AJN192" s="159"/>
      <c r="AJO192" s="159"/>
      <c r="AJP192" s="159"/>
      <c r="AJQ192" s="159"/>
      <c r="AJR192" s="159"/>
      <c r="AJS192" s="159"/>
      <c r="AJT192" s="159"/>
      <c r="AJU192" s="159"/>
      <c r="AJV192" s="159"/>
      <c r="AJW192" s="159"/>
      <c r="AJX192" s="159"/>
      <c r="AJY192" s="159"/>
      <c r="AJZ192" s="159"/>
      <c r="AKA192" s="159"/>
      <c r="AKB192" s="159"/>
      <c r="AKC192" s="159"/>
      <c r="AKD192" s="159"/>
      <c r="AKE192" s="159"/>
      <c r="AKF192" s="159"/>
      <c r="AKG192" s="159"/>
      <c r="AKH192" s="159"/>
      <c r="AKI192" s="159"/>
      <c r="AKJ192" s="159"/>
      <c r="AKK192" s="159"/>
      <c r="AKL192" s="159"/>
      <c r="AKM192" s="159"/>
      <c r="AKN192" s="159"/>
      <c r="AKO192" s="159"/>
      <c r="AKP192" s="159"/>
      <c r="AKQ192" s="159"/>
      <c r="AKR192" s="159"/>
      <c r="AKS192" s="159"/>
      <c r="AKT192" s="159"/>
      <c r="AKU192" s="159"/>
      <c r="AKV192" s="159"/>
      <c r="AKW192" s="159"/>
      <c r="AKX192" s="159"/>
      <c r="AKY192" s="159"/>
      <c r="AKZ192" s="159"/>
      <c r="ALA192" s="159"/>
      <c r="ALB192" s="159"/>
      <c r="ALC192" s="159"/>
      <c r="ALD192" s="159"/>
      <c r="ALE192" s="159"/>
      <c r="ALF192" s="159"/>
      <c r="ALG192" s="159"/>
      <c r="ALH192" s="159"/>
      <c r="ALI192" s="159"/>
      <c r="ALJ192" s="159"/>
      <c r="ALK192" s="159"/>
      <c r="ALL192" s="159"/>
      <c r="ALM192" s="159"/>
      <c r="ALN192" s="159"/>
      <c r="ALO192" s="159"/>
      <c r="ALP192" s="159"/>
      <c r="ALQ192" s="159"/>
      <c r="ALR192" s="159"/>
      <c r="ALS192" s="159"/>
      <c r="ALT192" s="159"/>
      <c r="ALU192" s="159"/>
      <c r="ALV192" s="159"/>
      <c r="ALW192" s="159"/>
      <c r="ALX192" s="159"/>
      <c r="ALY192" s="159"/>
      <c r="ALZ192" s="159"/>
      <c r="AMA192" s="159"/>
      <c r="AMB192" s="159"/>
      <c r="AMC192" s="159"/>
      <c r="AMD192" s="159"/>
      <c r="AME192" s="159"/>
      <c r="AMF192" s="159"/>
      <c r="AMG192" s="159"/>
      <c r="AMH192" s="159"/>
      <c r="AMI192" s="159"/>
      <c r="AMJ192" s="159"/>
      <c r="AMK192" s="159"/>
      <c r="AML192" s="159"/>
      <c r="AMM192" s="159"/>
      <c r="AMN192" s="159"/>
      <c r="AMO192" s="159"/>
    </row>
    <row r="193" spans="1:1029" s="161" customFormat="1" ht="26.25" thickBot="1" x14ac:dyDescent="0.3">
      <c r="A193" s="163">
        <v>46290</v>
      </c>
      <c r="B193" s="155" t="s">
        <v>29</v>
      </c>
      <c r="C193" s="155" t="s">
        <v>77</v>
      </c>
      <c r="D193" s="164" t="s">
        <v>306</v>
      </c>
      <c r="E193" s="154" t="s">
        <v>101</v>
      </c>
      <c r="F193" s="156" t="s">
        <v>151</v>
      </c>
      <c r="G193" s="156" t="s">
        <v>16</v>
      </c>
      <c r="H193" s="147" t="b">
        <f t="shared" si="12"/>
        <v>0</v>
      </c>
      <c r="I193" s="135" t="s">
        <v>282</v>
      </c>
      <c r="J193" s="135" t="s">
        <v>38</v>
      </c>
      <c r="K193" s="135" t="s">
        <v>16</v>
      </c>
      <c r="L193" s="147" t="b">
        <f t="shared" si="13"/>
        <v>0</v>
      </c>
      <c r="M193" s="135" t="s">
        <v>73</v>
      </c>
      <c r="N193" s="135" t="s">
        <v>151</v>
      </c>
      <c r="O193" s="135" t="s">
        <v>16</v>
      </c>
      <c r="P193" s="147" t="b">
        <f t="shared" si="14"/>
        <v>0</v>
      </c>
      <c r="Q193" s="156" t="s">
        <v>105</v>
      </c>
      <c r="R193" s="155" t="s">
        <v>57</v>
      </c>
      <c r="S193" s="155" t="s">
        <v>27</v>
      </c>
      <c r="T193" s="147" t="b">
        <f t="shared" si="15"/>
        <v>0</v>
      </c>
      <c r="U193" s="159"/>
      <c r="V193" s="159"/>
      <c r="W193" s="159"/>
      <c r="X193" s="159"/>
      <c r="Y193" s="159"/>
      <c r="Z193" s="159"/>
      <c r="AA193" s="159"/>
      <c r="AB193" s="159"/>
      <c r="AC193" s="159"/>
      <c r="AD193" s="159"/>
      <c r="AE193" s="159"/>
      <c r="AF193" s="159"/>
      <c r="AG193" s="159"/>
      <c r="AH193" s="159"/>
      <c r="AI193" s="159"/>
      <c r="AJ193" s="159"/>
      <c r="AK193" s="159"/>
      <c r="AL193" s="159"/>
      <c r="AM193" s="159"/>
      <c r="AN193" s="159"/>
      <c r="AO193" s="159"/>
      <c r="AP193" s="159"/>
      <c r="AQ193" s="159"/>
      <c r="AR193" s="159"/>
      <c r="AS193" s="159"/>
      <c r="AT193" s="159"/>
      <c r="AU193" s="159"/>
      <c r="AV193" s="159"/>
      <c r="AW193" s="159"/>
      <c r="AX193" s="159"/>
      <c r="AY193" s="159"/>
      <c r="AZ193" s="159"/>
      <c r="BA193" s="159"/>
      <c r="BB193" s="159"/>
      <c r="BC193" s="159"/>
      <c r="BD193" s="159"/>
      <c r="BE193" s="159"/>
      <c r="BF193" s="159"/>
      <c r="BG193" s="159"/>
      <c r="BH193" s="159"/>
      <c r="BI193" s="159"/>
      <c r="BJ193" s="159"/>
      <c r="BK193" s="159"/>
      <c r="BL193" s="159"/>
      <c r="BM193" s="159"/>
      <c r="BN193" s="159"/>
      <c r="BO193" s="159"/>
      <c r="BP193" s="159"/>
      <c r="BQ193" s="159"/>
      <c r="BR193" s="159"/>
      <c r="BS193" s="159"/>
      <c r="BT193" s="159"/>
      <c r="BU193" s="159"/>
      <c r="BV193" s="159"/>
      <c r="BW193" s="159"/>
      <c r="BX193" s="159"/>
      <c r="BY193" s="159"/>
      <c r="BZ193" s="159"/>
      <c r="CA193" s="159"/>
      <c r="CB193" s="159"/>
      <c r="CC193" s="159"/>
      <c r="CD193" s="159"/>
      <c r="CE193" s="159"/>
      <c r="CF193" s="159"/>
      <c r="CG193" s="159"/>
      <c r="CH193" s="159"/>
      <c r="CI193" s="159"/>
      <c r="CJ193" s="159"/>
      <c r="CK193" s="159"/>
      <c r="CL193" s="159"/>
      <c r="CM193" s="159"/>
      <c r="CN193" s="159"/>
      <c r="CO193" s="159"/>
      <c r="CP193" s="159"/>
      <c r="CQ193" s="159"/>
      <c r="CR193" s="159"/>
      <c r="CS193" s="159"/>
      <c r="CT193" s="159"/>
      <c r="CU193" s="159"/>
      <c r="CV193" s="159"/>
      <c r="CW193" s="159"/>
      <c r="CX193" s="159"/>
      <c r="CY193" s="159"/>
      <c r="CZ193" s="159"/>
      <c r="DA193" s="159"/>
      <c r="DB193" s="159"/>
      <c r="DC193" s="159"/>
      <c r="DD193" s="159"/>
      <c r="DE193" s="159"/>
      <c r="DF193" s="159"/>
      <c r="DG193" s="159"/>
      <c r="DH193" s="159"/>
      <c r="DI193" s="159"/>
      <c r="DJ193" s="159"/>
      <c r="DK193" s="159"/>
      <c r="DL193" s="159"/>
      <c r="DM193" s="159"/>
      <c r="DN193" s="159"/>
      <c r="DO193" s="159"/>
      <c r="DP193" s="159"/>
      <c r="DQ193" s="159"/>
      <c r="DR193" s="159"/>
      <c r="DS193" s="159"/>
      <c r="DT193" s="159"/>
      <c r="DU193" s="159"/>
      <c r="DV193" s="159"/>
      <c r="DW193" s="159"/>
      <c r="DX193" s="159"/>
      <c r="DY193" s="159"/>
      <c r="DZ193" s="159"/>
      <c r="EA193" s="159"/>
      <c r="EB193" s="159"/>
      <c r="EC193" s="159"/>
      <c r="ED193" s="159"/>
      <c r="EE193" s="159"/>
      <c r="EF193" s="159"/>
      <c r="EG193" s="159"/>
      <c r="EH193" s="159"/>
      <c r="EI193" s="159"/>
      <c r="EJ193" s="159"/>
      <c r="EK193" s="159"/>
      <c r="EL193" s="159"/>
      <c r="EM193" s="159"/>
      <c r="EN193" s="159"/>
      <c r="EO193" s="159"/>
      <c r="EP193" s="159"/>
      <c r="EQ193" s="159"/>
      <c r="ER193" s="159"/>
      <c r="ES193" s="159"/>
      <c r="ET193" s="159"/>
      <c r="EU193" s="159"/>
      <c r="EV193" s="159"/>
      <c r="EW193" s="159"/>
      <c r="EX193" s="159"/>
      <c r="EY193" s="159"/>
      <c r="EZ193" s="159"/>
      <c r="FA193" s="159"/>
      <c r="FB193" s="159"/>
      <c r="FC193" s="159"/>
      <c r="FD193" s="159"/>
      <c r="FE193" s="159"/>
      <c r="FF193" s="159"/>
      <c r="FG193" s="159"/>
      <c r="FH193" s="159"/>
      <c r="FI193" s="159"/>
      <c r="FJ193" s="159"/>
      <c r="FK193" s="159"/>
      <c r="FL193" s="159"/>
      <c r="FM193" s="159"/>
      <c r="FN193" s="159"/>
      <c r="FO193" s="159"/>
      <c r="FP193" s="159"/>
      <c r="FQ193" s="159"/>
      <c r="FR193" s="159"/>
      <c r="FS193" s="159"/>
      <c r="FT193" s="159"/>
      <c r="FU193" s="159"/>
      <c r="FV193" s="159"/>
      <c r="FW193" s="159"/>
      <c r="FX193" s="159"/>
      <c r="FY193" s="159"/>
      <c r="FZ193" s="159"/>
      <c r="GA193" s="159"/>
      <c r="GB193" s="159"/>
      <c r="GC193" s="159"/>
      <c r="GD193" s="159"/>
      <c r="GE193" s="159"/>
      <c r="GF193" s="159"/>
      <c r="GG193" s="159"/>
      <c r="GH193" s="159"/>
      <c r="GI193" s="159"/>
      <c r="GJ193" s="159"/>
      <c r="GK193" s="159"/>
      <c r="GL193" s="159"/>
      <c r="GM193" s="159"/>
      <c r="GN193" s="159"/>
      <c r="GO193" s="159"/>
      <c r="GP193" s="159"/>
      <c r="GQ193" s="159"/>
      <c r="GR193" s="159"/>
      <c r="GS193" s="159"/>
      <c r="GT193" s="159"/>
      <c r="GU193" s="159"/>
      <c r="GV193" s="159"/>
      <c r="GW193" s="159"/>
      <c r="GX193" s="159"/>
      <c r="GY193" s="159"/>
      <c r="GZ193" s="159"/>
      <c r="HA193" s="159"/>
      <c r="HB193" s="159"/>
      <c r="HC193" s="159"/>
      <c r="HD193" s="159"/>
      <c r="HE193" s="159"/>
      <c r="HF193" s="159"/>
      <c r="HG193" s="159"/>
      <c r="HH193" s="159"/>
      <c r="HI193" s="159"/>
      <c r="HJ193" s="159"/>
      <c r="HK193" s="159"/>
      <c r="HL193" s="159"/>
      <c r="HM193" s="159"/>
      <c r="HN193" s="159"/>
      <c r="HO193" s="159"/>
      <c r="HP193" s="159"/>
      <c r="HQ193" s="159"/>
      <c r="HR193" s="159"/>
      <c r="HS193" s="159"/>
      <c r="HT193" s="159"/>
      <c r="HU193" s="159"/>
      <c r="HV193" s="159"/>
      <c r="HW193" s="159"/>
      <c r="HX193" s="159"/>
      <c r="HY193" s="159"/>
      <c r="HZ193" s="159"/>
      <c r="IA193" s="159"/>
      <c r="IB193" s="159"/>
      <c r="IC193" s="159"/>
      <c r="ID193" s="159"/>
      <c r="IE193" s="159"/>
      <c r="IF193" s="159"/>
      <c r="IG193" s="159"/>
      <c r="IH193" s="159"/>
      <c r="II193" s="159"/>
      <c r="IJ193" s="159"/>
      <c r="IK193" s="159"/>
      <c r="IL193" s="159"/>
      <c r="IM193" s="159"/>
      <c r="IN193" s="159"/>
      <c r="IO193" s="159"/>
      <c r="IP193" s="159"/>
      <c r="IQ193" s="159"/>
      <c r="IR193" s="159"/>
      <c r="IS193" s="159"/>
      <c r="IT193" s="159"/>
      <c r="IU193" s="159"/>
      <c r="IV193" s="159"/>
      <c r="IW193" s="159"/>
      <c r="IX193" s="159"/>
      <c r="IY193" s="159"/>
      <c r="IZ193" s="159"/>
      <c r="JA193" s="159"/>
      <c r="JB193" s="159"/>
      <c r="JC193" s="159"/>
      <c r="JD193" s="159"/>
      <c r="JE193" s="159"/>
      <c r="JF193" s="159"/>
      <c r="JG193" s="159"/>
      <c r="JH193" s="159"/>
      <c r="JI193" s="159"/>
      <c r="JJ193" s="159"/>
      <c r="JK193" s="159"/>
      <c r="JL193" s="159"/>
      <c r="JM193" s="159"/>
      <c r="JN193" s="159"/>
      <c r="JO193" s="159"/>
      <c r="JP193" s="159"/>
      <c r="JQ193" s="159"/>
      <c r="JR193" s="159"/>
      <c r="JS193" s="159"/>
      <c r="JT193" s="159"/>
      <c r="JU193" s="159"/>
      <c r="JV193" s="159"/>
      <c r="JW193" s="159"/>
      <c r="JX193" s="159"/>
      <c r="JY193" s="159"/>
      <c r="JZ193" s="159"/>
      <c r="KA193" s="159"/>
      <c r="KB193" s="159"/>
      <c r="KC193" s="159"/>
      <c r="KD193" s="159"/>
      <c r="KE193" s="159"/>
      <c r="KF193" s="159"/>
      <c r="KG193" s="159"/>
      <c r="KH193" s="159"/>
      <c r="KI193" s="159"/>
      <c r="KJ193" s="159"/>
      <c r="KK193" s="159"/>
      <c r="KL193" s="159"/>
      <c r="KM193" s="159"/>
      <c r="KN193" s="159"/>
      <c r="KO193" s="159"/>
      <c r="KP193" s="159"/>
      <c r="KQ193" s="159"/>
      <c r="KR193" s="159"/>
      <c r="KS193" s="159"/>
      <c r="KT193" s="159"/>
      <c r="KU193" s="159"/>
      <c r="KV193" s="159"/>
      <c r="KW193" s="159"/>
      <c r="KX193" s="159"/>
      <c r="KY193" s="159"/>
      <c r="KZ193" s="159"/>
      <c r="LA193" s="159"/>
      <c r="LB193" s="159"/>
      <c r="LC193" s="159"/>
      <c r="LD193" s="159"/>
      <c r="LE193" s="159"/>
      <c r="LF193" s="159"/>
      <c r="LG193" s="159"/>
      <c r="LH193" s="159"/>
      <c r="LI193" s="159"/>
      <c r="LJ193" s="159"/>
      <c r="LK193" s="159"/>
      <c r="LL193" s="159"/>
      <c r="LM193" s="159"/>
      <c r="LN193" s="159"/>
      <c r="LO193" s="159"/>
      <c r="LP193" s="159"/>
      <c r="LQ193" s="159"/>
      <c r="LR193" s="159"/>
      <c r="LS193" s="159"/>
      <c r="LT193" s="159"/>
      <c r="LU193" s="159"/>
      <c r="LV193" s="159"/>
      <c r="LW193" s="159"/>
      <c r="LX193" s="159"/>
      <c r="LY193" s="159"/>
      <c r="LZ193" s="159"/>
      <c r="MA193" s="159"/>
      <c r="MB193" s="159"/>
      <c r="MC193" s="159"/>
      <c r="MD193" s="159"/>
      <c r="ME193" s="159"/>
      <c r="MF193" s="159"/>
      <c r="MG193" s="159"/>
      <c r="MH193" s="159"/>
      <c r="MI193" s="159"/>
      <c r="MJ193" s="159"/>
      <c r="MK193" s="159"/>
      <c r="ML193" s="159"/>
      <c r="MM193" s="159"/>
      <c r="MN193" s="159"/>
      <c r="MO193" s="159"/>
      <c r="MP193" s="159"/>
      <c r="MQ193" s="159"/>
      <c r="MR193" s="159"/>
      <c r="MS193" s="159"/>
      <c r="MT193" s="159"/>
      <c r="MU193" s="159"/>
      <c r="MV193" s="159"/>
      <c r="MW193" s="159"/>
      <c r="MX193" s="159"/>
      <c r="MY193" s="159"/>
      <c r="MZ193" s="159"/>
      <c r="NA193" s="159"/>
      <c r="NB193" s="159"/>
      <c r="NC193" s="159"/>
      <c r="ND193" s="159"/>
      <c r="NE193" s="159"/>
      <c r="NF193" s="159"/>
      <c r="NG193" s="159"/>
      <c r="NH193" s="159"/>
      <c r="NI193" s="159"/>
      <c r="NJ193" s="159"/>
      <c r="NK193" s="159"/>
      <c r="NL193" s="159"/>
      <c r="NM193" s="159"/>
      <c r="NN193" s="159"/>
      <c r="NO193" s="159"/>
      <c r="NP193" s="159"/>
      <c r="NQ193" s="159"/>
      <c r="NR193" s="159"/>
      <c r="NS193" s="159"/>
      <c r="NT193" s="159"/>
      <c r="NU193" s="159"/>
      <c r="NV193" s="159"/>
      <c r="NW193" s="159"/>
      <c r="NX193" s="159"/>
      <c r="NY193" s="159"/>
      <c r="NZ193" s="159"/>
      <c r="OA193" s="159"/>
      <c r="OB193" s="159"/>
      <c r="OC193" s="159"/>
      <c r="OD193" s="159"/>
      <c r="OE193" s="159"/>
      <c r="OF193" s="159"/>
      <c r="OG193" s="159"/>
      <c r="OH193" s="159"/>
      <c r="OI193" s="159"/>
      <c r="OJ193" s="159"/>
      <c r="OK193" s="159"/>
      <c r="OL193" s="159"/>
      <c r="OM193" s="159"/>
      <c r="ON193" s="159"/>
      <c r="OO193" s="159"/>
      <c r="OP193" s="159"/>
      <c r="OQ193" s="159"/>
      <c r="OR193" s="159"/>
      <c r="OS193" s="159"/>
      <c r="OT193" s="159"/>
      <c r="OU193" s="159"/>
      <c r="OV193" s="159"/>
      <c r="OW193" s="159"/>
      <c r="OX193" s="159"/>
      <c r="OY193" s="159"/>
      <c r="OZ193" s="159"/>
      <c r="PA193" s="159"/>
      <c r="PB193" s="159"/>
      <c r="PC193" s="159"/>
      <c r="PD193" s="159"/>
      <c r="PE193" s="159"/>
      <c r="PF193" s="159"/>
      <c r="PG193" s="159"/>
      <c r="PH193" s="159"/>
      <c r="PI193" s="159"/>
      <c r="PJ193" s="159"/>
      <c r="PK193" s="159"/>
      <c r="PL193" s="159"/>
      <c r="PM193" s="159"/>
      <c r="PN193" s="159"/>
      <c r="PO193" s="159"/>
      <c r="PP193" s="159"/>
      <c r="PQ193" s="159"/>
      <c r="PR193" s="159"/>
      <c r="PS193" s="159"/>
      <c r="PT193" s="159"/>
      <c r="PU193" s="159"/>
      <c r="PV193" s="159"/>
      <c r="PW193" s="159"/>
      <c r="PX193" s="159"/>
      <c r="PY193" s="159"/>
      <c r="PZ193" s="159"/>
      <c r="QA193" s="159"/>
      <c r="QB193" s="159"/>
      <c r="QC193" s="159"/>
      <c r="QD193" s="159"/>
      <c r="QE193" s="159"/>
      <c r="QF193" s="159"/>
      <c r="QG193" s="159"/>
      <c r="QH193" s="159"/>
      <c r="QI193" s="159"/>
      <c r="QJ193" s="159"/>
      <c r="QK193" s="159"/>
      <c r="QL193" s="159"/>
      <c r="QM193" s="159"/>
      <c r="QN193" s="159"/>
      <c r="QO193" s="159"/>
      <c r="QP193" s="159"/>
      <c r="QQ193" s="159"/>
      <c r="QR193" s="159"/>
      <c r="QS193" s="159"/>
      <c r="QT193" s="159"/>
      <c r="QU193" s="159"/>
      <c r="QV193" s="159"/>
      <c r="QW193" s="159"/>
      <c r="QX193" s="159"/>
      <c r="QY193" s="159"/>
      <c r="QZ193" s="159"/>
      <c r="RA193" s="159"/>
      <c r="RB193" s="159"/>
      <c r="RC193" s="159"/>
      <c r="RD193" s="159"/>
      <c r="RE193" s="159"/>
      <c r="RF193" s="159"/>
      <c r="RG193" s="159"/>
      <c r="RH193" s="159"/>
      <c r="RI193" s="159"/>
      <c r="RJ193" s="159"/>
      <c r="RK193" s="159"/>
      <c r="RL193" s="159"/>
      <c r="RM193" s="159"/>
      <c r="RN193" s="159"/>
      <c r="RO193" s="159"/>
      <c r="RP193" s="159"/>
      <c r="RQ193" s="159"/>
      <c r="RR193" s="159"/>
      <c r="RS193" s="159"/>
      <c r="RT193" s="159"/>
      <c r="RU193" s="159"/>
      <c r="RV193" s="159"/>
      <c r="RW193" s="159"/>
      <c r="RX193" s="159"/>
      <c r="RY193" s="159"/>
      <c r="RZ193" s="159"/>
      <c r="SA193" s="159"/>
      <c r="SB193" s="159"/>
      <c r="SC193" s="159"/>
      <c r="SD193" s="159"/>
      <c r="SE193" s="159"/>
      <c r="SF193" s="159"/>
      <c r="SG193" s="159"/>
      <c r="SH193" s="159"/>
      <c r="SI193" s="159"/>
      <c r="SJ193" s="159"/>
      <c r="SK193" s="159"/>
      <c r="SL193" s="159"/>
      <c r="SM193" s="159"/>
      <c r="SN193" s="159"/>
      <c r="SO193" s="159"/>
      <c r="SP193" s="159"/>
      <c r="SQ193" s="159"/>
      <c r="SR193" s="159"/>
      <c r="SS193" s="159"/>
      <c r="ST193" s="159"/>
      <c r="SU193" s="159"/>
      <c r="SV193" s="159"/>
      <c r="SW193" s="159"/>
      <c r="SX193" s="159"/>
      <c r="SY193" s="159"/>
      <c r="SZ193" s="159"/>
      <c r="TA193" s="159"/>
      <c r="TB193" s="159"/>
      <c r="TC193" s="159"/>
      <c r="TD193" s="159"/>
      <c r="TE193" s="159"/>
      <c r="TF193" s="159"/>
      <c r="TG193" s="159"/>
      <c r="TH193" s="159"/>
      <c r="TI193" s="159"/>
      <c r="TJ193" s="159"/>
      <c r="TK193" s="159"/>
      <c r="TL193" s="159"/>
      <c r="TM193" s="159"/>
      <c r="TN193" s="159"/>
      <c r="TO193" s="159"/>
      <c r="TP193" s="159"/>
      <c r="TQ193" s="159"/>
      <c r="TR193" s="159"/>
      <c r="TS193" s="159"/>
      <c r="TT193" s="159"/>
      <c r="TU193" s="159"/>
      <c r="TV193" s="159"/>
      <c r="TW193" s="159"/>
      <c r="TX193" s="159"/>
      <c r="TY193" s="159"/>
      <c r="TZ193" s="159"/>
      <c r="UA193" s="159"/>
      <c r="UB193" s="159"/>
      <c r="UC193" s="159"/>
      <c r="UD193" s="159"/>
      <c r="UE193" s="159"/>
      <c r="UF193" s="159"/>
      <c r="UG193" s="159"/>
      <c r="UH193" s="159"/>
      <c r="UI193" s="159"/>
      <c r="UJ193" s="159"/>
      <c r="UK193" s="159"/>
      <c r="UL193" s="159"/>
      <c r="UM193" s="159"/>
      <c r="UN193" s="159"/>
      <c r="UO193" s="159"/>
      <c r="UP193" s="159"/>
      <c r="UQ193" s="159"/>
      <c r="UR193" s="159"/>
      <c r="US193" s="159"/>
      <c r="UT193" s="159"/>
      <c r="UU193" s="159"/>
      <c r="UV193" s="159"/>
      <c r="UW193" s="159"/>
      <c r="UX193" s="159"/>
      <c r="UY193" s="159"/>
      <c r="UZ193" s="159"/>
      <c r="VA193" s="159"/>
      <c r="VB193" s="159"/>
      <c r="VC193" s="159"/>
      <c r="VD193" s="159"/>
      <c r="VE193" s="159"/>
      <c r="VF193" s="159"/>
      <c r="VG193" s="159"/>
      <c r="VH193" s="159"/>
      <c r="VI193" s="159"/>
      <c r="VJ193" s="159"/>
      <c r="VK193" s="159"/>
      <c r="VL193" s="159"/>
      <c r="VM193" s="159"/>
      <c r="VN193" s="159"/>
      <c r="VO193" s="159"/>
      <c r="VP193" s="159"/>
      <c r="VQ193" s="159"/>
      <c r="VR193" s="159"/>
      <c r="VS193" s="159"/>
      <c r="VT193" s="159"/>
      <c r="VU193" s="159"/>
      <c r="VV193" s="159"/>
      <c r="VW193" s="159"/>
      <c r="VX193" s="159"/>
      <c r="VY193" s="159"/>
      <c r="VZ193" s="159"/>
      <c r="WA193" s="159"/>
      <c r="WB193" s="159"/>
      <c r="WC193" s="159"/>
      <c r="WD193" s="159"/>
      <c r="WE193" s="159"/>
      <c r="WF193" s="159"/>
      <c r="WG193" s="159"/>
      <c r="WH193" s="159"/>
      <c r="WI193" s="159"/>
      <c r="WJ193" s="159"/>
      <c r="WK193" s="159"/>
      <c r="WL193" s="159"/>
      <c r="WM193" s="159"/>
      <c r="WN193" s="159"/>
      <c r="WO193" s="159"/>
      <c r="WP193" s="159"/>
      <c r="WQ193" s="159"/>
      <c r="WR193" s="159"/>
      <c r="WS193" s="159"/>
      <c r="WT193" s="159"/>
      <c r="WU193" s="159"/>
      <c r="WV193" s="159"/>
      <c r="WW193" s="159"/>
      <c r="WX193" s="159"/>
      <c r="WY193" s="159"/>
      <c r="WZ193" s="159"/>
      <c r="XA193" s="159"/>
      <c r="XB193" s="159"/>
      <c r="XC193" s="159"/>
      <c r="XD193" s="159"/>
      <c r="XE193" s="159"/>
      <c r="XF193" s="159"/>
      <c r="XG193" s="159"/>
      <c r="XH193" s="159"/>
      <c r="XI193" s="159"/>
      <c r="XJ193" s="159"/>
      <c r="XK193" s="159"/>
      <c r="XL193" s="159"/>
      <c r="XM193" s="159"/>
      <c r="XN193" s="159"/>
      <c r="XO193" s="159"/>
      <c r="XP193" s="159"/>
      <c r="XQ193" s="159"/>
      <c r="XR193" s="159"/>
      <c r="XS193" s="159"/>
      <c r="XT193" s="159"/>
      <c r="XU193" s="159"/>
      <c r="XV193" s="159"/>
      <c r="XW193" s="159"/>
      <c r="XX193" s="159"/>
      <c r="XY193" s="159"/>
      <c r="XZ193" s="159"/>
      <c r="YA193" s="159"/>
      <c r="YB193" s="159"/>
      <c r="YC193" s="159"/>
      <c r="YD193" s="159"/>
      <c r="YE193" s="159"/>
      <c r="YF193" s="159"/>
      <c r="YG193" s="159"/>
      <c r="YH193" s="159"/>
      <c r="YI193" s="159"/>
      <c r="YJ193" s="159"/>
      <c r="YK193" s="159"/>
      <c r="YL193" s="159"/>
      <c r="YM193" s="159"/>
      <c r="YN193" s="159"/>
      <c r="YO193" s="159"/>
      <c r="YP193" s="159"/>
      <c r="YQ193" s="159"/>
      <c r="YR193" s="159"/>
      <c r="YS193" s="159"/>
      <c r="YT193" s="159"/>
      <c r="YU193" s="159"/>
      <c r="YV193" s="159"/>
      <c r="YW193" s="159"/>
      <c r="YX193" s="159"/>
      <c r="YY193" s="159"/>
      <c r="YZ193" s="159"/>
      <c r="ZA193" s="159"/>
      <c r="ZB193" s="159"/>
      <c r="ZC193" s="159"/>
      <c r="ZD193" s="159"/>
      <c r="ZE193" s="159"/>
      <c r="ZF193" s="159"/>
      <c r="ZG193" s="159"/>
      <c r="ZH193" s="159"/>
      <c r="ZI193" s="159"/>
      <c r="ZJ193" s="159"/>
      <c r="ZK193" s="159"/>
      <c r="ZL193" s="159"/>
      <c r="ZM193" s="159"/>
      <c r="ZN193" s="159"/>
      <c r="ZO193" s="159"/>
      <c r="ZP193" s="159"/>
      <c r="ZQ193" s="159"/>
      <c r="ZR193" s="159"/>
      <c r="ZS193" s="159"/>
      <c r="ZT193" s="159"/>
      <c r="ZU193" s="159"/>
      <c r="ZV193" s="159"/>
      <c r="ZW193" s="159"/>
      <c r="ZX193" s="159"/>
      <c r="ZY193" s="159"/>
      <c r="ZZ193" s="159"/>
      <c r="AAA193" s="159"/>
      <c r="AAB193" s="159"/>
      <c r="AAC193" s="159"/>
      <c r="AAD193" s="159"/>
      <c r="AAE193" s="159"/>
      <c r="AAF193" s="159"/>
      <c r="AAG193" s="159"/>
      <c r="AAH193" s="159"/>
      <c r="AAI193" s="159"/>
      <c r="AAJ193" s="159"/>
      <c r="AAK193" s="159"/>
      <c r="AAL193" s="159"/>
      <c r="AAM193" s="159"/>
      <c r="AAN193" s="159"/>
      <c r="AAO193" s="159"/>
      <c r="AAP193" s="159"/>
      <c r="AAQ193" s="159"/>
      <c r="AAR193" s="159"/>
      <c r="AAS193" s="159"/>
      <c r="AAT193" s="159"/>
      <c r="AAU193" s="159"/>
      <c r="AAV193" s="159"/>
      <c r="AAW193" s="159"/>
      <c r="AAX193" s="159"/>
      <c r="AAY193" s="159"/>
      <c r="AAZ193" s="159"/>
      <c r="ABA193" s="159"/>
      <c r="ABB193" s="159"/>
      <c r="ABC193" s="159"/>
      <c r="ABD193" s="159"/>
      <c r="ABE193" s="159"/>
      <c r="ABF193" s="159"/>
      <c r="ABG193" s="159"/>
      <c r="ABH193" s="159"/>
      <c r="ABI193" s="159"/>
      <c r="ABJ193" s="159"/>
      <c r="ABK193" s="159"/>
      <c r="ABL193" s="159"/>
      <c r="ABM193" s="159"/>
      <c r="ABN193" s="159"/>
      <c r="ABO193" s="159"/>
      <c r="ABP193" s="159"/>
      <c r="ABQ193" s="159"/>
      <c r="ABR193" s="159"/>
      <c r="ABS193" s="159"/>
      <c r="ABT193" s="159"/>
      <c r="ABU193" s="159"/>
      <c r="ABV193" s="159"/>
      <c r="ABW193" s="159"/>
      <c r="ABX193" s="159"/>
      <c r="ABY193" s="159"/>
      <c r="ABZ193" s="159"/>
      <c r="ACA193" s="159"/>
      <c r="ACB193" s="159"/>
      <c r="ACC193" s="159"/>
      <c r="ACD193" s="159"/>
      <c r="ACE193" s="159"/>
      <c r="ACF193" s="159"/>
      <c r="ACG193" s="159"/>
      <c r="ACH193" s="159"/>
      <c r="ACI193" s="159"/>
      <c r="ACJ193" s="159"/>
      <c r="ACK193" s="159"/>
      <c r="ACL193" s="159"/>
      <c r="ACM193" s="159"/>
      <c r="ACN193" s="159"/>
      <c r="ACO193" s="159"/>
      <c r="ACP193" s="159"/>
      <c r="ACQ193" s="159"/>
      <c r="ACR193" s="159"/>
      <c r="ACS193" s="159"/>
      <c r="ACT193" s="159"/>
      <c r="ACU193" s="159"/>
      <c r="ACV193" s="159"/>
      <c r="ACW193" s="159"/>
      <c r="ACX193" s="159"/>
      <c r="ACY193" s="159"/>
      <c r="ACZ193" s="159"/>
      <c r="ADA193" s="159"/>
      <c r="ADB193" s="159"/>
      <c r="ADC193" s="159"/>
      <c r="ADD193" s="159"/>
      <c r="ADE193" s="159"/>
      <c r="ADF193" s="159"/>
      <c r="ADG193" s="159"/>
      <c r="ADH193" s="159"/>
      <c r="ADI193" s="159"/>
      <c r="ADJ193" s="159"/>
      <c r="ADK193" s="159"/>
      <c r="ADL193" s="159"/>
      <c r="ADM193" s="159"/>
      <c r="ADN193" s="159"/>
      <c r="ADO193" s="159"/>
      <c r="ADP193" s="159"/>
      <c r="ADQ193" s="159"/>
      <c r="ADR193" s="159"/>
      <c r="ADS193" s="159"/>
      <c r="ADT193" s="159"/>
      <c r="ADU193" s="159"/>
      <c r="ADV193" s="159"/>
      <c r="ADW193" s="159"/>
      <c r="ADX193" s="159"/>
      <c r="ADY193" s="159"/>
      <c r="ADZ193" s="159"/>
      <c r="AEA193" s="159"/>
      <c r="AEB193" s="159"/>
      <c r="AEC193" s="159"/>
      <c r="AED193" s="159"/>
      <c r="AEE193" s="159"/>
      <c r="AEF193" s="159"/>
      <c r="AEG193" s="159"/>
      <c r="AEH193" s="159"/>
      <c r="AEI193" s="159"/>
      <c r="AEJ193" s="159"/>
      <c r="AEK193" s="159"/>
      <c r="AEL193" s="159"/>
      <c r="AEM193" s="159"/>
      <c r="AEN193" s="159"/>
      <c r="AEO193" s="159"/>
      <c r="AEP193" s="159"/>
      <c r="AEQ193" s="159"/>
      <c r="AER193" s="159"/>
      <c r="AES193" s="159"/>
      <c r="AET193" s="159"/>
      <c r="AEU193" s="159"/>
      <c r="AEV193" s="159"/>
      <c r="AEW193" s="159"/>
      <c r="AEX193" s="159"/>
      <c r="AEY193" s="159"/>
      <c r="AEZ193" s="159"/>
      <c r="AFA193" s="159"/>
      <c r="AFB193" s="159"/>
      <c r="AFC193" s="159"/>
      <c r="AFD193" s="159"/>
      <c r="AFE193" s="159"/>
      <c r="AFF193" s="159"/>
      <c r="AFG193" s="159"/>
      <c r="AFH193" s="159"/>
      <c r="AFI193" s="159"/>
      <c r="AFJ193" s="159"/>
      <c r="AFK193" s="159"/>
      <c r="AFL193" s="159"/>
      <c r="AFM193" s="159"/>
      <c r="AFN193" s="159"/>
      <c r="AFO193" s="159"/>
      <c r="AFP193" s="159"/>
      <c r="AFQ193" s="159"/>
      <c r="AFR193" s="159"/>
      <c r="AFS193" s="159"/>
      <c r="AFT193" s="159"/>
      <c r="AFU193" s="159"/>
      <c r="AFV193" s="159"/>
      <c r="AFW193" s="159"/>
      <c r="AFX193" s="159"/>
      <c r="AFY193" s="159"/>
      <c r="AFZ193" s="159"/>
      <c r="AGA193" s="159"/>
      <c r="AGB193" s="159"/>
      <c r="AGC193" s="159"/>
      <c r="AGD193" s="159"/>
      <c r="AGE193" s="159"/>
      <c r="AGF193" s="159"/>
      <c r="AGG193" s="159"/>
      <c r="AGH193" s="159"/>
      <c r="AGI193" s="159"/>
      <c r="AGJ193" s="159"/>
      <c r="AGK193" s="159"/>
      <c r="AGL193" s="159"/>
      <c r="AGM193" s="159"/>
      <c r="AGN193" s="159"/>
      <c r="AGO193" s="159"/>
      <c r="AGP193" s="159"/>
      <c r="AGQ193" s="159"/>
      <c r="AGR193" s="159"/>
      <c r="AGS193" s="159"/>
      <c r="AGT193" s="159"/>
      <c r="AGU193" s="159"/>
      <c r="AGV193" s="159"/>
      <c r="AGW193" s="159"/>
      <c r="AGX193" s="159"/>
      <c r="AGY193" s="159"/>
      <c r="AGZ193" s="159"/>
      <c r="AHA193" s="159"/>
      <c r="AHB193" s="159"/>
      <c r="AHC193" s="159"/>
      <c r="AHD193" s="159"/>
      <c r="AHE193" s="159"/>
      <c r="AHF193" s="159"/>
      <c r="AHG193" s="159"/>
      <c r="AHH193" s="159"/>
      <c r="AHI193" s="159"/>
      <c r="AHJ193" s="159"/>
      <c r="AHK193" s="159"/>
      <c r="AHL193" s="159"/>
      <c r="AHM193" s="159"/>
      <c r="AHN193" s="159"/>
      <c r="AHO193" s="159"/>
      <c r="AHP193" s="159"/>
      <c r="AHQ193" s="159"/>
      <c r="AHR193" s="159"/>
      <c r="AHS193" s="159"/>
      <c r="AHT193" s="159"/>
      <c r="AHU193" s="159"/>
      <c r="AHV193" s="159"/>
      <c r="AHW193" s="159"/>
      <c r="AHX193" s="159"/>
      <c r="AHY193" s="159"/>
      <c r="AHZ193" s="159"/>
      <c r="AIA193" s="159"/>
      <c r="AIB193" s="159"/>
      <c r="AIC193" s="159"/>
      <c r="AID193" s="159"/>
      <c r="AIE193" s="159"/>
      <c r="AIF193" s="159"/>
      <c r="AIG193" s="159"/>
      <c r="AIH193" s="159"/>
      <c r="AII193" s="159"/>
      <c r="AIJ193" s="159"/>
      <c r="AIK193" s="159"/>
      <c r="AIL193" s="159"/>
      <c r="AIM193" s="159"/>
      <c r="AIN193" s="159"/>
      <c r="AIO193" s="159"/>
      <c r="AIP193" s="159"/>
      <c r="AIQ193" s="159"/>
      <c r="AIR193" s="159"/>
      <c r="AIS193" s="159"/>
      <c r="AIT193" s="159"/>
      <c r="AIU193" s="159"/>
      <c r="AIV193" s="159"/>
      <c r="AIW193" s="159"/>
      <c r="AIX193" s="159"/>
      <c r="AIY193" s="159"/>
      <c r="AIZ193" s="159"/>
      <c r="AJA193" s="159"/>
      <c r="AJB193" s="159"/>
      <c r="AJC193" s="159"/>
      <c r="AJD193" s="159"/>
      <c r="AJE193" s="159"/>
      <c r="AJF193" s="159"/>
      <c r="AJG193" s="159"/>
      <c r="AJH193" s="159"/>
      <c r="AJI193" s="159"/>
      <c r="AJJ193" s="159"/>
      <c r="AJK193" s="159"/>
      <c r="AJL193" s="159"/>
      <c r="AJM193" s="159"/>
      <c r="AJN193" s="159"/>
      <c r="AJO193" s="159"/>
      <c r="AJP193" s="159"/>
      <c r="AJQ193" s="159"/>
      <c r="AJR193" s="159"/>
      <c r="AJS193" s="159"/>
      <c r="AJT193" s="159"/>
      <c r="AJU193" s="159"/>
      <c r="AJV193" s="159"/>
      <c r="AJW193" s="159"/>
      <c r="AJX193" s="159"/>
      <c r="AJY193" s="159"/>
      <c r="AJZ193" s="159"/>
      <c r="AKA193" s="159"/>
      <c r="AKB193" s="159"/>
      <c r="AKC193" s="159"/>
      <c r="AKD193" s="159"/>
      <c r="AKE193" s="159"/>
      <c r="AKF193" s="159"/>
      <c r="AKG193" s="159"/>
      <c r="AKH193" s="159"/>
      <c r="AKI193" s="159"/>
      <c r="AKJ193" s="159"/>
      <c r="AKK193" s="159"/>
      <c r="AKL193" s="159"/>
      <c r="AKM193" s="159"/>
      <c r="AKN193" s="159"/>
      <c r="AKO193" s="159"/>
      <c r="AKP193" s="159"/>
      <c r="AKQ193" s="159"/>
      <c r="AKR193" s="159"/>
      <c r="AKS193" s="159"/>
      <c r="AKT193" s="159"/>
      <c r="AKU193" s="159"/>
      <c r="AKV193" s="159"/>
      <c r="AKW193" s="159"/>
      <c r="AKX193" s="159"/>
      <c r="AKY193" s="159"/>
      <c r="AKZ193" s="159"/>
      <c r="ALA193" s="159"/>
      <c r="ALB193" s="159"/>
      <c r="ALC193" s="159"/>
      <c r="ALD193" s="159"/>
      <c r="ALE193" s="159"/>
      <c r="ALF193" s="159"/>
      <c r="ALG193" s="159"/>
      <c r="ALH193" s="159"/>
      <c r="ALI193" s="159"/>
      <c r="ALJ193" s="159"/>
      <c r="ALK193" s="159"/>
      <c r="ALL193" s="159"/>
      <c r="ALM193" s="159"/>
      <c r="ALN193" s="159"/>
      <c r="ALO193" s="159"/>
      <c r="ALP193" s="159"/>
      <c r="ALQ193" s="159"/>
      <c r="ALR193" s="159"/>
      <c r="ALS193" s="159"/>
      <c r="ALT193" s="159"/>
      <c r="ALU193" s="159"/>
      <c r="ALV193" s="159"/>
      <c r="ALW193" s="159"/>
      <c r="ALX193" s="159"/>
      <c r="ALY193" s="159"/>
      <c r="ALZ193" s="159"/>
      <c r="AMA193" s="159"/>
      <c r="AMB193" s="159"/>
      <c r="AMC193" s="159"/>
      <c r="AMD193" s="159"/>
      <c r="AME193" s="159"/>
      <c r="AMF193" s="159"/>
      <c r="AMG193" s="159"/>
      <c r="AMH193" s="159"/>
      <c r="AMI193" s="159"/>
      <c r="AMJ193" s="159"/>
      <c r="AMK193" s="159"/>
      <c r="AML193" s="159"/>
      <c r="AMM193" s="159"/>
      <c r="AMN193" s="159"/>
      <c r="AMO193" s="159"/>
    </row>
    <row r="194" spans="1:1029" s="161" customFormat="1" ht="39" customHeight="1" thickTop="1" x14ac:dyDescent="0.25">
      <c r="A194" s="170">
        <v>46293</v>
      </c>
      <c r="B194" s="100" t="s">
        <v>138</v>
      </c>
      <c r="C194" s="100" t="s">
        <v>38</v>
      </c>
      <c r="D194" s="171" t="s">
        <v>307</v>
      </c>
      <c r="E194" s="122" t="s">
        <v>101</v>
      </c>
      <c r="F194" s="123" t="s">
        <v>57</v>
      </c>
      <c r="G194" s="123" t="s">
        <v>21</v>
      </c>
      <c r="H194" s="143" t="b">
        <f t="shared" si="12"/>
        <v>0</v>
      </c>
      <c r="I194" s="122" t="s">
        <v>19</v>
      </c>
      <c r="J194" s="123" t="s">
        <v>38</v>
      </c>
      <c r="K194" s="123" t="s">
        <v>307</v>
      </c>
      <c r="L194" s="143">
        <f t="shared" si="13"/>
        <v>1</v>
      </c>
      <c r="M194" s="123" t="s">
        <v>14</v>
      </c>
      <c r="N194" s="123" t="s">
        <v>160</v>
      </c>
      <c r="O194" s="123" t="s">
        <v>27</v>
      </c>
      <c r="P194" s="143" t="b">
        <f t="shared" si="14"/>
        <v>0</v>
      </c>
      <c r="Q194" s="123" t="s">
        <v>101</v>
      </c>
      <c r="R194" s="100" t="s">
        <v>74</v>
      </c>
      <c r="S194" s="100" t="s">
        <v>21</v>
      </c>
      <c r="T194" s="143" t="b">
        <f t="shared" si="15"/>
        <v>0</v>
      </c>
      <c r="U194" s="159"/>
      <c r="V194" s="159"/>
      <c r="W194" s="159"/>
      <c r="X194" s="159"/>
      <c r="Y194" s="159"/>
      <c r="Z194" s="159"/>
      <c r="AA194" s="159"/>
      <c r="AB194" s="159"/>
      <c r="AC194" s="159"/>
      <c r="AD194" s="159"/>
      <c r="AE194" s="159"/>
      <c r="AF194" s="159"/>
      <c r="AG194" s="159"/>
      <c r="AH194" s="159"/>
      <c r="AI194" s="159"/>
      <c r="AJ194" s="159"/>
      <c r="AK194" s="159"/>
      <c r="AL194" s="159"/>
      <c r="AM194" s="159"/>
      <c r="AN194" s="159"/>
      <c r="AO194" s="159"/>
      <c r="AP194" s="159"/>
      <c r="AQ194" s="159"/>
      <c r="AR194" s="159"/>
      <c r="AS194" s="159"/>
      <c r="AT194" s="159"/>
      <c r="AU194" s="159"/>
      <c r="AV194" s="159"/>
      <c r="AW194" s="159"/>
      <c r="AX194" s="159"/>
      <c r="AY194" s="159"/>
      <c r="AZ194" s="159"/>
      <c r="BA194" s="159"/>
      <c r="BB194" s="159"/>
      <c r="BC194" s="159"/>
      <c r="BD194" s="159"/>
      <c r="BE194" s="159"/>
      <c r="BF194" s="159"/>
      <c r="BG194" s="159"/>
      <c r="BH194" s="159"/>
      <c r="BI194" s="159"/>
      <c r="BJ194" s="159"/>
      <c r="BK194" s="159"/>
      <c r="BL194" s="159"/>
      <c r="BM194" s="159"/>
      <c r="BN194" s="159"/>
      <c r="BO194" s="159"/>
      <c r="BP194" s="159"/>
      <c r="BQ194" s="159"/>
      <c r="BR194" s="159"/>
      <c r="BS194" s="159"/>
      <c r="BT194" s="159"/>
      <c r="BU194" s="159"/>
      <c r="BV194" s="159"/>
      <c r="BW194" s="159"/>
      <c r="BX194" s="159"/>
      <c r="BY194" s="159"/>
      <c r="BZ194" s="159"/>
      <c r="CA194" s="159"/>
      <c r="CB194" s="159"/>
      <c r="CC194" s="159"/>
      <c r="CD194" s="159"/>
      <c r="CE194" s="159"/>
      <c r="CF194" s="159"/>
      <c r="CG194" s="159"/>
      <c r="CH194" s="159"/>
      <c r="CI194" s="159"/>
      <c r="CJ194" s="159"/>
      <c r="CK194" s="159"/>
      <c r="CL194" s="159"/>
      <c r="CM194" s="159"/>
      <c r="CN194" s="159"/>
      <c r="CO194" s="159"/>
      <c r="CP194" s="159"/>
      <c r="CQ194" s="159"/>
      <c r="CR194" s="159"/>
      <c r="CS194" s="159"/>
      <c r="CT194" s="159"/>
      <c r="CU194" s="159"/>
      <c r="CV194" s="159"/>
      <c r="CW194" s="159"/>
      <c r="CX194" s="159"/>
      <c r="CY194" s="159"/>
      <c r="CZ194" s="159"/>
      <c r="DA194" s="159"/>
      <c r="DB194" s="159"/>
      <c r="DC194" s="159"/>
      <c r="DD194" s="159"/>
      <c r="DE194" s="159"/>
      <c r="DF194" s="159"/>
      <c r="DG194" s="159"/>
      <c r="DH194" s="159"/>
      <c r="DI194" s="159"/>
      <c r="DJ194" s="159"/>
      <c r="DK194" s="159"/>
      <c r="DL194" s="159"/>
      <c r="DM194" s="159"/>
      <c r="DN194" s="159"/>
      <c r="DO194" s="159"/>
      <c r="DP194" s="159"/>
      <c r="DQ194" s="159"/>
      <c r="DR194" s="159"/>
      <c r="DS194" s="159"/>
      <c r="DT194" s="159"/>
      <c r="DU194" s="159"/>
      <c r="DV194" s="159"/>
      <c r="DW194" s="159"/>
      <c r="DX194" s="159"/>
      <c r="DY194" s="159"/>
      <c r="DZ194" s="159"/>
      <c r="EA194" s="159"/>
      <c r="EB194" s="159"/>
      <c r="EC194" s="159"/>
      <c r="ED194" s="159"/>
      <c r="EE194" s="159"/>
      <c r="EF194" s="159"/>
      <c r="EG194" s="159"/>
      <c r="EH194" s="159"/>
      <c r="EI194" s="159"/>
      <c r="EJ194" s="159"/>
      <c r="EK194" s="159"/>
      <c r="EL194" s="159"/>
      <c r="EM194" s="159"/>
      <c r="EN194" s="159"/>
      <c r="EO194" s="159"/>
      <c r="EP194" s="159"/>
      <c r="EQ194" s="159"/>
      <c r="ER194" s="159"/>
      <c r="ES194" s="159"/>
      <c r="ET194" s="159"/>
      <c r="EU194" s="159"/>
      <c r="EV194" s="159"/>
      <c r="EW194" s="159"/>
      <c r="EX194" s="159"/>
      <c r="EY194" s="159"/>
      <c r="EZ194" s="159"/>
      <c r="FA194" s="159"/>
      <c r="FB194" s="159"/>
      <c r="FC194" s="159"/>
      <c r="FD194" s="159"/>
      <c r="FE194" s="159"/>
      <c r="FF194" s="159"/>
      <c r="FG194" s="159"/>
      <c r="FH194" s="159"/>
      <c r="FI194" s="159"/>
      <c r="FJ194" s="159"/>
      <c r="FK194" s="159"/>
      <c r="FL194" s="159"/>
      <c r="FM194" s="159"/>
      <c r="FN194" s="159"/>
      <c r="FO194" s="159"/>
      <c r="FP194" s="159"/>
      <c r="FQ194" s="159"/>
      <c r="FR194" s="159"/>
      <c r="FS194" s="159"/>
      <c r="FT194" s="159"/>
      <c r="FU194" s="159"/>
      <c r="FV194" s="159"/>
      <c r="FW194" s="159"/>
      <c r="FX194" s="159"/>
      <c r="FY194" s="159"/>
      <c r="FZ194" s="159"/>
      <c r="GA194" s="159"/>
      <c r="GB194" s="159"/>
      <c r="GC194" s="159"/>
      <c r="GD194" s="159"/>
      <c r="GE194" s="159"/>
      <c r="GF194" s="159"/>
      <c r="GG194" s="159"/>
      <c r="GH194" s="159"/>
      <c r="GI194" s="159"/>
      <c r="GJ194" s="159"/>
      <c r="GK194" s="159"/>
      <c r="GL194" s="159"/>
      <c r="GM194" s="159"/>
      <c r="GN194" s="159"/>
      <c r="GO194" s="159"/>
      <c r="GP194" s="159"/>
      <c r="GQ194" s="159"/>
      <c r="GR194" s="159"/>
      <c r="GS194" s="159"/>
      <c r="GT194" s="159"/>
      <c r="GU194" s="159"/>
      <c r="GV194" s="159"/>
      <c r="GW194" s="159"/>
      <c r="GX194" s="159"/>
      <c r="GY194" s="159"/>
      <c r="GZ194" s="159"/>
      <c r="HA194" s="159"/>
      <c r="HB194" s="159"/>
      <c r="HC194" s="159"/>
      <c r="HD194" s="159"/>
      <c r="HE194" s="159"/>
      <c r="HF194" s="159"/>
      <c r="HG194" s="159"/>
      <c r="HH194" s="159"/>
      <c r="HI194" s="159"/>
      <c r="HJ194" s="159"/>
      <c r="HK194" s="159"/>
      <c r="HL194" s="159"/>
      <c r="HM194" s="159"/>
      <c r="HN194" s="159"/>
      <c r="HO194" s="159"/>
      <c r="HP194" s="159"/>
      <c r="HQ194" s="159"/>
      <c r="HR194" s="159"/>
      <c r="HS194" s="159"/>
      <c r="HT194" s="159"/>
      <c r="HU194" s="159"/>
      <c r="HV194" s="159"/>
      <c r="HW194" s="159"/>
      <c r="HX194" s="159"/>
      <c r="HY194" s="159"/>
      <c r="HZ194" s="159"/>
      <c r="IA194" s="159"/>
      <c r="IB194" s="159"/>
      <c r="IC194" s="159"/>
      <c r="ID194" s="159"/>
      <c r="IE194" s="159"/>
      <c r="IF194" s="159"/>
      <c r="IG194" s="159"/>
      <c r="IH194" s="159"/>
      <c r="II194" s="159"/>
      <c r="IJ194" s="159"/>
      <c r="IK194" s="159"/>
      <c r="IL194" s="159"/>
      <c r="IM194" s="159"/>
      <c r="IN194" s="159"/>
      <c r="IO194" s="159"/>
      <c r="IP194" s="159"/>
      <c r="IQ194" s="159"/>
      <c r="IR194" s="159"/>
      <c r="IS194" s="159"/>
      <c r="IT194" s="159"/>
      <c r="IU194" s="159"/>
      <c r="IV194" s="159"/>
      <c r="IW194" s="159"/>
      <c r="IX194" s="159"/>
      <c r="IY194" s="159"/>
      <c r="IZ194" s="159"/>
      <c r="JA194" s="159"/>
      <c r="JB194" s="159"/>
      <c r="JC194" s="159"/>
      <c r="JD194" s="159"/>
      <c r="JE194" s="159"/>
      <c r="JF194" s="159"/>
      <c r="JG194" s="159"/>
      <c r="JH194" s="159"/>
      <c r="JI194" s="159"/>
      <c r="JJ194" s="159"/>
      <c r="JK194" s="159"/>
      <c r="JL194" s="159"/>
      <c r="JM194" s="159"/>
      <c r="JN194" s="159"/>
      <c r="JO194" s="159"/>
      <c r="JP194" s="159"/>
      <c r="JQ194" s="159"/>
      <c r="JR194" s="159"/>
      <c r="JS194" s="159"/>
      <c r="JT194" s="159"/>
      <c r="JU194" s="159"/>
      <c r="JV194" s="159"/>
      <c r="JW194" s="159"/>
      <c r="JX194" s="159"/>
      <c r="JY194" s="159"/>
      <c r="JZ194" s="159"/>
      <c r="KA194" s="159"/>
      <c r="KB194" s="159"/>
      <c r="KC194" s="159"/>
      <c r="KD194" s="159"/>
      <c r="KE194" s="159"/>
      <c r="KF194" s="159"/>
      <c r="KG194" s="159"/>
      <c r="KH194" s="159"/>
      <c r="KI194" s="159"/>
      <c r="KJ194" s="159"/>
      <c r="KK194" s="159"/>
      <c r="KL194" s="159"/>
      <c r="KM194" s="159"/>
      <c r="KN194" s="159"/>
      <c r="KO194" s="159"/>
      <c r="KP194" s="159"/>
      <c r="KQ194" s="159"/>
      <c r="KR194" s="159"/>
      <c r="KS194" s="159"/>
      <c r="KT194" s="159"/>
      <c r="KU194" s="159"/>
      <c r="KV194" s="159"/>
      <c r="KW194" s="159"/>
      <c r="KX194" s="159"/>
      <c r="KY194" s="159"/>
      <c r="KZ194" s="159"/>
      <c r="LA194" s="159"/>
      <c r="LB194" s="159"/>
      <c r="LC194" s="159"/>
      <c r="LD194" s="159"/>
      <c r="LE194" s="159"/>
      <c r="LF194" s="159"/>
      <c r="LG194" s="159"/>
      <c r="LH194" s="159"/>
      <c r="LI194" s="159"/>
      <c r="LJ194" s="159"/>
      <c r="LK194" s="159"/>
      <c r="LL194" s="159"/>
      <c r="LM194" s="159"/>
      <c r="LN194" s="159"/>
      <c r="LO194" s="159"/>
      <c r="LP194" s="159"/>
      <c r="LQ194" s="159"/>
      <c r="LR194" s="159"/>
      <c r="LS194" s="159"/>
      <c r="LT194" s="159"/>
      <c r="LU194" s="159"/>
      <c r="LV194" s="159"/>
      <c r="LW194" s="159"/>
      <c r="LX194" s="159"/>
      <c r="LY194" s="159"/>
      <c r="LZ194" s="159"/>
      <c r="MA194" s="159"/>
      <c r="MB194" s="159"/>
      <c r="MC194" s="159"/>
      <c r="MD194" s="159"/>
      <c r="ME194" s="159"/>
      <c r="MF194" s="159"/>
      <c r="MG194" s="159"/>
      <c r="MH194" s="159"/>
      <c r="MI194" s="159"/>
      <c r="MJ194" s="159"/>
      <c r="MK194" s="159"/>
      <c r="ML194" s="159"/>
      <c r="MM194" s="159"/>
      <c r="MN194" s="159"/>
      <c r="MO194" s="159"/>
      <c r="MP194" s="159"/>
      <c r="MQ194" s="159"/>
      <c r="MR194" s="159"/>
      <c r="MS194" s="159"/>
      <c r="MT194" s="159"/>
      <c r="MU194" s="159"/>
      <c r="MV194" s="159"/>
      <c r="MW194" s="159"/>
      <c r="MX194" s="159"/>
      <c r="MY194" s="159"/>
      <c r="MZ194" s="159"/>
      <c r="NA194" s="159"/>
      <c r="NB194" s="159"/>
      <c r="NC194" s="159"/>
      <c r="ND194" s="159"/>
      <c r="NE194" s="159"/>
      <c r="NF194" s="159"/>
      <c r="NG194" s="159"/>
      <c r="NH194" s="159"/>
      <c r="NI194" s="159"/>
      <c r="NJ194" s="159"/>
      <c r="NK194" s="159"/>
      <c r="NL194" s="159"/>
      <c r="NM194" s="159"/>
      <c r="NN194" s="159"/>
      <c r="NO194" s="159"/>
      <c r="NP194" s="159"/>
      <c r="NQ194" s="159"/>
      <c r="NR194" s="159"/>
      <c r="NS194" s="159"/>
      <c r="NT194" s="159"/>
      <c r="NU194" s="159"/>
      <c r="NV194" s="159"/>
      <c r="NW194" s="159"/>
      <c r="NX194" s="159"/>
      <c r="NY194" s="159"/>
      <c r="NZ194" s="159"/>
      <c r="OA194" s="159"/>
      <c r="OB194" s="159"/>
      <c r="OC194" s="159"/>
      <c r="OD194" s="159"/>
      <c r="OE194" s="159"/>
      <c r="OF194" s="159"/>
      <c r="OG194" s="159"/>
      <c r="OH194" s="159"/>
      <c r="OI194" s="159"/>
      <c r="OJ194" s="159"/>
      <c r="OK194" s="159"/>
      <c r="OL194" s="159"/>
      <c r="OM194" s="159"/>
      <c r="ON194" s="159"/>
      <c r="OO194" s="159"/>
      <c r="OP194" s="159"/>
      <c r="OQ194" s="159"/>
      <c r="OR194" s="159"/>
      <c r="OS194" s="159"/>
      <c r="OT194" s="159"/>
      <c r="OU194" s="159"/>
      <c r="OV194" s="159"/>
      <c r="OW194" s="159"/>
      <c r="OX194" s="159"/>
      <c r="OY194" s="159"/>
      <c r="OZ194" s="159"/>
      <c r="PA194" s="159"/>
      <c r="PB194" s="159"/>
      <c r="PC194" s="159"/>
      <c r="PD194" s="159"/>
      <c r="PE194" s="159"/>
      <c r="PF194" s="159"/>
      <c r="PG194" s="159"/>
      <c r="PH194" s="159"/>
      <c r="PI194" s="159"/>
      <c r="PJ194" s="159"/>
      <c r="PK194" s="159"/>
      <c r="PL194" s="159"/>
      <c r="PM194" s="159"/>
      <c r="PN194" s="159"/>
      <c r="PO194" s="159"/>
      <c r="PP194" s="159"/>
      <c r="PQ194" s="159"/>
      <c r="PR194" s="159"/>
      <c r="PS194" s="159"/>
      <c r="PT194" s="159"/>
      <c r="PU194" s="159"/>
      <c r="PV194" s="159"/>
      <c r="PW194" s="159"/>
      <c r="PX194" s="159"/>
      <c r="PY194" s="159"/>
      <c r="PZ194" s="159"/>
      <c r="QA194" s="159"/>
      <c r="QB194" s="159"/>
      <c r="QC194" s="159"/>
      <c r="QD194" s="159"/>
      <c r="QE194" s="159"/>
      <c r="QF194" s="159"/>
      <c r="QG194" s="159"/>
      <c r="QH194" s="159"/>
      <c r="QI194" s="159"/>
      <c r="QJ194" s="159"/>
      <c r="QK194" s="159"/>
      <c r="QL194" s="159"/>
      <c r="QM194" s="159"/>
      <c r="QN194" s="159"/>
      <c r="QO194" s="159"/>
      <c r="QP194" s="159"/>
      <c r="QQ194" s="159"/>
      <c r="QR194" s="159"/>
      <c r="QS194" s="159"/>
      <c r="QT194" s="159"/>
      <c r="QU194" s="159"/>
      <c r="QV194" s="159"/>
      <c r="QW194" s="159"/>
      <c r="QX194" s="159"/>
      <c r="QY194" s="159"/>
      <c r="QZ194" s="159"/>
      <c r="RA194" s="159"/>
      <c r="RB194" s="159"/>
      <c r="RC194" s="159"/>
      <c r="RD194" s="159"/>
      <c r="RE194" s="159"/>
      <c r="RF194" s="159"/>
      <c r="RG194" s="159"/>
      <c r="RH194" s="159"/>
      <c r="RI194" s="159"/>
      <c r="RJ194" s="159"/>
      <c r="RK194" s="159"/>
      <c r="RL194" s="159"/>
      <c r="RM194" s="159"/>
      <c r="RN194" s="159"/>
      <c r="RO194" s="159"/>
      <c r="RP194" s="159"/>
      <c r="RQ194" s="159"/>
      <c r="RR194" s="159"/>
      <c r="RS194" s="159"/>
      <c r="RT194" s="159"/>
      <c r="RU194" s="159"/>
      <c r="RV194" s="159"/>
      <c r="RW194" s="159"/>
      <c r="RX194" s="159"/>
      <c r="RY194" s="159"/>
      <c r="RZ194" s="159"/>
      <c r="SA194" s="159"/>
      <c r="SB194" s="159"/>
      <c r="SC194" s="159"/>
      <c r="SD194" s="159"/>
      <c r="SE194" s="159"/>
      <c r="SF194" s="159"/>
      <c r="SG194" s="159"/>
      <c r="SH194" s="159"/>
      <c r="SI194" s="159"/>
      <c r="SJ194" s="159"/>
      <c r="SK194" s="159"/>
      <c r="SL194" s="159"/>
      <c r="SM194" s="159"/>
      <c r="SN194" s="159"/>
      <c r="SO194" s="159"/>
      <c r="SP194" s="159"/>
      <c r="SQ194" s="159"/>
      <c r="SR194" s="159"/>
      <c r="SS194" s="159"/>
      <c r="ST194" s="159"/>
      <c r="SU194" s="159"/>
      <c r="SV194" s="159"/>
      <c r="SW194" s="159"/>
      <c r="SX194" s="159"/>
      <c r="SY194" s="159"/>
      <c r="SZ194" s="159"/>
      <c r="TA194" s="159"/>
      <c r="TB194" s="159"/>
      <c r="TC194" s="159"/>
      <c r="TD194" s="159"/>
      <c r="TE194" s="159"/>
      <c r="TF194" s="159"/>
      <c r="TG194" s="159"/>
      <c r="TH194" s="159"/>
      <c r="TI194" s="159"/>
      <c r="TJ194" s="159"/>
      <c r="TK194" s="159"/>
      <c r="TL194" s="159"/>
      <c r="TM194" s="159"/>
      <c r="TN194" s="159"/>
      <c r="TO194" s="159"/>
      <c r="TP194" s="159"/>
      <c r="TQ194" s="159"/>
      <c r="TR194" s="159"/>
      <c r="TS194" s="159"/>
      <c r="TT194" s="159"/>
      <c r="TU194" s="159"/>
      <c r="TV194" s="159"/>
      <c r="TW194" s="159"/>
      <c r="TX194" s="159"/>
      <c r="TY194" s="159"/>
      <c r="TZ194" s="159"/>
      <c r="UA194" s="159"/>
      <c r="UB194" s="159"/>
      <c r="UC194" s="159"/>
      <c r="UD194" s="159"/>
      <c r="UE194" s="159"/>
      <c r="UF194" s="159"/>
      <c r="UG194" s="159"/>
      <c r="UH194" s="159"/>
      <c r="UI194" s="159"/>
      <c r="UJ194" s="159"/>
      <c r="UK194" s="159"/>
      <c r="UL194" s="159"/>
      <c r="UM194" s="159"/>
      <c r="UN194" s="159"/>
      <c r="UO194" s="159"/>
      <c r="UP194" s="159"/>
      <c r="UQ194" s="159"/>
      <c r="UR194" s="159"/>
      <c r="US194" s="159"/>
      <c r="UT194" s="159"/>
      <c r="UU194" s="159"/>
      <c r="UV194" s="159"/>
      <c r="UW194" s="159"/>
      <c r="UX194" s="159"/>
      <c r="UY194" s="159"/>
      <c r="UZ194" s="159"/>
      <c r="VA194" s="159"/>
      <c r="VB194" s="159"/>
      <c r="VC194" s="159"/>
      <c r="VD194" s="159"/>
      <c r="VE194" s="159"/>
      <c r="VF194" s="159"/>
      <c r="VG194" s="159"/>
      <c r="VH194" s="159"/>
      <c r="VI194" s="159"/>
      <c r="VJ194" s="159"/>
      <c r="VK194" s="159"/>
      <c r="VL194" s="159"/>
      <c r="VM194" s="159"/>
      <c r="VN194" s="159"/>
      <c r="VO194" s="159"/>
      <c r="VP194" s="159"/>
      <c r="VQ194" s="159"/>
      <c r="VR194" s="159"/>
      <c r="VS194" s="159"/>
      <c r="VT194" s="159"/>
      <c r="VU194" s="159"/>
      <c r="VV194" s="159"/>
      <c r="VW194" s="159"/>
      <c r="VX194" s="159"/>
      <c r="VY194" s="159"/>
      <c r="VZ194" s="159"/>
      <c r="WA194" s="159"/>
      <c r="WB194" s="159"/>
      <c r="WC194" s="159"/>
      <c r="WD194" s="159"/>
      <c r="WE194" s="159"/>
      <c r="WF194" s="159"/>
      <c r="WG194" s="159"/>
      <c r="WH194" s="159"/>
      <c r="WI194" s="159"/>
      <c r="WJ194" s="159"/>
      <c r="WK194" s="159"/>
      <c r="WL194" s="159"/>
      <c r="WM194" s="159"/>
      <c r="WN194" s="159"/>
      <c r="WO194" s="159"/>
      <c r="WP194" s="159"/>
      <c r="WQ194" s="159"/>
      <c r="WR194" s="159"/>
      <c r="WS194" s="159"/>
      <c r="WT194" s="159"/>
      <c r="WU194" s="159"/>
      <c r="WV194" s="159"/>
      <c r="WW194" s="159"/>
      <c r="WX194" s="159"/>
      <c r="WY194" s="159"/>
      <c r="WZ194" s="159"/>
      <c r="XA194" s="159"/>
      <c r="XB194" s="159"/>
      <c r="XC194" s="159"/>
      <c r="XD194" s="159"/>
      <c r="XE194" s="159"/>
      <c r="XF194" s="159"/>
      <c r="XG194" s="159"/>
      <c r="XH194" s="159"/>
      <c r="XI194" s="159"/>
      <c r="XJ194" s="159"/>
      <c r="XK194" s="159"/>
      <c r="XL194" s="159"/>
      <c r="XM194" s="159"/>
      <c r="XN194" s="159"/>
      <c r="XO194" s="159"/>
      <c r="XP194" s="159"/>
      <c r="XQ194" s="159"/>
      <c r="XR194" s="159"/>
      <c r="XS194" s="159"/>
      <c r="XT194" s="159"/>
      <c r="XU194" s="159"/>
      <c r="XV194" s="159"/>
      <c r="XW194" s="159"/>
      <c r="XX194" s="159"/>
      <c r="XY194" s="159"/>
      <c r="XZ194" s="159"/>
      <c r="YA194" s="159"/>
      <c r="YB194" s="159"/>
      <c r="YC194" s="159"/>
      <c r="YD194" s="159"/>
      <c r="YE194" s="159"/>
      <c r="YF194" s="159"/>
      <c r="YG194" s="159"/>
      <c r="YH194" s="159"/>
      <c r="YI194" s="159"/>
      <c r="YJ194" s="159"/>
      <c r="YK194" s="159"/>
      <c r="YL194" s="159"/>
      <c r="YM194" s="159"/>
      <c r="YN194" s="159"/>
      <c r="YO194" s="159"/>
      <c r="YP194" s="159"/>
      <c r="YQ194" s="159"/>
      <c r="YR194" s="159"/>
      <c r="YS194" s="159"/>
      <c r="YT194" s="159"/>
      <c r="YU194" s="159"/>
      <c r="YV194" s="159"/>
      <c r="YW194" s="159"/>
      <c r="YX194" s="159"/>
      <c r="YY194" s="159"/>
      <c r="YZ194" s="159"/>
      <c r="ZA194" s="159"/>
      <c r="ZB194" s="159"/>
      <c r="ZC194" s="159"/>
      <c r="ZD194" s="159"/>
      <c r="ZE194" s="159"/>
      <c r="ZF194" s="159"/>
      <c r="ZG194" s="159"/>
      <c r="ZH194" s="159"/>
      <c r="ZI194" s="159"/>
      <c r="ZJ194" s="159"/>
      <c r="ZK194" s="159"/>
      <c r="ZL194" s="159"/>
      <c r="ZM194" s="159"/>
      <c r="ZN194" s="159"/>
      <c r="ZO194" s="159"/>
      <c r="ZP194" s="159"/>
      <c r="ZQ194" s="159"/>
      <c r="ZR194" s="159"/>
      <c r="ZS194" s="159"/>
      <c r="ZT194" s="159"/>
      <c r="ZU194" s="159"/>
      <c r="ZV194" s="159"/>
      <c r="ZW194" s="159"/>
      <c r="ZX194" s="159"/>
      <c r="ZY194" s="159"/>
      <c r="ZZ194" s="159"/>
      <c r="AAA194" s="159"/>
      <c r="AAB194" s="159"/>
      <c r="AAC194" s="159"/>
      <c r="AAD194" s="159"/>
      <c r="AAE194" s="159"/>
      <c r="AAF194" s="159"/>
      <c r="AAG194" s="159"/>
      <c r="AAH194" s="159"/>
      <c r="AAI194" s="159"/>
      <c r="AAJ194" s="159"/>
      <c r="AAK194" s="159"/>
      <c r="AAL194" s="159"/>
      <c r="AAM194" s="159"/>
      <c r="AAN194" s="159"/>
      <c r="AAO194" s="159"/>
      <c r="AAP194" s="159"/>
      <c r="AAQ194" s="159"/>
      <c r="AAR194" s="159"/>
      <c r="AAS194" s="159"/>
      <c r="AAT194" s="159"/>
      <c r="AAU194" s="159"/>
      <c r="AAV194" s="159"/>
      <c r="AAW194" s="159"/>
      <c r="AAX194" s="159"/>
      <c r="AAY194" s="159"/>
      <c r="AAZ194" s="159"/>
      <c r="ABA194" s="159"/>
      <c r="ABB194" s="159"/>
      <c r="ABC194" s="159"/>
      <c r="ABD194" s="159"/>
      <c r="ABE194" s="159"/>
      <c r="ABF194" s="159"/>
      <c r="ABG194" s="159"/>
      <c r="ABH194" s="159"/>
      <c r="ABI194" s="159"/>
      <c r="ABJ194" s="159"/>
      <c r="ABK194" s="159"/>
      <c r="ABL194" s="159"/>
      <c r="ABM194" s="159"/>
      <c r="ABN194" s="159"/>
      <c r="ABO194" s="159"/>
      <c r="ABP194" s="159"/>
      <c r="ABQ194" s="159"/>
      <c r="ABR194" s="159"/>
      <c r="ABS194" s="159"/>
      <c r="ABT194" s="159"/>
      <c r="ABU194" s="159"/>
      <c r="ABV194" s="159"/>
      <c r="ABW194" s="159"/>
      <c r="ABX194" s="159"/>
      <c r="ABY194" s="159"/>
      <c r="ABZ194" s="159"/>
      <c r="ACA194" s="159"/>
      <c r="ACB194" s="159"/>
      <c r="ACC194" s="159"/>
      <c r="ACD194" s="159"/>
      <c r="ACE194" s="159"/>
      <c r="ACF194" s="159"/>
      <c r="ACG194" s="159"/>
      <c r="ACH194" s="159"/>
      <c r="ACI194" s="159"/>
      <c r="ACJ194" s="159"/>
      <c r="ACK194" s="159"/>
      <c r="ACL194" s="159"/>
      <c r="ACM194" s="159"/>
      <c r="ACN194" s="159"/>
      <c r="ACO194" s="159"/>
      <c r="ACP194" s="159"/>
      <c r="ACQ194" s="159"/>
      <c r="ACR194" s="159"/>
      <c r="ACS194" s="159"/>
      <c r="ACT194" s="159"/>
      <c r="ACU194" s="159"/>
      <c r="ACV194" s="159"/>
      <c r="ACW194" s="159"/>
      <c r="ACX194" s="159"/>
      <c r="ACY194" s="159"/>
      <c r="ACZ194" s="159"/>
      <c r="ADA194" s="159"/>
      <c r="ADB194" s="159"/>
      <c r="ADC194" s="159"/>
      <c r="ADD194" s="159"/>
      <c r="ADE194" s="159"/>
      <c r="ADF194" s="159"/>
      <c r="ADG194" s="159"/>
      <c r="ADH194" s="159"/>
      <c r="ADI194" s="159"/>
      <c r="ADJ194" s="159"/>
      <c r="ADK194" s="159"/>
      <c r="ADL194" s="159"/>
      <c r="ADM194" s="159"/>
      <c r="ADN194" s="159"/>
      <c r="ADO194" s="159"/>
      <c r="ADP194" s="159"/>
      <c r="ADQ194" s="159"/>
      <c r="ADR194" s="159"/>
      <c r="ADS194" s="159"/>
      <c r="ADT194" s="159"/>
      <c r="ADU194" s="159"/>
      <c r="ADV194" s="159"/>
      <c r="ADW194" s="159"/>
      <c r="ADX194" s="159"/>
      <c r="ADY194" s="159"/>
      <c r="ADZ194" s="159"/>
      <c r="AEA194" s="159"/>
      <c r="AEB194" s="159"/>
      <c r="AEC194" s="159"/>
      <c r="AED194" s="159"/>
      <c r="AEE194" s="159"/>
      <c r="AEF194" s="159"/>
      <c r="AEG194" s="159"/>
      <c r="AEH194" s="159"/>
      <c r="AEI194" s="159"/>
      <c r="AEJ194" s="159"/>
      <c r="AEK194" s="159"/>
      <c r="AEL194" s="159"/>
      <c r="AEM194" s="159"/>
      <c r="AEN194" s="159"/>
      <c r="AEO194" s="159"/>
      <c r="AEP194" s="159"/>
      <c r="AEQ194" s="159"/>
      <c r="AER194" s="159"/>
      <c r="AES194" s="159"/>
      <c r="AET194" s="159"/>
      <c r="AEU194" s="159"/>
      <c r="AEV194" s="159"/>
      <c r="AEW194" s="159"/>
      <c r="AEX194" s="159"/>
      <c r="AEY194" s="159"/>
      <c r="AEZ194" s="159"/>
      <c r="AFA194" s="159"/>
      <c r="AFB194" s="159"/>
      <c r="AFC194" s="159"/>
      <c r="AFD194" s="159"/>
      <c r="AFE194" s="159"/>
      <c r="AFF194" s="159"/>
      <c r="AFG194" s="159"/>
      <c r="AFH194" s="159"/>
      <c r="AFI194" s="159"/>
      <c r="AFJ194" s="159"/>
      <c r="AFK194" s="159"/>
      <c r="AFL194" s="159"/>
      <c r="AFM194" s="159"/>
      <c r="AFN194" s="159"/>
      <c r="AFO194" s="159"/>
      <c r="AFP194" s="159"/>
      <c r="AFQ194" s="159"/>
      <c r="AFR194" s="159"/>
      <c r="AFS194" s="159"/>
      <c r="AFT194" s="159"/>
      <c r="AFU194" s="159"/>
      <c r="AFV194" s="159"/>
      <c r="AFW194" s="159"/>
      <c r="AFX194" s="159"/>
      <c r="AFY194" s="159"/>
      <c r="AFZ194" s="159"/>
      <c r="AGA194" s="159"/>
      <c r="AGB194" s="159"/>
      <c r="AGC194" s="159"/>
      <c r="AGD194" s="159"/>
      <c r="AGE194" s="159"/>
      <c r="AGF194" s="159"/>
      <c r="AGG194" s="159"/>
      <c r="AGH194" s="159"/>
      <c r="AGI194" s="159"/>
      <c r="AGJ194" s="159"/>
      <c r="AGK194" s="159"/>
      <c r="AGL194" s="159"/>
      <c r="AGM194" s="159"/>
      <c r="AGN194" s="159"/>
      <c r="AGO194" s="159"/>
      <c r="AGP194" s="159"/>
      <c r="AGQ194" s="159"/>
      <c r="AGR194" s="159"/>
      <c r="AGS194" s="159"/>
      <c r="AGT194" s="159"/>
      <c r="AGU194" s="159"/>
      <c r="AGV194" s="159"/>
      <c r="AGW194" s="159"/>
      <c r="AGX194" s="159"/>
      <c r="AGY194" s="159"/>
      <c r="AGZ194" s="159"/>
      <c r="AHA194" s="159"/>
      <c r="AHB194" s="159"/>
      <c r="AHC194" s="159"/>
      <c r="AHD194" s="159"/>
      <c r="AHE194" s="159"/>
      <c r="AHF194" s="159"/>
      <c r="AHG194" s="159"/>
      <c r="AHH194" s="159"/>
      <c r="AHI194" s="159"/>
      <c r="AHJ194" s="159"/>
      <c r="AHK194" s="159"/>
      <c r="AHL194" s="159"/>
      <c r="AHM194" s="159"/>
      <c r="AHN194" s="159"/>
      <c r="AHO194" s="159"/>
      <c r="AHP194" s="159"/>
      <c r="AHQ194" s="159"/>
      <c r="AHR194" s="159"/>
      <c r="AHS194" s="159"/>
      <c r="AHT194" s="159"/>
      <c r="AHU194" s="159"/>
      <c r="AHV194" s="159"/>
      <c r="AHW194" s="159"/>
      <c r="AHX194" s="159"/>
      <c r="AHY194" s="159"/>
      <c r="AHZ194" s="159"/>
      <c r="AIA194" s="159"/>
      <c r="AIB194" s="159"/>
      <c r="AIC194" s="159"/>
      <c r="AID194" s="159"/>
      <c r="AIE194" s="159"/>
      <c r="AIF194" s="159"/>
      <c r="AIG194" s="159"/>
      <c r="AIH194" s="159"/>
      <c r="AII194" s="159"/>
      <c r="AIJ194" s="159"/>
      <c r="AIK194" s="159"/>
      <c r="AIL194" s="159"/>
      <c r="AIM194" s="159"/>
      <c r="AIN194" s="159"/>
      <c r="AIO194" s="159"/>
      <c r="AIP194" s="159"/>
      <c r="AIQ194" s="159"/>
      <c r="AIR194" s="159"/>
      <c r="AIS194" s="159"/>
      <c r="AIT194" s="159"/>
      <c r="AIU194" s="159"/>
      <c r="AIV194" s="159"/>
      <c r="AIW194" s="159"/>
      <c r="AIX194" s="159"/>
      <c r="AIY194" s="159"/>
      <c r="AIZ194" s="159"/>
      <c r="AJA194" s="159"/>
      <c r="AJB194" s="159"/>
      <c r="AJC194" s="159"/>
      <c r="AJD194" s="159"/>
      <c r="AJE194" s="159"/>
      <c r="AJF194" s="159"/>
      <c r="AJG194" s="159"/>
      <c r="AJH194" s="159"/>
      <c r="AJI194" s="159"/>
      <c r="AJJ194" s="159"/>
      <c r="AJK194" s="159"/>
      <c r="AJL194" s="159"/>
      <c r="AJM194" s="159"/>
      <c r="AJN194" s="159"/>
      <c r="AJO194" s="159"/>
      <c r="AJP194" s="159"/>
      <c r="AJQ194" s="159"/>
      <c r="AJR194" s="159"/>
      <c r="AJS194" s="159"/>
      <c r="AJT194" s="159"/>
      <c r="AJU194" s="159"/>
      <c r="AJV194" s="159"/>
      <c r="AJW194" s="159"/>
      <c r="AJX194" s="159"/>
      <c r="AJY194" s="159"/>
      <c r="AJZ194" s="159"/>
      <c r="AKA194" s="159"/>
      <c r="AKB194" s="159"/>
      <c r="AKC194" s="159"/>
      <c r="AKD194" s="159"/>
      <c r="AKE194" s="159"/>
      <c r="AKF194" s="159"/>
      <c r="AKG194" s="159"/>
      <c r="AKH194" s="159"/>
      <c r="AKI194" s="159"/>
      <c r="AKJ194" s="159"/>
      <c r="AKK194" s="159"/>
      <c r="AKL194" s="159"/>
      <c r="AKM194" s="159"/>
      <c r="AKN194" s="159"/>
      <c r="AKO194" s="159"/>
      <c r="AKP194" s="159"/>
      <c r="AKQ194" s="159"/>
      <c r="AKR194" s="159"/>
      <c r="AKS194" s="159"/>
      <c r="AKT194" s="159"/>
      <c r="AKU194" s="159"/>
      <c r="AKV194" s="159"/>
      <c r="AKW194" s="159"/>
      <c r="AKX194" s="159"/>
      <c r="AKY194" s="159"/>
      <c r="AKZ194" s="159"/>
      <c r="ALA194" s="159"/>
      <c r="ALB194" s="159"/>
      <c r="ALC194" s="159"/>
      <c r="ALD194" s="159"/>
      <c r="ALE194" s="159"/>
      <c r="ALF194" s="159"/>
      <c r="ALG194" s="159"/>
      <c r="ALH194" s="159"/>
      <c r="ALI194" s="159"/>
      <c r="ALJ194" s="159"/>
      <c r="ALK194" s="159"/>
      <c r="ALL194" s="159"/>
      <c r="ALM194" s="159"/>
      <c r="ALN194" s="159"/>
      <c r="ALO194" s="159"/>
      <c r="ALP194" s="159"/>
      <c r="ALQ194" s="159"/>
      <c r="ALR194" s="159"/>
      <c r="ALS194" s="159"/>
      <c r="ALT194" s="159"/>
      <c r="ALU194" s="159"/>
      <c r="ALV194" s="159"/>
      <c r="ALW194" s="159"/>
      <c r="ALX194" s="159"/>
      <c r="ALY194" s="159"/>
      <c r="ALZ194" s="159"/>
      <c r="AMA194" s="159"/>
      <c r="AMB194" s="159"/>
      <c r="AMC194" s="159"/>
      <c r="AMD194" s="159"/>
      <c r="AME194" s="159"/>
      <c r="AMF194" s="159"/>
      <c r="AMG194" s="159"/>
      <c r="AMH194" s="159"/>
      <c r="AMI194" s="159"/>
      <c r="AMJ194" s="159"/>
      <c r="AMK194" s="159"/>
      <c r="AML194" s="159"/>
      <c r="AMM194" s="159"/>
      <c r="AMN194" s="159"/>
      <c r="AMO194" s="159"/>
    </row>
    <row r="195" spans="1:1029" s="161" customFormat="1" ht="25.5" x14ac:dyDescent="0.25">
      <c r="A195" s="138">
        <v>46294</v>
      </c>
      <c r="B195" s="99" t="s">
        <v>14</v>
      </c>
      <c r="C195" s="99" t="s">
        <v>195</v>
      </c>
      <c r="D195" s="160" t="s">
        <v>21</v>
      </c>
      <c r="E195" s="118" t="s">
        <v>42</v>
      </c>
      <c r="F195" s="149" t="s">
        <v>130</v>
      </c>
      <c r="G195" s="149" t="s">
        <v>168</v>
      </c>
      <c r="H195" s="141" t="b">
        <f t="shared" si="12"/>
        <v>0</v>
      </c>
      <c r="I195" s="120" t="s">
        <v>42</v>
      </c>
      <c r="J195" s="121" t="s">
        <v>117</v>
      </c>
      <c r="K195" s="121" t="s">
        <v>21</v>
      </c>
      <c r="L195" s="141">
        <f t="shared" si="13"/>
        <v>0.5</v>
      </c>
      <c r="M195" s="121" t="s">
        <v>19</v>
      </c>
      <c r="N195" s="121" t="s">
        <v>82</v>
      </c>
      <c r="O195" s="121" t="s">
        <v>13</v>
      </c>
      <c r="P195" s="141" t="b">
        <f t="shared" si="14"/>
        <v>0</v>
      </c>
      <c r="Q195" s="149" t="s">
        <v>8</v>
      </c>
      <c r="R195" s="99" t="s">
        <v>82</v>
      </c>
      <c r="S195" s="99" t="s">
        <v>168</v>
      </c>
      <c r="T195" s="141" t="b">
        <f t="shared" si="15"/>
        <v>0</v>
      </c>
      <c r="U195" s="159"/>
      <c r="V195" s="159"/>
      <c r="W195" s="159"/>
      <c r="X195" s="159"/>
      <c r="Y195" s="159"/>
      <c r="Z195" s="159"/>
      <c r="AA195" s="159"/>
      <c r="AB195" s="159"/>
      <c r="AC195" s="159"/>
      <c r="AD195" s="159"/>
      <c r="AE195" s="159"/>
      <c r="AF195" s="159"/>
      <c r="AG195" s="159"/>
      <c r="AH195" s="159"/>
      <c r="AI195" s="159"/>
      <c r="AJ195" s="159"/>
      <c r="AK195" s="159"/>
      <c r="AL195" s="159"/>
      <c r="AM195" s="159"/>
      <c r="AN195" s="159"/>
      <c r="AO195" s="159"/>
      <c r="AP195" s="159"/>
      <c r="AQ195" s="159"/>
      <c r="AR195" s="159"/>
      <c r="AS195" s="159"/>
      <c r="AT195" s="159"/>
      <c r="AU195" s="159"/>
      <c r="AV195" s="159"/>
      <c r="AW195" s="159"/>
      <c r="AX195" s="159"/>
      <c r="AY195" s="159"/>
      <c r="AZ195" s="159"/>
      <c r="BA195" s="159"/>
      <c r="BB195" s="159"/>
      <c r="BC195" s="159"/>
      <c r="BD195" s="159"/>
      <c r="BE195" s="159"/>
      <c r="BF195" s="159"/>
      <c r="BG195" s="159"/>
      <c r="BH195" s="159"/>
      <c r="BI195" s="159"/>
      <c r="BJ195" s="159"/>
      <c r="BK195" s="159"/>
      <c r="BL195" s="159"/>
      <c r="BM195" s="159"/>
      <c r="BN195" s="159"/>
      <c r="BO195" s="159"/>
      <c r="BP195" s="159"/>
      <c r="BQ195" s="159"/>
      <c r="BR195" s="159"/>
      <c r="BS195" s="159"/>
      <c r="BT195" s="159"/>
      <c r="BU195" s="159"/>
      <c r="BV195" s="159"/>
      <c r="BW195" s="159"/>
      <c r="BX195" s="159"/>
      <c r="BY195" s="159"/>
      <c r="BZ195" s="159"/>
      <c r="CA195" s="159"/>
      <c r="CB195" s="159"/>
      <c r="CC195" s="159"/>
      <c r="CD195" s="159"/>
      <c r="CE195" s="159"/>
      <c r="CF195" s="159"/>
      <c r="CG195" s="159"/>
      <c r="CH195" s="159"/>
      <c r="CI195" s="159"/>
      <c r="CJ195" s="159"/>
      <c r="CK195" s="159"/>
      <c r="CL195" s="159"/>
      <c r="CM195" s="159"/>
      <c r="CN195" s="159"/>
      <c r="CO195" s="159"/>
      <c r="CP195" s="159"/>
      <c r="CQ195" s="159"/>
      <c r="CR195" s="159"/>
      <c r="CS195" s="159"/>
      <c r="CT195" s="159"/>
      <c r="CU195" s="159"/>
      <c r="CV195" s="159"/>
      <c r="CW195" s="159"/>
      <c r="CX195" s="159"/>
      <c r="CY195" s="159"/>
      <c r="CZ195" s="159"/>
      <c r="DA195" s="159"/>
      <c r="DB195" s="159"/>
      <c r="DC195" s="159"/>
      <c r="DD195" s="159"/>
      <c r="DE195" s="159"/>
      <c r="DF195" s="159"/>
      <c r="DG195" s="159"/>
      <c r="DH195" s="159"/>
      <c r="DI195" s="159"/>
      <c r="DJ195" s="159"/>
      <c r="DK195" s="159"/>
      <c r="DL195" s="159"/>
      <c r="DM195" s="159"/>
      <c r="DN195" s="159"/>
      <c r="DO195" s="159"/>
      <c r="DP195" s="159"/>
      <c r="DQ195" s="159"/>
      <c r="DR195" s="159"/>
      <c r="DS195" s="159"/>
      <c r="DT195" s="159"/>
      <c r="DU195" s="159"/>
      <c r="DV195" s="159"/>
      <c r="DW195" s="159"/>
      <c r="DX195" s="159"/>
      <c r="DY195" s="159"/>
      <c r="DZ195" s="159"/>
      <c r="EA195" s="159"/>
      <c r="EB195" s="159"/>
      <c r="EC195" s="159"/>
      <c r="ED195" s="159"/>
      <c r="EE195" s="159"/>
      <c r="EF195" s="159"/>
      <c r="EG195" s="159"/>
      <c r="EH195" s="159"/>
      <c r="EI195" s="159"/>
      <c r="EJ195" s="159"/>
      <c r="EK195" s="159"/>
      <c r="EL195" s="159"/>
      <c r="EM195" s="159"/>
      <c r="EN195" s="159"/>
      <c r="EO195" s="159"/>
      <c r="EP195" s="159"/>
      <c r="EQ195" s="159"/>
      <c r="ER195" s="159"/>
      <c r="ES195" s="159"/>
      <c r="ET195" s="159"/>
      <c r="EU195" s="159"/>
      <c r="EV195" s="159"/>
      <c r="EW195" s="159"/>
      <c r="EX195" s="159"/>
      <c r="EY195" s="159"/>
      <c r="EZ195" s="159"/>
      <c r="FA195" s="159"/>
      <c r="FB195" s="159"/>
      <c r="FC195" s="159"/>
      <c r="FD195" s="159"/>
      <c r="FE195" s="159"/>
      <c r="FF195" s="159"/>
      <c r="FG195" s="159"/>
      <c r="FH195" s="159"/>
      <c r="FI195" s="159"/>
      <c r="FJ195" s="159"/>
      <c r="FK195" s="159"/>
      <c r="FL195" s="159"/>
      <c r="FM195" s="159"/>
      <c r="FN195" s="159"/>
      <c r="FO195" s="159"/>
      <c r="FP195" s="159"/>
      <c r="FQ195" s="159"/>
      <c r="FR195" s="159"/>
      <c r="FS195" s="159"/>
      <c r="FT195" s="159"/>
      <c r="FU195" s="159"/>
      <c r="FV195" s="159"/>
      <c r="FW195" s="159"/>
      <c r="FX195" s="159"/>
      <c r="FY195" s="159"/>
      <c r="FZ195" s="159"/>
      <c r="GA195" s="159"/>
      <c r="GB195" s="159"/>
      <c r="GC195" s="159"/>
      <c r="GD195" s="159"/>
      <c r="GE195" s="159"/>
      <c r="GF195" s="159"/>
      <c r="GG195" s="159"/>
      <c r="GH195" s="159"/>
      <c r="GI195" s="159"/>
      <c r="GJ195" s="159"/>
      <c r="GK195" s="159"/>
      <c r="GL195" s="159"/>
      <c r="GM195" s="159"/>
      <c r="GN195" s="159"/>
      <c r="GO195" s="159"/>
      <c r="GP195" s="159"/>
      <c r="GQ195" s="159"/>
      <c r="GR195" s="159"/>
      <c r="GS195" s="159"/>
      <c r="GT195" s="159"/>
      <c r="GU195" s="159"/>
      <c r="GV195" s="159"/>
      <c r="GW195" s="159"/>
      <c r="GX195" s="159"/>
      <c r="GY195" s="159"/>
      <c r="GZ195" s="159"/>
      <c r="HA195" s="159"/>
      <c r="HB195" s="159"/>
      <c r="HC195" s="159"/>
      <c r="HD195" s="159"/>
      <c r="HE195" s="159"/>
      <c r="HF195" s="159"/>
      <c r="HG195" s="159"/>
      <c r="HH195" s="159"/>
      <c r="HI195" s="159"/>
      <c r="HJ195" s="159"/>
      <c r="HK195" s="159"/>
      <c r="HL195" s="159"/>
      <c r="HM195" s="159"/>
      <c r="HN195" s="159"/>
      <c r="HO195" s="159"/>
      <c r="HP195" s="159"/>
      <c r="HQ195" s="159"/>
      <c r="HR195" s="159"/>
      <c r="HS195" s="159"/>
      <c r="HT195" s="159"/>
      <c r="HU195" s="159"/>
      <c r="HV195" s="159"/>
      <c r="HW195" s="159"/>
      <c r="HX195" s="159"/>
      <c r="HY195" s="159"/>
      <c r="HZ195" s="159"/>
      <c r="IA195" s="159"/>
      <c r="IB195" s="159"/>
      <c r="IC195" s="159"/>
      <c r="ID195" s="159"/>
      <c r="IE195" s="159"/>
      <c r="IF195" s="159"/>
      <c r="IG195" s="159"/>
      <c r="IH195" s="159"/>
      <c r="II195" s="159"/>
      <c r="IJ195" s="159"/>
      <c r="IK195" s="159"/>
      <c r="IL195" s="159"/>
      <c r="IM195" s="159"/>
      <c r="IN195" s="159"/>
      <c r="IO195" s="159"/>
      <c r="IP195" s="159"/>
      <c r="IQ195" s="159"/>
      <c r="IR195" s="159"/>
      <c r="IS195" s="159"/>
      <c r="IT195" s="159"/>
      <c r="IU195" s="159"/>
      <c r="IV195" s="159"/>
      <c r="IW195" s="159"/>
      <c r="IX195" s="159"/>
      <c r="IY195" s="159"/>
      <c r="IZ195" s="159"/>
      <c r="JA195" s="159"/>
      <c r="JB195" s="159"/>
      <c r="JC195" s="159"/>
      <c r="JD195" s="159"/>
      <c r="JE195" s="159"/>
      <c r="JF195" s="159"/>
      <c r="JG195" s="159"/>
      <c r="JH195" s="159"/>
      <c r="JI195" s="159"/>
      <c r="JJ195" s="159"/>
      <c r="JK195" s="159"/>
      <c r="JL195" s="159"/>
      <c r="JM195" s="159"/>
      <c r="JN195" s="159"/>
      <c r="JO195" s="159"/>
      <c r="JP195" s="159"/>
      <c r="JQ195" s="159"/>
      <c r="JR195" s="159"/>
      <c r="JS195" s="159"/>
      <c r="JT195" s="159"/>
      <c r="JU195" s="159"/>
      <c r="JV195" s="159"/>
      <c r="JW195" s="159"/>
      <c r="JX195" s="159"/>
      <c r="JY195" s="159"/>
      <c r="JZ195" s="159"/>
      <c r="KA195" s="159"/>
      <c r="KB195" s="159"/>
      <c r="KC195" s="159"/>
      <c r="KD195" s="159"/>
      <c r="KE195" s="159"/>
      <c r="KF195" s="159"/>
      <c r="KG195" s="159"/>
      <c r="KH195" s="159"/>
      <c r="KI195" s="159"/>
      <c r="KJ195" s="159"/>
      <c r="KK195" s="159"/>
      <c r="KL195" s="159"/>
      <c r="KM195" s="159"/>
      <c r="KN195" s="159"/>
      <c r="KO195" s="159"/>
      <c r="KP195" s="159"/>
      <c r="KQ195" s="159"/>
      <c r="KR195" s="159"/>
      <c r="KS195" s="159"/>
      <c r="KT195" s="159"/>
      <c r="KU195" s="159"/>
      <c r="KV195" s="159"/>
      <c r="KW195" s="159"/>
      <c r="KX195" s="159"/>
      <c r="KY195" s="159"/>
      <c r="KZ195" s="159"/>
      <c r="LA195" s="159"/>
      <c r="LB195" s="159"/>
      <c r="LC195" s="159"/>
      <c r="LD195" s="159"/>
      <c r="LE195" s="159"/>
      <c r="LF195" s="159"/>
      <c r="LG195" s="159"/>
      <c r="LH195" s="159"/>
      <c r="LI195" s="159"/>
      <c r="LJ195" s="159"/>
      <c r="LK195" s="159"/>
      <c r="LL195" s="159"/>
      <c r="LM195" s="159"/>
      <c r="LN195" s="159"/>
      <c r="LO195" s="159"/>
      <c r="LP195" s="159"/>
      <c r="LQ195" s="159"/>
      <c r="LR195" s="159"/>
      <c r="LS195" s="159"/>
      <c r="LT195" s="159"/>
      <c r="LU195" s="159"/>
      <c r="LV195" s="159"/>
      <c r="LW195" s="159"/>
      <c r="LX195" s="159"/>
      <c r="LY195" s="159"/>
      <c r="LZ195" s="159"/>
      <c r="MA195" s="159"/>
      <c r="MB195" s="159"/>
      <c r="MC195" s="159"/>
      <c r="MD195" s="159"/>
      <c r="ME195" s="159"/>
      <c r="MF195" s="159"/>
      <c r="MG195" s="159"/>
      <c r="MH195" s="159"/>
      <c r="MI195" s="159"/>
      <c r="MJ195" s="159"/>
      <c r="MK195" s="159"/>
      <c r="ML195" s="159"/>
      <c r="MM195" s="159"/>
      <c r="MN195" s="159"/>
      <c r="MO195" s="159"/>
      <c r="MP195" s="159"/>
      <c r="MQ195" s="159"/>
      <c r="MR195" s="159"/>
      <c r="MS195" s="159"/>
      <c r="MT195" s="159"/>
      <c r="MU195" s="159"/>
      <c r="MV195" s="159"/>
      <c r="MW195" s="159"/>
      <c r="MX195" s="159"/>
      <c r="MY195" s="159"/>
      <c r="MZ195" s="159"/>
      <c r="NA195" s="159"/>
      <c r="NB195" s="159"/>
      <c r="NC195" s="159"/>
      <c r="ND195" s="159"/>
      <c r="NE195" s="159"/>
      <c r="NF195" s="159"/>
      <c r="NG195" s="159"/>
      <c r="NH195" s="159"/>
      <c r="NI195" s="159"/>
      <c r="NJ195" s="159"/>
      <c r="NK195" s="159"/>
      <c r="NL195" s="159"/>
      <c r="NM195" s="159"/>
      <c r="NN195" s="159"/>
      <c r="NO195" s="159"/>
      <c r="NP195" s="159"/>
      <c r="NQ195" s="159"/>
      <c r="NR195" s="159"/>
      <c r="NS195" s="159"/>
      <c r="NT195" s="159"/>
      <c r="NU195" s="159"/>
      <c r="NV195" s="159"/>
      <c r="NW195" s="159"/>
      <c r="NX195" s="159"/>
      <c r="NY195" s="159"/>
      <c r="NZ195" s="159"/>
      <c r="OA195" s="159"/>
      <c r="OB195" s="159"/>
      <c r="OC195" s="159"/>
      <c r="OD195" s="159"/>
      <c r="OE195" s="159"/>
      <c r="OF195" s="159"/>
      <c r="OG195" s="159"/>
      <c r="OH195" s="159"/>
      <c r="OI195" s="159"/>
      <c r="OJ195" s="159"/>
      <c r="OK195" s="159"/>
      <c r="OL195" s="159"/>
      <c r="OM195" s="159"/>
      <c r="ON195" s="159"/>
      <c r="OO195" s="159"/>
      <c r="OP195" s="159"/>
      <c r="OQ195" s="159"/>
      <c r="OR195" s="159"/>
      <c r="OS195" s="159"/>
      <c r="OT195" s="159"/>
      <c r="OU195" s="159"/>
      <c r="OV195" s="159"/>
      <c r="OW195" s="159"/>
      <c r="OX195" s="159"/>
      <c r="OY195" s="159"/>
      <c r="OZ195" s="159"/>
      <c r="PA195" s="159"/>
      <c r="PB195" s="159"/>
      <c r="PC195" s="159"/>
      <c r="PD195" s="159"/>
      <c r="PE195" s="159"/>
      <c r="PF195" s="159"/>
      <c r="PG195" s="159"/>
      <c r="PH195" s="159"/>
      <c r="PI195" s="159"/>
      <c r="PJ195" s="159"/>
      <c r="PK195" s="159"/>
      <c r="PL195" s="159"/>
      <c r="PM195" s="159"/>
      <c r="PN195" s="159"/>
      <c r="PO195" s="159"/>
      <c r="PP195" s="159"/>
      <c r="PQ195" s="159"/>
      <c r="PR195" s="159"/>
      <c r="PS195" s="159"/>
      <c r="PT195" s="159"/>
      <c r="PU195" s="159"/>
      <c r="PV195" s="159"/>
      <c r="PW195" s="159"/>
      <c r="PX195" s="159"/>
      <c r="PY195" s="159"/>
      <c r="PZ195" s="159"/>
      <c r="QA195" s="159"/>
      <c r="QB195" s="159"/>
      <c r="QC195" s="159"/>
      <c r="QD195" s="159"/>
      <c r="QE195" s="159"/>
      <c r="QF195" s="159"/>
      <c r="QG195" s="159"/>
      <c r="QH195" s="159"/>
      <c r="QI195" s="159"/>
      <c r="QJ195" s="159"/>
      <c r="QK195" s="159"/>
      <c r="QL195" s="159"/>
      <c r="QM195" s="159"/>
      <c r="QN195" s="159"/>
      <c r="QO195" s="159"/>
      <c r="QP195" s="159"/>
      <c r="QQ195" s="159"/>
      <c r="QR195" s="159"/>
      <c r="QS195" s="159"/>
      <c r="QT195" s="159"/>
      <c r="QU195" s="159"/>
      <c r="QV195" s="159"/>
      <c r="QW195" s="159"/>
      <c r="QX195" s="159"/>
      <c r="QY195" s="159"/>
      <c r="QZ195" s="159"/>
      <c r="RA195" s="159"/>
      <c r="RB195" s="159"/>
      <c r="RC195" s="159"/>
      <c r="RD195" s="159"/>
      <c r="RE195" s="159"/>
      <c r="RF195" s="159"/>
      <c r="RG195" s="159"/>
      <c r="RH195" s="159"/>
      <c r="RI195" s="159"/>
      <c r="RJ195" s="159"/>
      <c r="RK195" s="159"/>
      <c r="RL195" s="159"/>
      <c r="RM195" s="159"/>
      <c r="RN195" s="159"/>
      <c r="RO195" s="159"/>
      <c r="RP195" s="159"/>
      <c r="RQ195" s="159"/>
      <c r="RR195" s="159"/>
      <c r="RS195" s="159"/>
      <c r="RT195" s="159"/>
      <c r="RU195" s="159"/>
      <c r="RV195" s="159"/>
      <c r="RW195" s="159"/>
      <c r="RX195" s="159"/>
      <c r="RY195" s="159"/>
      <c r="RZ195" s="159"/>
      <c r="SA195" s="159"/>
      <c r="SB195" s="159"/>
      <c r="SC195" s="159"/>
      <c r="SD195" s="159"/>
      <c r="SE195" s="159"/>
      <c r="SF195" s="159"/>
      <c r="SG195" s="159"/>
      <c r="SH195" s="159"/>
      <c r="SI195" s="159"/>
      <c r="SJ195" s="159"/>
      <c r="SK195" s="159"/>
      <c r="SL195" s="159"/>
      <c r="SM195" s="159"/>
      <c r="SN195" s="159"/>
      <c r="SO195" s="159"/>
      <c r="SP195" s="159"/>
      <c r="SQ195" s="159"/>
      <c r="SR195" s="159"/>
      <c r="SS195" s="159"/>
      <c r="ST195" s="159"/>
      <c r="SU195" s="159"/>
      <c r="SV195" s="159"/>
      <c r="SW195" s="159"/>
      <c r="SX195" s="159"/>
      <c r="SY195" s="159"/>
      <c r="SZ195" s="159"/>
      <c r="TA195" s="159"/>
      <c r="TB195" s="159"/>
      <c r="TC195" s="159"/>
      <c r="TD195" s="159"/>
      <c r="TE195" s="159"/>
      <c r="TF195" s="159"/>
      <c r="TG195" s="159"/>
      <c r="TH195" s="159"/>
      <c r="TI195" s="159"/>
      <c r="TJ195" s="159"/>
      <c r="TK195" s="159"/>
      <c r="TL195" s="159"/>
      <c r="TM195" s="159"/>
      <c r="TN195" s="159"/>
      <c r="TO195" s="159"/>
      <c r="TP195" s="159"/>
      <c r="TQ195" s="159"/>
      <c r="TR195" s="159"/>
      <c r="TS195" s="159"/>
      <c r="TT195" s="159"/>
      <c r="TU195" s="159"/>
      <c r="TV195" s="159"/>
      <c r="TW195" s="159"/>
      <c r="TX195" s="159"/>
      <c r="TY195" s="159"/>
      <c r="TZ195" s="159"/>
      <c r="UA195" s="159"/>
      <c r="UB195" s="159"/>
      <c r="UC195" s="159"/>
      <c r="UD195" s="159"/>
      <c r="UE195" s="159"/>
      <c r="UF195" s="159"/>
      <c r="UG195" s="159"/>
      <c r="UH195" s="159"/>
      <c r="UI195" s="159"/>
      <c r="UJ195" s="159"/>
      <c r="UK195" s="159"/>
      <c r="UL195" s="159"/>
      <c r="UM195" s="159"/>
      <c r="UN195" s="159"/>
      <c r="UO195" s="159"/>
      <c r="UP195" s="159"/>
      <c r="UQ195" s="159"/>
      <c r="UR195" s="159"/>
      <c r="US195" s="159"/>
      <c r="UT195" s="159"/>
      <c r="UU195" s="159"/>
      <c r="UV195" s="159"/>
      <c r="UW195" s="159"/>
      <c r="UX195" s="159"/>
      <c r="UY195" s="159"/>
      <c r="UZ195" s="159"/>
      <c r="VA195" s="159"/>
      <c r="VB195" s="159"/>
      <c r="VC195" s="159"/>
      <c r="VD195" s="159"/>
      <c r="VE195" s="159"/>
      <c r="VF195" s="159"/>
      <c r="VG195" s="159"/>
      <c r="VH195" s="159"/>
      <c r="VI195" s="159"/>
      <c r="VJ195" s="159"/>
      <c r="VK195" s="159"/>
      <c r="VL195" s="159"/>
      <c r="VM195" s="159"/>
      <c r="VN195" s="159"/>
      <c r="VO195" s="159"/>
      <c r="VP195" s="159"/>
      <c r="VQ195" s="159"/>
      <c r="VR195" s="159"/>
      <c r="VS195" s="159"/>
      <c r="VT195" s="159"/>
      <c r="VU195" s="159"/>
      <c r="VV195" s="159"/>
      <c r="VW195" s="159"/>
      <c r="VX195" s="159"/>
      <c r="VY195" s="159"/>
      <c r="VZ195" s="159"/>
      <c r="WA195" s="159"/>
      <c r="WB195" s="159"/>
      <c r="WC195" s="159"/>
      <c r="WD195" s="159"/>
      <c r="WE195" s="159"/>
      <c r="WF195" s="159"/>
      <c r="WG195" s="159"/>
      <c r="WH195" s="159"/>
      <c r="WI195" s="159"/>
      <c r="WJ195" s="159"/>
      <c r="WK195" s="159"/>
      <c r="WL195" s="159"/>
      <c r="WM195" s="159"/>
      <c r="WN195" s="159"/>
      <c r="WO195" s="159"/>
      <c r="WP195" s="159"/>
      <c r="WQ195" s="159"/>
      <c r="WR195" s="159"/>
      <c r="WS195" s="159"/>
      <c r="WT195" s="159"/>
      <c r="WU195" s="159"/>
      <c r="WV195" s="159"/>
      <c r="WW195" s="159"/>
      <c r="WX195" s="159"/>
      <c r="WY195" s="159"/>
      <c r="WZ195" s="159"/>
      <c r="XA195" s="159"/>
      <c r="XB195" s="159"/>
      <c r="XC195" s="159"/>
      <c r="XD195" s="159"/>
      <c r="XE195" s="159"/>
      <c r="XF195" s="159"/>
      <c r="XG195" s="159"/>
      <c r="XH195" s="159"/>
      <c r="XI195" s="159"/>
      <c r="XJ195" s="159"/>
      <c r="XK195" s="159"/>
      <c r="XL195" s="159"/>
      <c r="XM195" s="159"/>
      <c r="XN195" s="159"/>
      <c r="XO195" s="159"/>
      <c r="XP195" s="159"/>
      <c r="XQ195" s="159"/>
      <c r="XR195" s="159"/>
      <c r="XS195" s="159"/>
      <c r="XT195" s="159"/>
      <c r="XU195" s="159"/>
      <c r="XV195" s="159"/>
      <c r="XW195" s="159"/>
      <c r="XX195" s="159"/>
      <c r="XY195" s="159"/>
      <c r="XZ195" s="159"/>
      <c r="YA195" s="159"/>
      <c r="YB195" s="159"/>
      <c r="YC195" s="159"/>
      <c r="YD195" s="159"/>
      <c r="YE195" s="159"/>
      <c r="YF195" s="159"/>
      <c r="YG195" s="159"/>
      <c r="YH195" s="159"/>
      <c r="YI195" s="159"/>
      <c r="YJ195" s="159"/>
      <c r="YK195" s="159"/>
      <c r="YL195" s="159"/>
      <c r="YM195" s="159"/>
      <c r="YN195" s="159"/>
      <c r="YO195" s="159"/>
      <c r="YP195" s="159"/>
      <c r="YQ195" s="159"/>
      <c r="YR195" s="159"/>
      <c r="YS195" s="159"/>
      <c r="YT195" s="159"/>
      <c r="YU195" s="159"/>
      <c r="YV195" s="159"/>
      <c r="YW195" s="159"/>
      <c r="YX195" s="159"/>
      <c r="YY195" s="159"/>
      <c r="YZ195" s="159"/>
      <c r="ZA195" s="159"/>
      <c r="ZB195" s="159"/>
      <c r="ZC195" s="159"/>
      <c r="ZD195" s="159"/>
      <c r="ZE195" s="159"/>
      <c r="ZF195" s="159"/>
      <c r="ZG195" s="159"/>
      <c r="ZH195" s="159"/>
      <c r="ZI195" s="159"/>
      <c r="ZJ195" s="159"/>
      <c r="ZK195" s="159"/>
      <c r="ZL195" s="159"/>
      <c r="ZM195" s="159"/>
      <c r="ZN195" s="159"/>
      <c r="ZO195" s="159"/>
      <c r="ZP195" s="159"/>
      <c r="ZQ195" s="159"/>
      <c r="ZR195" s="159"/>
      <c r="ZS195" s="159"/>
      <c r="ZT195" s="159"/>
      <c r="ZU195" s="159"/>
      <c r="ZV195" s="159"/>
      <c r="ZW195" s="159"/>
      <c r="ZX195" s="159"/>
      <c r="ZY195" s="159"/>
      <c r="ZZ195" s="159"/>
      <c r="AAA195" s="159"/>
      <c r="AAB195" s="159"/>
      <c r="AAC195" s="159"/>
      <c r="AAD195" s="159"/>
      <c r="AAE195" s="159"/>
      <c r="AAF195" s="159"/>
      <c r="AAG195" s="159"/>
      <c r="AAH195" s="159"/>
      <c r="AAI195" s="159"/>
      <c r="AAJ195" s="159"/>
      <c r="AAK195" s="159"/>
      <c r="AAL195" s="159"/>
      <c r="AAM195" s="159"/>
      <c r="AAN195" s="159"/>
      <c r="AAO195" s="159"/>
      <c r="AAP195" s="159"/>
      <c r="AAQ195" s="159"/>
      <c r="AAR195" s="159"/>
      <c r="AAS195" s="159"/>
      <c r="AAT195" s="159"/>
      <c r="AAU195" s="159"/>
      <c r="AAV195" s="159"/>
      <c r="AAW195" s="159"/>
      <c r="AAX195" s="159"/>
      <c r="AAY195" s="159"/>
      <c r="AAZ195" s="159"/>
      <c r="ABA195" s="159"/>
      <c r="ABB195" s="159"/>
      <c r="ABC195" s="159"/>
      <c r="ABD195" s="159"/>
      <c r="ABE195" s="159"/>
      <c r="ABF195" s="159"/>
      <c r="ABG195" s="159"/>
      <c r="ABH195" s="159"/>
      <c r="ABI195" s="159"/>
      <c r="ABJ195" s="159"/>
      <c r="ABK195" s="159"/>
      <c r="ABL195" s="159"/>
      <c r="ABM195" s="159"/>
      <c r="ABN195" s="159"/>
      <c r="ABO195" s="159"/>
      <c r="ABP195" s="159"/>
      <c r="ABQ195" s="159"/>
      <c r="ABR195" s="159"/>
      <c r="ABS195" s="159"/>
      <c r="ABT195" s="159"/>
      <c r="ABU195" s="159"/>
      <c r="ABV195" s="159"/>
      <c r="ABW195" s="159"/>
      <c r="ABX195" s="159"/>
      <c r="ABY195" s="159"/>
      <c r="ABZ195" s="159"/>
      <c r="ACA195" s="159"/>
      <c r="ACB195" s="159"/>
      <c r="ACC195" s="159"/>
      <c r="ACD195" s="159"/>
      <c r="ACE195" s="159"/>
      <c r="ACF195" s="159"/>
      <c r="ACG195" s="159"/>
      <c r="ACH195" s="159"/>
      <c r="ACI195" s="159"/>
      <c r="ACJ195" s="159"/>
      <c r="ACK195" s="159"/>
      <c r="ACL195" s="159"/>
      <c r="ACM195" s="159"/>
      <c r="ACN195" s="159"/>
      <c r="ACO195" s="159"/>
      <c r="ACP195" s="159"/>
      <c r="ACQ195" s="159"/>
      <c r="ACR195" s="159"/>
      <c r="ACS195" s="159"/>
      <c r="ACT195" s="159"/>
      <c r="ACU195" s="159"/>
      <c r="ACV195" s="159"/>
      <c r="ACW195" s="159"/>
      <c r="ACX195" s="159"/>
      <c r="ACY195" s="159"/>
      <c r="ACZ195" s="159"/>
      <c r="ADA195" s="159"/>
      <c r="ADB195" s="159"/>
      <c r="ADC195" s="159"/>
      <c r="ADD195" s="159"/>
      <c r="ADE195" s="159"/>
      <c r="ADF195" s="159"/>
      <c r="ADG195" s="159"/>
      <c r="ADH195" s="159"/>
      <c r="ADI195" s="159"/>
      <c r="ADJ195" s="159"/>
      <c r="ADK195" s="159"/>
      <c r="ADL195" s="159"/>
      <c r="ADM195" s="159"/>
      <c r="ADN195" s="159"/>
      <c r="ADO195" s="159"/>
      <c r="ADP195" s="159"/>
      <c r="ADQ195" s="159"/>
      <c r="ADR195" s="159"/>
      <c r="ADS195" s="159"/>
      <c r="ADT195" s="159"/>
      <c r="ADU195" s="159"/>
      <c r="ADV195" s="159"/>
      <c r="ADW195" s="159"/>
      <c r="ADX195" s="159"/>
      <c r="ADY195" s="159"/>
      <c r="ADZ195" s="159"/>
      <c r="AEA195" s="159"/>
      <c r="AEB195" s="159"/>
      <c r="AEC195" s="159"/>
      <c r="AED195" s="159"/>
      <c r="AEE195" s="159"/>
      <c r="AEF195" s="159"/>
      <c r="AEG195" s="159"/>
      <c r="AEH195" s="159"/>
      <c r="AEI195" s="159"/>
      <c r="AEJ195" s="159"/>
      <c r="AEK195" s="159"/>
      <c r="AEL195" s="159"/>
      <c r="AEM195" s="159"/>
      <c r="AEN195" s="159"/>
      <c r="AEO195" s="159"/>
      <c r="AEP195" s="159"/>
      <c r="AEQ195" s="159"/>
      <c r="AER195" s="159"/>
      <c r="AES195" s="159"/>
      <c r="AET195" s="159"/>
      <c r="AEU195" s="159"/>
      <c r="AEV195" s="159"/>
      <c r="AEW195" s="159"/>
      <c r="AEX195" s="159"/>
      <c r="AEY195" s="159"/>
      <c r="AEZ195" s="159"/>
      <c r="AFA195" s="159"/>
      <c r="AFB195" s="159"/>
      <c r="AFC195" s="159"/>
      <c r="AFD195" s="159"/>
      <c r="AFE195" s="159"/>
      <c r="AFF195" s="159"/>
      <c r="AFG195" s="159"/>
      <c r="AFH195" s="159"/>
      <c r="AFI195" s="159"/>
      <c r="AFJ195" s="159"/>
      <c r="AFK195" s="159"/>
      <c r="AFL195" s="159"/>
      <c r="AFM195" s="159"/>
      <c r="AFN195" s="159"/>
      <c r="AFO195" s="159"/>
      <c r="AFP195" s="159"/>
      <c r="AFQ195" s="159"/>
      <c r="AFR195" s="159"/>
      <c r="AFS195" s="159"/>
      <c r="AFT195" s="159"/>
      <c r="AFU195" s="159"/>
      <c r="AFV195" s="159"/>
      <c r="AFW195" s="159"/>
      <c r="AFX195" s="159"/>
      <c r="AFY195" s="159"/>
      <c r="AFZ195" s="159"/>
      <c r="AGA195" s="159"/>
      <c r="AGB195" s="159"/>
      <c r="AGC195" s="159"/>
      <c r="AGD195" s="159"/>
      <c r="AGE195" s="159"/>
      <c r="AGF195" s="159"/>
      <c r="AGG195" s="159"/>
      <c r="AGH195" s="159"/>
      <c r="AGI195" s="159"/>
      <c r="AGJ195" s="159"/>
      <c r="AGK195" s="159"/>
      <c r="AGL195" s="159"/>
      <c r="AGM195" s="159"/>
      <c r="AGN195" s="159"/>
      <c r="AGO195" s="159"/>
      <c r="AGP195" s="159"/>
      <c r="AGQ195" s="159"/>
      <c r="AGR195" s="159"/>
      <c r="AGS195" s="159"/>
      <c r="AGT195" s="159"/>
      <c r="AGU195" s="159"/>
      <c r="AGV195" s="159"/>
      <c r="AGW195" s="159"/>
      <c r="AGX195" s="159"/>
      <c r="AGY195" s="159"/>
      <c r="AGZ195" s="159"/>
      <c r="AHA195" s="159"/>
      <c r="AHB195" s="159"/>
      <c r="AHC195" s="159"/>
      <c r="AHD195" s="159"/>
      <c r="AHE195" s="159"/>
      <c r="AHF195" s="159"/>
      <c r="AHG195" s="159"/>
      <c r="AHH195" s="159"/>
      <c r="AHI195" s="159"/>
      <c r="AHJ195" s="159"/>
      <c r="AHK195" s="159"/>
      <c r="AHL195" s="159"/>
      <c r="AHM195" s="159"/>
      <c r="AHN195" s="159"/>
      <c r="AHO195" s="159"/>
      <c r="AHP195" s="159"/>
      <c r="AHQ195" s="159"/>
      <c r="AHR195" s="159"/>
      <c r="AHS195" s="159"/>
      <c r="AHT195" s="159"/>
      <c r="AHU195" s="159"/>
      <c r="AHV195" s="159"/>
      <c r="AHW195" s="159"/>
      <c r="AHX195" s="159"/>
      <c r="AHY195" s="159"/>
      <c r="AHZ195" s="159"/>
      <c r="AIA195" s="159"/>
      <c r="AIB195" s="159"/>
      <c r="AIC195" s="159"/>
      <c r="AID195" s="159"/>
      <c r="AIE195" s="159"/>
      <c r="AIF195" s="159"/>
      <c r="AIG195" s="159"/>
      <c r="AIH195" s="159"/>
      <c r="AII195" s="159"/>
      <c r="AIJ195" s="159"/>
      <c r="AIK195" s="159"/>
      <c r="AIL195" s="159"/>
      <c r="AIM195" s="159"/>
      <c r="AIN195" s="159"/>
      <c r="AIO195" s="159"/>
      <c r="AIP195" s="159"/>
      <c r="AIQ195" s="159"/>
      <c r="AIR195" s="159"/>
      <c r="AIS195" s="159"/>
      <c r="AIT195" s="159"/>
      <c r="AIU195" s="159"/>
      <c r="AIV195" s="159"/>
      <c r="AIW195" s="159"/>
      <c r="AIX195" s="159"/>
      <c r="AIY195" s="159"/>
      <c r="AIZ195" s="159"/>
      <c r="AJA195" s="159"/>
      <c r="AJB195" s="159"/>
      <c r="AJC195" s="159"/>
      <c r="AJD195" s="159"/>
      <c r="AJE195" s="159"/>
      <c r="AJF195" s="159"/>
      <c r="AJG195" s="159"/>
      <c r="AJH195" s="159"/>
      <c r="AJI195" s="159"/>
      <c r="AJJ195" s="159"/>
      <c r="AJK195" s="159"/>
      <c r="AJL195" s="159"/>
      <c r="AJM195" s="159"/>
      <c r="AJN195" s="159"/>
      <c r="AJO195" s="159"/>
      <c r="AJP195" s="159"/>
      <c r="AJQ195" s="159"/>
      <c r="AJR195" s="159"/>
      <c r="AJS195" s="159"/>
      <c r="AJT195" s="159"/>
      <c r="AJU195" s="159"/>
      <c r="AJV195" s="159"/>
      <c r="AJW195" s="159"/>
      <c r="AJX195" s="159"/>
      <c r="AJY195" s="159"/>
      <c r="AJZ195" s="159"/>
      <c r="AKA195" s="159"/>
      <c r="AKB195" s="159"/>
      <c r="AKC195" s="159"/>
      <c r="AKD195" s="159"/>
      <c r="AKE195" s="159"/>
      <c r="AKF195" s="159"/>
      <c r="AKG195" s="159"/>
      <c r="AKH195" s="159"/>
      <c r="AKI195" s="159"/>
      <c r="AKJ195" s="159"/>
      <c r="AKK195" s="159"/>
      <c r="AKL195" s="159"/>
      <c r="AKM195" s="159"/>
      <c r="AKN195" s="159"/>
      <c r="AKO195" s="159"/>
      <c r="AKP195" s="159"/>
      <c r="AKQ195" s="159"/>
      <c r="AKR195" s="159"/>
      <c r="AKS195" s="159"/>
      <c r="AKT195" s="159"/>
      <c r="AKU195" s="159"/>
      <c r="AKV195" s="159"/>
      <c r="AKW195" s="159"/>
      <c r="AKX195" s="159"/>
      <c r="AKY195" s="159"/>
      <c r="AKZ195" s="159"/>
      <c r="ALA195" s="159"/>
      <c r="ALB195" s="159"/>
      <c r="ALC195" s="159"/>
      <c r="ALD195" s="159"/>
      <c r="ALE195" s="159"/>
      <c r="ALF195" s="159"/>
      <c r="ALG195" s="159"/>
      <c r="ALH195" s="159"/>
      <c r="ALI195" s="159"/>
      <c r="ALJ195" s="159"/>
      <c r="ALK195" s="159"/>
      <c r="ALL195" s="159"/>
      <c r="ALM195" s="159"/>
      <c r="ALN195" s="159"/>
      <c r="ALO195" s="159"/>
      <c r="ALP195" s="159"/>
      <c r="ALQ195" s="159"/>
      <c r="ALR195" s="159"/>
      <c r="ALS195" s="159"/>
      <c r="ALT195" s="159"/>
      <c r="ALU195" s="159"/>
      <c r="ALV195" s="159"/>
      <c r="ALW195" s="159"/>
      <c r="ALX195" s="159"/>
      <c r="ALY195" s="159"/>
      <c r="ALZ195" s="159"/>
      <c r="AMA195" s="159"/>
      <c r="AMB195" s="159"/>
      <c r="AMC195" s="159"/>
      <c r="AMD195" s="159"/>
      <c r="AME195" s="159"/>
      <c r="AMF195" s="159"/>
      <c r="AMG195" s="159"/>
      <c r="AMH195" s="159"/>
      <c r="AMI195" s="159"/>
      <c r="AMJ195" s="159"/>
      <c r="AMK195" s="159"/>
      <c r="AML195" s="159"/>
      <c r="AMM195" s="159"/>
      <c r="AMN195" s="159"/>
      <c r="AMO195" s="159"/>
    </row>
    <row r="196" spans="1:1029" s="161" customFormat="1" ht="32.25" customHeight="1" x14ac:dyDescent="0.25">
      <c r="A196" s="138">
        <v>46295</v>
      </c>
      <c r="B196" s="99" t="s">
        <v>42</v>
      </c>
      <c r="C196" s="99" t="s">
        <v>12</v>
      </c>
      <c r="D196" s="160" t="s">
        <v>60</v>
      </c>
      <c r="E196" s="118" t="s">
        <v>101</v>
      </c>
      <c r="F196" s="149" t="s">
        <v>51</v>
      </c>
      <c r="G196" s="149" t="s">
        <v>90</v>
      </c>
      <c r="H196" s="141" t="b">
        <f t="shared" si="12"/>
        <v>0</v>
      </c>
      <c r="I196" s="120" t="str">
        <f>CHOOSE(MATCH(MAX(SUM(H$9:$H195), SUM(P$9:$P195), SUM(T$9:$T195)),CHOOSE({1;2;3}, SUM(H$9:$H195), SUM(P$9:$P195), SUM(T$9:$T195)),0),E196,M196,Q196)</f>
        <v>Nudel mit Käsesoße</v>
      </c>
      <c r="J196" s="121" t="str">
        <f>CHOOSE(MATCH(MAX(SUM($H$9:H195), SUM($P$9:P195), SUM($T$9:T195)),CHOOSE({1;2;3}, SUM($H$9:H195), SUM($P$9:P195), SUM($T$9:T195)),0),F196,N196,R196)</f>
        <v>Schweinsfilet</v>
      </c>
      <c r="K196" s="121" t="str">
        <f>CHOOSE(MATCH(MAX(SUM($H$9:H195), SUM($P$9:P195), SUM($T$9:T195)),CHOOSE({1;2;3}, SUM($H$9:H195), SUM($P$9:P195), SUM($T$9:T195)),0),G196,O196,S196)</f>
        <v>Kartoffelgratin</v>
      </c>
      <c r="L196" s="141" t="b">
        <f t="shared" si="13"/>
        <v>0</v>
      </c>
      <c r="M196" s="121" t="s">
        <v>8</v>
      </c>
      <c r="N196" s="121" t="s">
        <v>130</v>
      </c>
      <c r="O196" s="121" t="s">
        <v>168</v>
      </c>
      <c r="P196" s="141" t="b">
        <f t="shared" si="14"/>
        <v>0</v>
      </c>
      <c r="Q196" s="149" t="s">
        <v>19</v>
      </c>
      <c r="R196" s="99" t="s">
        <v>51</v>
      </c>
      <c r="S196" s="99" t="s">
        <v>90</v>
      </c>
      <c r="T196" s="141" t="b">
        <f t="shared" si="15"/>
        <v>0</v>
      </c>
      <c r="U196" s="159"/>
      <c r="V196" s="159"/>
      <c r="W196" s="159"/>
      <c r="X196" s="159"/>
      <c r="Y196" s="159"/>
      <c r="Z196" s="159"/>
      <c r="AA196" s="159"/>
      <c r="AB196" s="159"/>
      <c r="AC196" s="159"/>
      <c r="AD196" s="159"/>
      <c r="AE196" s="159"/>
      <c r="AF196" s="159"/>
      <c r="AG196" s="159"/>
      <c r="AH196" s="159"/>
      <c r="AI196" s="159"/>
      <c r="AJ196" s="159"/>
      <c r="AK196" s="159"/>
      <c r="AL196" s="159"/>
      <c r="AM196" s="159"/>
      <c r="AN196" s="159"/>
      <c r="AO196" s="159"/>
      <c r="AP196" s="159"/>
      <c r="AQ196" s="159"/>
      <c r="AR196" s="159"/>
      <c r="AS196" s="159"/>
      <c r="AT196" s="159"/>
      <c r="AU196" s="159"/>
      <c r="AV196" s="159"/>
      <c r="AW196" s="159"/>
      <c r="AX196" s="159"/>
      <c r="AY196" s="159"/>
      <c r="AZ196" s="159"/>
      <c r="BA196" s="159"/>
      <c r="BB196" s="159"/>
      <c r="BC196" s="159"/>
      <c r="BD196" s="159"/>
      <c r="BE196" s="159"/>
      <c r="BF196" s="159"/>
      <c r="BG196" s="159"/>
      <c r="BH196" s="159"/>
      <c r="BI196" s="159"/>
      <c r="BJ196" s="159"/>
      <c r="BK196" s="159"/>
      <c r="BL196" s="159"/>
      <c r="BM196" s="159"/>
      <c r="BN196" s="159"/>
      <c r="BO196" s="159"/>
      <c r="BP196" s="159"/>
      <c r="BQ196" s="159"/>
      <c r="BR196" s="159"/>
      <c r="BS196" s="159"/>
      <c r="BT196" s="159"/>
      <c r="BU196" s="159"/>
      <c r="BV196" s="159"/>
      <c r="BW196" s="159"/>
      <c r="BX196" s="159"/>
      <c r="BY196" s="159"/>
      <c r="BZ196" s="159"/>
      <c r="CA196" s="159"/>
      <c r="CB196" s="159"/>
      <c r="CC196" s="159"/>
      <c r="CD196" s="159"/>
      <c r="CE196" s="159"/>
      <c r="CF196" s="159"/>
      <c r="CG196" s="159"/>
      <c r="CH196" s="159"/>
      <c r="CI196" s="159"/>
      <c r="CJ196" s="159"/>
      <c r="CK196" s="159"/>
      <c r="CL196" s="159"/>
      <c r="CM196" s="159"/>
      <c r="CN196" s="159"/>
      <c r="CO196" s="159"/>
      <c r="CP196" s="159"/>
      <c r="CQ196" s="159"/>
      <c r="CR196" s="159"/>
      <c r="CS196" s="159"/>
      <c r="CT196" s="159"/>
      <c r="CU196" s="159"/>
      <c r="CV196" s="159"/>
      <c r="CW196" s="159"/>
      <c r="CX196" s="159"/>
      <c r="CY196" s="159"/>
      <c r="CZ196" s="159"/>
      <c r="DA196" s="159"/>
      <c r="DB196" s="159"/>
      <c r="DC196" s="159"/>
      <c r="DD196" s="159"/>
      <c r="DE196" s="159"/>
      <c r="DF196" s="159"/>
      <c r="DG196" s="159"/>
      <c r="DH196" s="159"/>
      <c r="DI196" s="159"/>
      <c r="DJ196" s="159"/>
      <c r="DK196" s="159"/>
      <c r="DL196" s="159"/>
      <c r="DM196" s="159"/>
      <c r="DN196" s="159"/>
      <c r="DO196" s="159"/>
      <c r="DP196" s="159"/>
      <c r="DQ196" s="159"/>
      <c r="DR196" s="159"/>
      <c r="DS196" s="159"/>
      <c r="DT196" s="159"/>
      <c r="DU196" s="159"/>
      <c r="DV196" s="159"/>
      <c r="DW196" s="159"/>
      <c r="DX196" s="159"/>
      <c r="DY196" s="159"/>
      <c r="DZ196" s="159"/>
      <c r="EA196" s="159"/>
      <c r="EB196" s="159"/>
      <c r="EC196" s="159"/>
      <c r="ED196" s="159"/>
      <c r="EE196" s="159"/>
      <c r="EF196" s="159"/>
      <c r="EG196" s="159"/>
      <c r="EH196" s="159"/>
      <c r="EI196" s="159"/>
      <c r="EJ196" s="159"/>
      <c r="EK196" s="159"/>
      <c r="EL196" s="159"/>
      <c r="EM196" s="159"/>
      <c r="EN196" s="159"/>
      <c r="EO196" s="159"/>
      <c r="EP196" s="159"/>
      <c r="EQ196" s="159"/>
      <c r="ER196" s="159"/>
      <c r="ES196" s="159"/>
      <c r="ET196" s="159"/>
      <c r="EU196" s="159"/>
      <c r="EV196" s="159"/>
      <c r="EW196" s="159"/>
      <c r="EX196" s="159"/>
      <c r="EY196" s="159"/>
      <c r="EZ196" s="159"/>
      <c r="FA196" s="159"/>
      <c r="FB196" s="159"/>
      <c r="FC196" s="159"/>
      <c r="FD196" s="159"/>
      <c r="FE196" s="159"/>
      <c r="FF196" s="159"/>
      <c r="FG196" s="159"/>
      <c r="FH196" s="159"/>
      <c r="FI196" s="159"/>
      <c r="FJ196" s="159"/>
      <c r="FK196" s="159"/>
      <c r="FL196" s="159"/>
      <c r="FM196" s="159"/>
      <c r="FN196" s="159"/>
      <c r="FO196" s="159"/>
      <c r="FP196" s="159"/>
      <c r="FQ196" s="159"/>
      <c r="FR196" s="159"/>
      <c r="FS196" s="159"/>
      <c r="FT196" s="159"/>
      <c r="FU196" s="159"/>
      <c r="FV196" s="159"/>
      <c r="FW196" s="159"/>
      <c r="FX196" s="159"/>
      <c r="FY196" s="159"/>
      <c r="FZ196" s="159"/>
      <c r="GA196" s="159"/>
      <c r="GB196" s="159"/>
      <c r="GC196" s="159"/>
      <c r="GD196" s="159"/>
      <c r="GE196" s="159"/>
      <c r="GF196" s="159"/>
      <c r="GG196" s="159"/>
      <c r="GH196" s="159"/>
      <c r="GI196" s="159"/>
      <c r="GJ196" s="159"/>
      <c r="GK196" s="159"/>
      <c r="GL196" s="159"/>
      <c r="GM196" s="159"/>
      <c r="GN196" s="159"/>
      <c r="GO196" s="159"/>
      <c r="GP196" s="159"/>
      <c r="GQ196" s="159"/>
      <c r="GR196" s="159"/>
      <c r="GS196" s="159"/>
      <c r="GT196" s="159"/>
      <c r="GU196" s="159"/>
      <c r="GV196" s="159"/>
      <c r="GW196" s="159"/>
      <c r="GX196" s="159"/>
      <c r="GY196" s="159"/>
      <c r="GZ196" s="159"/>
      <c r="HA196" s="159"/>
      <c r="HB196" s="159"/>
      <c r="HC196" s="159"/>
      <c r="HD196" s="159"/>
      <c r="HE196" s="159"/>
      <c r="HF196" s="159"/>
      <c r="HG196" s="159"/>
      <c r="HH196" s="159"/>
      <c r="HI196" s="159"/>
      <c r="HJ196" s="159"/>
      <c r="HK196" s="159"/>
      <c r="HL196" s="159"/>
      <c r="HM196" s="159"/>
      <c r="HN196" s="159"/>
      <c r="HO196" s="159"/>
      <c r="HP196" s="159"/>
      <c r="HQ196" s="159"/>
      <c r="HR196" s="159"/>
      <c r="HS196" s="159"/>
      <c r="HT196" s="159"/>
      <c r="HU196" s="159"/>
      <c r="HV196" s="159"/>
      <c r="HW196" s="159"/>
      <c r="HX196" s="159"/>
      <c r="HY196" s="159"/>
      <c r="HZ196" s="159"/>
      <c r="IA196" s="159"/>
      <c r="IB196" s="159"/>
      <c r="IC196" s="159"/>
      <c r="ID196" s="159"/>
      <c r="IE196" s="159"/>
      <c r="IF196" s="159"/>
      <c r="IG196" s="159"/>
      <c r="IH196" s="159"/>
      <c r="II196" s="159"/>
      <c r="IJ196" s="159"/>
      <c r="IK196" s="159"/>
      <c r="IL196" s="159"/>
      <c r="IM196" s="159"/>
      <c r="IN196" s="159"/>
      <c r="IO196" s="159"/>
      <c r="IP196" s="159"/>
      <c r="IQ196" s="159"/>
      <c r="IR196" s="159"/>
      <c r="IS196" s="159"/>
      <c r="IT196" s="159"/>
      <c r="IU196" s="159"/>
      <c r="IV196" s="159"/>
      <c r="IW196" s="159"/>
      <c r="IX196" s="159"/>
      <c r="IY196" s="159"/>
      <c r="IZ196" s="159"/>
      <c r="JA196" s="159"/>
      <c r="JB196" s="159"/>
      <c r="JC196" s="159"/>
      <c r="JD196" s="159"/>
      <c r="JE196" s="159"/>
      <c r="JF196" s="159"/>
      <c r="JG196" s="159"/>
      <c r="JH196" s="159"/>
      <c r="JI196" s="159"/>
      <c r="JJ196" s="159"/>
      <c r="JK196" s="159"/>
      <c r="JL196" s="159"/>
      <c r="JM196" s="159"/>
      <c r="JN196" s="159"/>
      <c r="JO196" s="159"/>
      <c r="JP196" s="159"/>
      <c r="JQ196" s="159"/>
      <c r="JR196" s="159"/>
      <c r="JS196" s="159"/>
      <c r="JT196" s="159"/>
      <c r="JU196" s="159"/>
      <c r="JV196" s="159"/>
      <c r="JW196" s="159"/>
      <c r="JX196" s="159"/>
      <c r="JY196" s="159"/>
      <c r="JZ196" s="159"/>
      <c r="KA196" s="159"/>
      <c r="KB196" s="159"/>
      <c r="KC196" s="159"/>
      <c r="KD196" s="159"/>
      <c r="KE196" s="159"/>
      <c r="KF196" s="159"/>
      <c r="KG196" s="159"/>
      <c r="KH196" s="159"/>
      <c r="KI196" s="159"/>
      <c r="KJ196" s="159"/>
      <c r="KK196" s="159"/>
      <c r="KL196" s="159"/>
      <c r="KM196" s="159"/>
      <c r="KN196" s="159"/>
      <c r="KO196" s="159"/>
      <c r="KP196" s="159"/>
      <c r="KQ196" s="159"/>
      <c r="KR196" s="159"/>
      <c r="KS196" s="159"/>
      <c r="KT196" s="159"/>
      <c r="KU196" s="159"/>
      <c r="KV196" s="159"/>
      <c r="KW196" s="159"/>
      <c r="KX196" s="159"/>
      <c r="KY196" s="159"/>
      <c r="KZ196" s="159"/>
      <c r="LA196" s="159"/>
      <c r="LB196" s="159"/>
      <c r="LC196" s="159"/>
      <c r="LD196" s="159"/>
      <c r="LE196" s="159"/>
      <c r="LF196" s="159"/>
      <c r="LG196" s="159"/>
      <c r="LH196" s="159"/>
      <c r="LI196" s="159"/>
      <c r="LJ196" s="159"/>
      <c r="LK196" s="159"/>
      <c r="LL196" s="159"/>
      <c r="LM196" s="159"/>
      <c r="LN196" s="159"/>
      <c r="LO196" s="159"/>
      <c r="LP196" s="159"/>
      <c r="LQ196" s="159"/>
      <c r="LR196" s="159"/>
      <c r="LS196" s="159"/>
      <c r="LT196" s="159"/>
      <c r="LU196" s="159"/>
      <c r="LV196" s="159"/>
      <c r="LW196" s="159"/>
      <c r="LX196" s="159"/>
      <c r="LY196" s="159"/>
      <c r="LZ196" s="159"/>
      <c r="MA196" s="159"/>
      <c r="MB196" s="159"/>
      <c r="MC196" s="159"/>
      <c r="MD196" s="159"/>
      <c r="ME196" s="159"/>
      <c r="MF196" s="159"/>
      <c r="MG196" s="159"/>
      <c r="MH196" s="159"/>
      <c r="MI196" s="159"/>
      <c r="MJ196" s="159"/>
      <c r="MK196" s="159"/>
      <c r="ML196" s="159"/>
      <c r="MM196" s="159"/>
      <c r="MN196" s="159"/>
      <c r="MO196" s="159"/>
      <c r="MP196" s="159"/>
      <c r="MQ196" s="159"/>
      <c r="MR196" s="159"/>
      <c r="MS196" s="159"/>
      <c r="MT196" s="159"/>
      <c r="MU196" s="159"/>
      <c r="MV196" s="159"/>
      <c r="MW196" s="159"/>
      <c r="MX196" s="159"/>
      <c r="MY196" s="159"/>
      <c r="MZ196" s="159"/>
      <c r="NA196" s="159"/>
      <c r="NB196" s="159"/>
      <c r="NC196" s="159"/>
      <c r="ND196" s="159"/>
      <c r="NE196" s="159"/>
      <c r="NF196" s="159"/>
      <c r="NG196" s="159"/>
      <c r="NH196" s="159"/>
      <c r="NI196" s="159"/>
      <c r="NJ196" s="159"/>
      <c r="NK196" s="159"/>
      <c r="NL196" s="159"/>
      <c r="NM196" s="159"/>
      <c r="NN196" s="159"/>
      <c r="NO196" s="159"/>
      <c r="NP196" s="159"/>
      <c r="NQ196" s="159"/>
      <c r="NR196" s="159"/>
      <c r="NS196" s="159"/>
      <c r="NT196" s="159"/>
      <c r="NU196" s="159"/>
      <c r="NV196" s="159"/>
      <c r="NW196" s="159"/>
      <c r="NX196" s="159"/>
      <c r="NY196" s="159"/>
      <c r="NZ196" s="159"/>
      <c r="OA196" s="159"/>
      <c r="OB196" s="159"/>
      <c r="OC196" s="159"/>
      <c r="OD196" s="159"/>
      <c r="OE196" s="159"/>
      <c r="OF196" s="159"/>
      <c r="OG196" s="159"/>
      <c r="OH196" s="159"/>
      <c r="OI196" s="159"/>
      <c r="OJ196" s="159"/>
      <c r="OK196" s="159"/>
      <c r="OL196" s="159"/>
      <c r="OM196" s="159"/>
      <c r="ON196" s="159"/>
      <c r="OO196" s="159"/>
      <c r="OP196" s="159"/>
      <c r="OQ196" s="159"/>
      <c r="OR196" s="159"/>
      <c r="OS196" s="159"/>
      <c r="OT196" s="159"/>
      <c r="OU196" s="159"/>
      <c r="OV196" s="159"/>
      <c r="OW196" s="159"/>
      <c r="OX196" s="159"/>
      <c r="OY196" s="159"/>
      <c r="OZ196" s="159"/>
      <c r="PA196" s="159"/>
      <c r="PB196" s="159"/>
      <c r="PC196" s="159"/>
      <c r="PD196" s="159"/>
      <c r="PE196" s="159"/>
      <c r="PF196" s="159"/>
      <c r="PG196" s="159"/>
      <c r="PH196" s="159"/>
      <c r="PI196" s="159"/>
      <c r="PJ196" s="159"/>
      <c r="PK196" s="159"/>
      <c r="PL196" s="159"/>
      <c r="PM196" s="159"/>
      <c r="PN196" s="159"/>
      <c r="PO196" s="159"/>
      <c r="PP196" s="159"/>
      <c r="PQ196" s="159"/>
      <c r="PR196" s="159"/>
      <c r="PS196" s="159"/>
      <c r="PT196" s="159"/>
      <c r="PU196" s="159"/>
      <c r="PV196" s="159"/>
      <c r="PW196" s="159"/>
      <c r="PX196" s="159"/>
      <c r="PY196" s="159"/>
      <c r="PZ196" s="159"/>
      <c r="QA196" s="159"/>
      <c r="QB196" s="159"/>
      <c r="QC196" s="159"/>
      <c r="QD196" s="159"/>
      <c r="QE196" s="159"/>
      <c r="QF196" s="159"/>
      <c r="QG196" s="159"/>
      <c r="QH196" s="159"/>
      <c r="QI196" s="159"/>
      <c r="QJ196" s="159"/>
      <c r="QK196" s="159"/>
      <c r="QL196" s="159"/>
      <c r="QM196" s="159"/>
      <c r="QN196" s="159"/>
      <c r="QO196" s="159"/>
      <c r="QP196" s="159"/>
      <c r="QQ196" s="159"/>
      <c r="QR196" s="159"/>
      <c r="QS196" s="159"/>
      <c r="QT196" s="159"/>
      <c r="QU196" s="159"/>
      <c r="QV196" s="159"/>
      <c r="QW196" s="159"/>
      <c r="QX196" s="159"/>
      <c r="QY196" s="159"/>
      <c r="QZ196" s="159"/>
      <c r="RA196" s="159"/>
      <c r="RB196" s="159"/>
      <c r="RC196" s="159"/>
      <c r="RD196" s="159"/>
      <c r="RE196" s="159"/>
      <c r="RF196" s="159"/>
      <c r="RG196" s="159"/>
      <c r="RH196" s="159"/>
      <c r="RI196" s="159"/>
      <c r="RJ196" s="159"/>
      <c r="RK196" s="159"/>
      <c r="RL196" s="159"/>
      <c r="RM196" s="159"/>
      <c r="RN196" s="159"/>
      <c r="RO196" s="159"/>
      <c r="RP196" s="159"/>
      <c r="RQ196" s="159"/>
      <c r="RR196" s="159"/>
      <c r="RS196" s="159"/>
      <c r="RT196" s="159"/>
      <c r="RU196" s="159"/>
      <c r="RV196" s="159"/>
      <c r="RW196" s="159"/>
      <c r="RX196" s="159"/>
      <c r="RY196" s="159"/>
      <c r="RZ196" s="159"/>
      <c r="SA196" s="159"/>
      <c r="SB196" s="159"/>
      <c r="SC196" s="159"/>
      <c r="SD196" s="159"/>
      <c r="SE196" s="159"/>
      <c r="SF196" s="159"/>
      <c r="SG196" s="159"/>
      <c r="SH196" s="159"/>
      <c r="SI196" s="159"/>
      <c r="SJ196" s="159"/>
      <c r="SK196" s="159"/>
      <c r="SL196" s="159"/>
      <c r="SM196" s="159"/>
      <c r="SN196" s="159"/>
      <c r="SO196" s="159"/>
      <c r="SP196" s="159"/>
      <c r="SQ196" s="159"/>
      <c r="SR196" s="159"/>
      <c r="SS196" s="159"/>
      <c r="ST196" s="159"/>
      <c r="SU196" s="159"/>
      <c r="SV196" s="159"/>
      <c r="SW196" s="159"/>
      <c r="SX196" s="159"/>
      <c r="SY196" s="159"/>
      <c r="SZ196" s="159"/>
      <c r="TA196" s="159"/>
      <c r="TB196" s="159"/>
      <c r="TC196" s="159"/>
      <c r="TD196" s="159"/>
      <c r="TE196" s="159"/>
      <c r="TF196" s="159"/>
      <c r="TG196" s="159"/>
      <c r="TH196" s="159"/>
      <c r="TI196" s="159"/>
      <c r="TJ196" s="159"/>
      <c r="TK196" s="159"/>
      <c r="TL196" s="159"/>
      <c r="TM196" s="159"/>
      <c r="TN196" s="159"/>
      <c r="TO196" s="159"/>
      <c r="TP196" s="159"/>
      <c r="TQ196" s="159"/>
      <c r="TR196" s="159"/>
      <c r="TS196" s="159"/>
      <c r="TT196" s="159"/>
      <c r="TU196" s="159"/>
      <c r="TV196" s="159"/>
      <c r="TW196" s="159"/>
      <c r="TX196" s="159"/>
      <c r="TY196" s="159"/>
      <c r="TZ196" s="159"/>
      <c r="UA196" s="159"/>
      <c r="UB196" s="159"/>
      <c r="UC196" s="159"/>
      <c r="UD196" s="159"/>
      <c r="UE196" s="159"/>
      <c r="UF196" s="159"/>
      <c r="UG196" s="159"/>
      <c r="UH196" s="159"/>
      <c r="UI196" s="159"/>
      <c r="UJ196" s="159"/>
      <c r="UK196" s="159"/>
      <c r="UL196" s="159"/>
      <c r="UM196" s="159"/>
      <c r="UN196" s="159"/>
      <c r="UO196" s="159"/>
      <c r="UP196" s="159"/>
      <c r="UQ196" s="159"/>
      <c r="UR196" s="159"/>
      <c r="US196" s="159"/>
      <c r="UT196" s="159"/>
      <c r="UU196" s="159"/>
      <c r="UV196" s="159"/>
      <c r="UW196" s="159"/>
      <c r="UX196" s="159"/>
      <c r="UY196" s="159"/>
      <c r="UZ196" s="159"/>
      <c r="VA196" s="159"/>
      <c r="VB196" s="159"/>
      <c r="VC196" s="159"/>
      <c r="VD196" s="159"/>
      <c r="VE196" s="159"/>
      <c r="VF196" s="159"/>
      <c r="VG196" s="159"/>
      <c r="VH196" s="159"/>
      <c r="VI196" s="159"/>
      <c r="VJ196" s="159"/>
      <c r="VK196" s="159"/>
      <c r="VL196" s="159"/>
      <c r="VM196" s="159"/>
      <c r="VN196" s="159"/>
      <c r="VO196" s="159"/>
      <c r="VP196" s="159"/>
      <c r="VQ196" s="159"/>
      <c r="VR196" s="159"/>
      <c r="VS196" s="159"/>
      <c r="VT196" s="159"/>
      <c r="VU196" s="159"/>
      <c r="VV196" s="159"/>
      <c r="VW196" s="159"/>
      <c r="VX196" s="159"/>
      <c r="VY196" s="159"/>
      <c r="VZ196" s="159"/>
      <c r="WA196" s="159"/>
      <c r="WB196" s="159"/>
      <c r="WC196" s="159"/>
      <c r="WD196" s="159"/>
      <c r="WE196" s="159"/>
      <c r="WF196" s="159"/>
      <c r="WG196" s="159"/>
      <c r="WH196" s="159"/>
      <c r="WI196" s="159"/>
      <c r="WJ196" s="159"/>
      <c r="WK196" s="159"/>
      <c r="WL196" s="159"/>
      <c r="WM196" s="159"/>
      <c r="WN196" s="159"/>
      <c r="WO196" s="159"/>
      <c r="WP196" s="159"/>
      <c r="WQ196" s="159"/>
      <c r="WR196" s="159"/>
      <c r="WS196" s="159"/>
      <c r="WT196" s="159"/>
      <c r="WU196" s="159"/>
      <c r="WV196" s="159"/>
      <c r="WW196" s="159"/>
      <c r="WX196" s="159"/>
      <c r="WY196" s="159"/>
      <c r="WZ196" s="159"/>
      <c r="XA196" s="159"/>
      <c r="XB196" s="159"/>
      <c r="XC196" s="159"/>
      <c r="XD196" s="159"/>
      <c r="XE196" s="159"/>
      <c r="XF196" s="159"/>
      <c r="XG196" s="159"/>
      <c r="XH196" s="159"/>
      <c r="XI196" s="159"/>
      <c r="XJ196" s="159"/>
      <c r="XK196" s="159"/>
      <c r="XL196" s="159"/>
      <c r="XM196" s="159"/>
      <c r="XN196" s="159"/>
      <c r="XO196" s="159"/>
      <c r="XP196" s="159"/>
      <c r="XQ196" s="159"/>
      <c r="XR196" s="159"/>
      <c r="XS196" s="159"/>
      <c r="XT196" s="159"/>
      <c r="XU196" s="159"/>
      <c r="XV196" s="159"/>
      <c r="XW196" s="159"/>
      <c r="XX196" s="159"/>
      <c r="XY196" s="159"/>
      <c r="XZ196" s="159"/>
      <c r="YA196" s="159"/>
      <c r="YB196" s="159"/>
      <c r="YC196" s="159"/>
      <c r="YD196" s="159"/>
      <c r="YE196" s="159"/>
      <c r="YF196" s="159"/>
      <c r="YG196" s="159"/>
      <c r="YH196" s="159"/>
      <c r="YI196" s="159"/>
      <c r="YJ196" s="159"/>
      <c r="YK196" s="159"/>
      <c r="YL196" s="159"/>
      <c r="YM196" s="159"/>
      <c r="YN196" s="159"/>
      <c r="YO196" s="159"/>
      <c r="YP196" s="159"/>
      <c r="YQ196" s="159"/>
      <c r="YR196" s="159"/>
      <c r="YS196" s="159"/>
      <c r="YT196" s="159"/>
      <c r="YU196" s="159"/>
      <c r="YV196" s="159"/>
      <c r="YW196" s="159"/>
      <c r="YX196" s="159"/>
      <c r="YY196" s="159"/>
      <c r="YZ196" s="159"/>
      <c r="ZA196" s="159"/>
      <c r="ZB196" s="159"/>
      <c r="ZC196" s="159"/>
      <c r="ZD196" s="159"/>
      <c r="ZE196" s="159"/>
      <c r="ZF196" s="159"/>
      <c r="ZG196" s="159"/>
      <c r="ZH196" s="159"/>
      <c r="ZI196" s="159"/>
      <c r="ZJ196" s="159"/>
      <c r="ZK196" s="159"/>
      <c r="ZL196" s="159"/>
      <c r="ZM196" s="159"/>
      <c r="ZN196" s="159"/>
      <c r="ZO196" s="159"/>
      <c r="ZP196" s="159"/>
      <c r="ZQ196" s="159"/>
      <c r="ZR196" s="159"/>
      <c r="ZS196" s="159"/>
      <c r="ZT196" s="159"/>
      <c r="ZU196" s="159"/>
      <c r="ZV196" s="159"/>
      <c r="ZW196" s="159"/>
      <c r="ZX196" s="159"/>
      <c r="ZY196" s="159"/>
      <c r="ZZ196" s="159"/>
      <c r="AAA196" s="159"/>
      <c r="AAB196" s="159"/>
      <c r="AAC196" s="159"/>
      <c r="AAD196" s="159"/>
      <c r="AAE196" s="159"/>
      <c r="AAF196" s="159"/>
      <c r="AAG196" s="159"/>
      <c r="AAH196" s="159"/>
      <c r="AAI196" s="159"/>
      <c r="AAJ196" s="159"/>
      <c r="AAK196" s="159"/>
      <c r="AAL196" s="159"/>
      <c r="AAM196" s="159"/>
      <c r="AAN196" s="159"/>
      <c r="AAO196" s="159"/>
      <c r="AAP196" s="159"/>
      <c r="AAQ196" s="159"/>
      <c r="AAR196" s="159"/>
      <c r="AAS196" s="159"/>
      <c r="AAT196" s="159"/>
      <c r="AAU196" s="159"/>
      <c r="AAV196" s="159"/>
      <c r="AAW196" s="159"/>
      <c r="AAX196" s="159"/>
      <c r="AAY196" s="159"/>
      <c r="AAZ196" s="159"/>
      <c r="ABA196" s="159"/>
      <c r="ABB196" s="159"/>
      <c r="ABC196" s="159"/>
      <c r="ABD196" s="159"/>
      <c r="ABE196" s="159"/>
      <c r="ABF196" s="159"/>
      <c r="ABG196" s="159"/>
      <c r="ABH196" s="159"/>
      <c r="ABI196" s="159"/>
      <c r="ABJ196" s="159"/>
      <c r="ABK196" s="159"/>
      <c r="ABL196" s="159"/>
      <c r="ABM196" s="159"/>
      <c r="ABN196" s="159"/>
      <c r="ABO196" s="159"/>
      <c r="ABP196" s="159"/>
      <c r="ABQ196" s="159"/>
      <c r="ABR196" s="159"/>
      <c r="ABS196" s="159"/>
      <c r="ABT196" s="159"/>
      <c r="ABU196" s="159"/>
      <c r="ABV196" s="159"/>
      <c r="ABW196" s="159"/>
      <c r="ABX196" s="159"/>
      <c r="ABY196" s="159"/>
      <c r="ABZ196" s="159"/>
      <c r="ACA196" s="159"/>
      <c r="ACB196" s="159"/>
      <c r="ACC196" s="159"/>
      <c r="ACD196" s="159"/>
      <c r="ACE196" s="159"/>
      <c r="ACF196" s="159"/>
      <c r="ACG196" s="159"/>
      <c r="ACH196" s="159"/>
      <c r="ACI196" s="159"/>
      <c r="ACJ196" s="159"/>
      <c r="ACK196" s="159"/>
      <c r="ACL196" s="159"/>
      <c r="ACM196" s="159"/>
      <c r="ACN196" s="159"/>
      <c r="ACO196" s="159"/>
      <c r="ACP196" s="159"/>
      <c r="ACQ196" s="159"/>
      <c r="ACR196" s="159"/>
      <c r="ACS196" s="159"/>
      <c r="ACT196" s="159"/>
      <c r="ACU196" s="159"/>
      <c r="ACV196" s="159"/>
      <c r="ACW196" s="159"/>
      <c r="ACX196" s="159"/>
      <c r="ACY196" s="159"/>
      <c r="ACZ196" s="159"/>
      <c r="ADA196" s="159"/>
      <c r="ADB196" s="159"/>
      <c r="ADC196" s="159"/>
      <c r="ADD196" s="159"/>
      <c r="ADE196" s="159"/>
      <c r="ADF196" s="159"/>
      <c r="ADG196" s="159"/>
      <c r="ADH196" s="159"/>
      <c r="ADI196" s="159"/>
      <c r="ADJ196" s="159"/>
      <c r="ADK196" s="159"/>
      <c r="ADL196" s="159"/>
      <c r="ADM196" s="159"/>
      <c r="ADN196" s="159"/>
      <c r="ADO196" s="159"/>
      <c r="ADP196" s="159"/>
      <c r="ADQ196" s="159"/>
      <c r="ADR196" s="159"/>
      <c r="ADS196" s="159"/>
      <c r="ADT196" s="159"/>
      <c r="ADU196" s="159"/>
      <c r="ADV196" s="159"/>
      <c r="ADW196" s="159"/>
      <c r="ADX196" s="159"/>
      <c r="ADY196" s="159"/>
      <c r="ADZ196" s="159"/>
      <c r="AEA196" s="159"/>
      <c r="AEB196" s="159"/>
      <c r="AEC196" s="159"/>
      <c r="AED196" s="159"/>
      <c r="AEE196" s="159"/>
      <c r="AEF196" s="159"/>
      <c r="AEG196" s="159"/>
      <c r="AEH196" s="159"/>
      <c r="AEI196" s="159"/>
      <c r="AEJ196" s="159"/>
      <c r="AEK196" s="159"/>
      <c r="AEL196" s="159"/>
      <c r="AEM196" s="159"/>
      <c r="AEN196" s="159"/>
      <c r="AEO196" s="159"/>
      <c r="AEP196" s="159"/>
      <c r="AEQ196" s="159"/>
      <c r="AER196" s="159"/>
      <c r="AES196" s="159"/>
      <c r="AET196" s="159"/>
      <c r="AEU196" s="159"/>
      <c r="AEV196" s="159"/>
      <c r="AEW196" s="159"/>
      <c r="AEX196" s="159"/>
      <c r="AEY196" s="159"/>
      <c r="AEZ196" s="159"/>
      <c r="AFA196" s="159"/>
      <c r="AFB196" s="159"/>
      <c r="AFC196" s="159"/>
      <c r="AFD196" s="159"/>
      <c r="AFE196" s="159"/>
      <c r="AFF196" s="159"/>
      <c r="AFG196" s="159"/>
      <c r="AFH196" s="159"/>
      <c r="AFI196" s="159"/>
      <c r="AFJ196" s="159"/>
      <c r="AFK196" s="159"/>
      <c r="AFL196" s="159"/>
      <c r="AFM196" s="159"/>
      <c r="AFN196" s="159"/>
      <c r="AFO196" s="159"/>
      <c r="AFP196" s="159"/>
      <c r="AFQ196" s="159"/>
      <c r="AFR196" s="159"/>
      <c r="AFS196" s="159"/>
      <c r="AFT196" s="159"/>
      <c r="AFU196" s="159"/>
      <c r="AFV196" s="159"/>
      <c r="AFW196" s="159"/>
      <c r="AFX196" s="159"/>
      <c r="AFY196" s="159"/>
      <c r="AFZ196" s="159"/>
      <c r="AGA196" s="159"/>
      <c r="AGB196" s="159"/>
      <c r="AGC196" s="159"/>
      <c r="AGD196" s="159"/>
      <c r="AGE196" s="159"/>
      <c r="AGF196" s="159"/>
      <c r="AGG196" s="159"/>
      <c r="AGH196" s="159"/>
      <c r="AGI196" s="159"/>
      <c r="AGJ196" s="159"/>
      <c r="AGK196" s="159"/>
      <c r="AGL196" s="159"/>
      <c r="AGM196" s="159"/>
      <c r="AGN196" s="159"/>
      <c r="AGO196" s="159"/>
      <c r="AGP196" s="159"/>
      <c r="AGQ196" s="159"/>
      <c r="AGR196" s="159"/>
      <c r="AGS196" s="159"/>
      <c r="AGT196" s="159"/>
      <c r="AGU196" s="159"/>
      <c r="AGV196" s="159"/>
      <c r="AGW196" s="159"/>
      <c r="AGX196" s="159"/>
      <c r="AGY196" s="159"/>
      <c r="AGZ196" s="159"/>
      <c r="AHA196" s="159"/>
      <c r="AHB196" s="159"/>
      <c r="AHC196" s="159"/>
      <c r="AHD196" s="159"/>
      <c r="AHE196" s="159"/>
      <c r="AHF196" s="159"/>
      <c r="AHG196" s="159"/>
      <c r="AHH196" s="159"/>
      <c r="AHI196" s="159"/>
      <c r="AHJ196" s="159"/>
      <c r="AHK196" s="159"/>
      <c r="AHL196" s="159"/>
      <c r="AHM196" s="159"/>
      <c r="AHN196" s="159"/>
      <c r="AHO196" s="159"/>
      <c r="AHP196" s="159"/>
      <c r="AHQ196" s="159"/>
      <c r="AHR196" s="159"/>
      <c r="AHS196" s="159"/>
      <c r="AHT196" s="159"/>
      <c r="AHU196" s="159"/>
      <c r="AHV196" s="159"/>
      <c r="AHW196" s="159"/>
      <c r="AHX196" s="159"/>
      <c r="AHY196" s="159"/>
      <c r="AHZ196" s="159"/>
      <c r="AIA196" s="159"/>
      <c r="AIB196" s="159"/>
      <c r="AIC196" s="159"/>
      <c r="AID196" s="159"/>
      <c r="AIE196" s="159"/>
      <c r="AIF196" s="159"/>
      <c r="AIG196" s="159"/>
      <c r="AIH196" s="159"/>
      <c r="AII196" s="159"/>
      <c r="AIJ196" s="159"/>
      <c r="AIK196" s="159"/>
      <c r="AIL196" s="159"/>
      <c r="AIM196" s="159"/>
      <c r="AIN196" s="159"/>
      <c r="AIO196" s="159"/>
      <c r="AIP196" s="159"/>
      <c r="AIQ196" s="159"/>
      <c r="AIR196" s="159"/>
      <c r="AIS196" s="159"/>
      <c r="AIT196" s="159"/>
      <c r="AIU196" s="159"/>
      <c r="AIV196" s="159"/>
      <c r="AIW196" s="159"/>
      <c r="AIX196" s="159"/>
      <c r="AIY196" s="159"/>
      <c r="AIZ196" s="159"/>
      <c r="AJA196" s="159"/>
      <c r="AJB196" s="159"/>
      <c r="AJC196" s="159"/>
      <c r="AJD196" s="159"/>
      <c r="AJE196" s="159"/>
      <c r="AJF196" s="159"/>
      <c r="AJG196" s="159"/>
      <c r="AJH196" s="159"/>
      <c r="AJI196" s="159"/>
      <c r="AJJ196" s="159"/>
      <c r="AJK196" s="159"/>
      <c r="AJL196" s="159"/>
      <c r="AJM196" s="159"/>
      <c r="AJN196" s="159"/>
      <c r="AJO196" s="159"/>
      <c r="AJP196" s="159"/>
      <c r="AJQ196" s="159"/>
      <c r="AJR196" s="159"/>
      <c r="AJS196" s="159"/>
      <c r="AJT196" s="159"/>
      <c r="AJU196" s="159"/>
      <c r="AJV196" s="159"/>
      <c r="AJW196" s="159"/>
      <c r="AJX196" s="159"/>
      <c r="AJY196" s="159"/>
      <c r="AJZ196" s="159"/>
      <c r="AKA196" s="159"/>
      <c r="AKB196" s="159"/>
      <c r="AKC196" s="159"/>
      <c r="AKD196" s="159"/>
      <c r="AKE196" s="159"/>
      <c r="AKF196" s="159"/>
      <c r="AKG196" s="159"/>
      <c r="AKH196" s="159"/>
      <c r="AKI196" s="159"/>
      <c r="AKJ196" s="159"/>
      <c r="AKK196" s="159"/>
      <c r="AKL196" s="159"/>
      <c r="AKM196" s="159"/>
      <c r="AKN196" s="159"/>
      <c r="AKO196" s="159"/>
      <c r="AKP196" s="159"/>
      <c r="AKQ196" s="159"/>
      <c r="AKR196" s="159"/>
      <c r="AKS196" s="159"/>
      <c r="AKT196" s="159"/>
      <c r="AKU196" s="159"/>
      <c r="AKV196" s="159"/>
      <c r="AKW196" s="159"/>
      <c r="AKX196" s="159"/>
      <c r="AKY196" s="159"/>
      <c r="AKZ196" s="159"/>
      <c r="ALA196" s="159"/>
      <c r="ALB196" s="159"/>
      <c r="ALC196" s="159"/>
      <c r="ALD196" s="159"/>
      <c r="ALE196" s="159"/>
      <c r="ALF196" s="159"/>
      <c r="ALG196" s="159"/>
      <c r="ALH196" s="159"/>
      <c r="ALI196" s="159"/>
      <c r="ALJ196" s="159"/>
      <c r="ALK196" s="159"/>
      <c r="ALL196" s="159"/>
      <c r="ALM196" s="159"/>
      <c r="ALN196" s="159"/>
      <c r="ALO196" s="159"/>
      <c r="ALP196" s="159"/>
      <c r="ALQ196" s="159"/>
      <c r="ALR196" s="159"/>
      <c r="ALS196" s="159"/>
      <c r="ALT196" s="159"/>
      <c r="ALU196" s="159"/>
      <c r="ALV196" s="159"/>
      <c r="ALW196" s="159"/>
      <c r="ALX196" s="159"/>
      <c r="ALY196" s="159"/>
      <c r="ALZ196" s="159"/>
      <c r="AMA196" s="159"/>
      <c r="AMB196" s="159"/>
      <c r="AMC196" s="159"/>
      <c r="AMD196" s="159"/>
      <c r="AME196" s="159"/>
      <c r="AMF196" s="159"/>
      <c r="AMG196" s="159"/>
      <c r="AMH196" s="159"/>
      <c r="AMI196" s="159"/>
      <c r="AMJ196" s="159"/>
      <c r="AMK196" s="159"/>
      <c r="AML196" s="159"/>
      <c r="AMM196" s="159"/>
      <c r="AMN196" s="159"/>
      <c r="AMO196" s="159"/>
    </row>
    <row r="197" spans="1:1029" s="161" customFormat="1" ht="25.5" x14ac:dyDescent="0.25">
      <c r="A197" s="138">
        <v>46296</v>
      </c>
      <c r="B197" s="99" t="s">
        <v>73</v>
      </c>
      <c r="C197" s="99" t="s">
        <v>54</v>
      </c>
      <c r="D197" s="160" t="s">
        <v>31</v>
      </c>
      <c r="E197" s="120" t="str">
        <f>I197</f>
        <v>Nudel mit Thunfischsoße</v>
      </c>
      <c r="F197" s="121" t="str">
        <f>J197</f>
        <v>Hühnerhaxlen</v>
      </c>
      <c r="G197" s="121" t="str">
        <f>K197</f>
        <v>Pommes</v>
      </c>
      <c r="H197" s="141">
        <f t="shared" si="12"/>
        <v>1.5</v>
      </c>
      <c r="I197" s="120" t="s">
        <v>73</v>
      </c>
      <c r="J197" s="121" t="s">
        <v>30</v>
      </c>
      <c r="K197" s="121" t="s">
        <v>31</v>
      </c>
      <c r="L197" s="141">
        <f t="shared" si="13"/>
        <v>1.5</v>
      </c>
      <c r="M197" s="121" t="s">
        <v>193</v>
      </c>
      <c r="N197" s="121" t="s">
        <v>36</v>
      </c>
      <c r="O197" s="121" t="s">
        <v>37</v>
      </c>
      <c r="P197" s="141" t="b">
        <f t="shared" si="14"/>
        <v>0</v>
      </c>
      <c r="Q197" s="149" t="s">
        <v>76</v>
      </c>
      <c r="R197" s="99" t="s">
        <v>10</v>
      </c>
      <c r="S197" s="99" t="s">
        <v>11</v>
      </c>
      <c r="T197" s="141" t="b">
        <f t="shared" si="15"/>
        <v>0</v>
      </c>
      <c r="U197" s="159"/>
      <c r="V197" s="159"/>
      <c r="W197" s="159"/>
      <c r="X197" s="159"/>
      <c r="Y197" s="159"/>
      <c r="Z197" s="159"/>
      <c r="AA197" s="159"/>
      <c r="AB197" s="159"/>
      <c r="AC197" s="159"/>
      <c r="AD197" s="159"/>
      <c r="AE197" s="159"/>
      <c r="AF197" s="159"/>
      <c r="AG197" s="159"/>
      <c r="AH197" s="159"/>
      <c r="AI197" s="159"/>
      <c r="AJ197" s="159"/>
      <c r="AK197" s="159"/>
      <c r="AL197" s="159"/>
      <c r="AM197" s="159"/>
      <c r="AN197" s="159"/>
      <c r="AO197" s="159"/>
      <c r="AP197" s="159"/>
      <c r="AQ197" s="159"/>
      <c r="AR197" s="159"/>
      <c r="AS197" s="159"/>
      <c r="AT197" s="159"/>
      <c r="AU197" s="159"/>
      <c r="AV197" s="159"/>
      <c r="AW197" s="159"/>
      <c r="AX197" s="159"/>
      <c r="AY197" s="159"/>
      <c r="AZ197" s="159"/>
      <c r="BA197" s="159"/>
      <c r="BB197" s="159"/>
      <c r="BC197" s="159"/>
      <c r="BD197" s="159"/>
      <c r="BE197" s="159"/>
      <c r="BF197" s="159"/>
      <c r="BG197" s="159"/>
      <c r="BH197" s="159"/>
      <c r="BI197" s="159"/>
      <c r="BJ197" s="159"/>
      <c r="BK197" s="159"/>
      <c r="BL197" s="159"/>
      <c r="BM197" s="159"/>
      <c r="BN197" s="159"/>
      <c r="BO197" s="159"/>
      <c r="BP197" s="159"/>
      <c r="BQ197" s="159"/>
      <c r="BR197" s="159"/>
      <c r="BS197" s="159"/>
      <c r="BT197" s="159"/>
      <c r="BU197" s="159"/>
      <c r="BV197" s="159"/>
      <c r="BW197" s="159"/>
      <c r="BX197" s="159"/>
      <c r="BY197" s="159"/>
      <c r="BZ197" s="159"/>
      <c r="CA197" s="159"/>
      <c r="CB197" s="159"/>
      <c r="CC197" s="159"/>
      <c r="CD197" s="159"/>
      <c r="CE197" s="159"/>
      <c r="CF197" s="159"/>
      <c r="CG197" s="159"/>
      <c r="CH197" s="159"/>
      <c r="CI197" s="159"/>
      <c r="CJ197" s="159"/>
      <c r="CK197" s="159"/>
      <c r="CL197" s="159"/>
      <c r="CM197" s="159"/>
      <c r="CN197" s="159"/>
      <c r="CO197" s="159"/>
      <c r="CP197" s="159"/>
      <c r="CQ197" s="159"/>
      <c r="CR197" s="159"/>
      <c r="CS197" s="159"/>
      <c r="CT197" s="159"/>
      <c r="CU197" s="159"/>
      <c r="CV197" s="159"/>
      <c r="CW197" s="159"/>
      <c r="CX197" s="159"/>
      <c r="CY197" s="159"/>
      <c r="CZ197" s="159"/>
      <c r="DA197" s="159"/>
      <c r="DB197" s="159"/>
      <c r="DC197" s="159"/>
      <c r="DD197" s="159"/>
      <c r="DE197" s="159"/>
      <c r="DF197" s="159"/>
      <c r="DG197" s="159"/>
      <c r="DH197" s="159"/>
      <c r="DI197" s="159"/>
      <c r="DJ197" s="159"/>
      <c r="DK197" s="159"/>
      <c r="DL197" s="159"/>
      <c r="DM197" s="159"/>
      <c r="DN197" s="159"/>
      <c r="DO197" s="159"/>
      <c r="DP197" s="159"/>
      <c r="DQ197" s="159"/>
      <c r="DR197" s="159"/>
      <c r="DS197" s="159"/>
      <c r="DT197" s="159"/>
      <c r="DU197" s="159"/>
      <c r="DV197" s="159"/>
      <c r="DW197" s="159"/>
      <c r="DX197" s="159"/>
      <c r="DY197" s="159"/>
      <c r="DZ197" s="159"/>
      <c r="EA197" s="159"/>
      <c r="EB197" s="159"/>
      <c r="EC197" s="159"/>
      <c r="ED197" s="159"/>
      <c r="EE197" s="159"/>
      <c r="EF197" s="159"/>
      <c r="EG197" s="159"/>
      <c r="EH197" s="159"/>
      <c r="EI197" s="159"/>
      <c r="EJ197" s="159"/>
      <c r="EK197" s="159"/>
      <c r="EL197" s="159"/>
      <c r="EM197" s="159"/>
      <c r="EN197" s="159"/>
      <c r="EO197" s="159"/>
      <c r="EP197" s="159"/>
      <c r="EQ197" s="159"/>
      <c r="ER197" s="159"/>
      <c r="ES197" s="159"/>
      <c r="ET197" s="159"/>
      <c r="EU197" s="159"/>
      <c r="EV197" s="159"/>
      <c r="EW197" s="159"/>
      <c r="EX197" s="159"/>
      <c r="EY197" s="159"/>
      <c r="EZ197" s="159"/>
      <c r="FA197" s="159"/>
      <c r="FB197" s="159"/>
      <c r="FC197" s="159"/>
      <c r="FD197" s="159"/>
      <c r="FE197" s="159"/>
      <c r="FF197" s="159"/>
      <c r="FG197" s="159"/>
      <c r="FH197" s="159"/>
      <c r="FI197" s="159"/>
      <c r="FJ197" s="159"/>
      <c r="FK197" s="159"/>
      <c r="FL197" s="159"/>
      <c r="FM197" s="159"/>
      <c r="FN197" s="159"/>
      <c r="FO197" s="159"/>
      <c r="FP197" s="159"/>
      <c r="FQ197" s="159"/>
      <c r="FR197" s="159"/>
      <c r="FS197" s="159"/>
      <c r="FT197" s="159"/>
      <c r="FU197" s="159"/>
      <c r="FV197" s="159"/>
      <c r="FW197" s="159"/>
      <c r="FX197" s="159"/>
      <c r="FY197" s="159"/>
      <c r="FZ197" s="159"/>
      <c r="GA197" s="159"/>
      <c r="GB197" s="159"/>
      <c r="GC197" s="159"/>
      <c r="GD197" s="159"/>
      <c r="GE197" s="159"/>
      <c r="GF197" s="159"/>
      <c r="GG197" s="159"/>
      <c r="GH197" s="159"/>
      <c r="GI197" s="159"/>
      <c r="GJ197" s="159"/>
      <c r="GK197" s="159"/>
      <c r="GL197" s="159"/>
      <c r="GM197" s="159"/>
      <c r="GN197" s="159"/>
      <c r="GO197" s="159"/>
      <c r="GP197" s="159"/>
      <c r="GQ197" s="159"/>
      <c r="GR197" s="159"/>
      <c r="GS197" s="159"/>
      <c r="GT197" s="159"/>
      <c r="GU197" s="159"/>
      <c r="GV197" s="159"/>
      <c r="GW197" s="159"/>
      <c r="GX197" s="159"/>
      <c r="GY197" s="159"/>
      <c r="GZ197" s="159"/>
      <c r="HA197" s="159"/>
      <c r="HB197" s="159"/>
      <c r="HC197" s="159"/>
      <c r="HD197" s="159"/>
      <c r="HE197" s="159"/>
      <c r="HF197" s="159"/>
      <c r="HG197" s="159"/>
      <c r="HH197" s="159"/>
      <c r="HI197" s="159"/>
      <c r="HJ197" s="159"/>
      <c r="HK197" s="159"/>
      <c r="HL197" s="159"/>
      <c r="HM197" s="159"/>
      <c r="HN197" s="159"/>
      <c r="HO197" s="159"/>
      <c r="HP197" s="159"/>
      <c r="HQ197" s="159"/>
      <c r="HR197" s="159"/>
      <c r="HS197" s="159"/>
      <c r="HT197" s="159"/>
      <c r="HU197" s="159"/>
      <c r="HV197" s="159"/>
      <c r="HW197" s="159"/>
      <c r="HX197" s="159"/>
      <c r="HY197" s="159"/>
      <c r="HZ197" s="159"/>
      <c r="IA197" s="159"/>
      <c r="IB197" s="159"/>
      <c r="IC197" s="159"/>
      <c r="ID197" s="159"/>
      <c r="IE197" s="159"/>
      <c r="IF197" s="159"/>
      <c r="IG197" s="159"/>
      <c r="IH197" s="159"/>
      <c r="II197" s="159"/>
      <c r="IJ197" s="159"/>
      <c r="IK197" s="159"/>
      <c r="IL197" s="159"/>
      <c r="IM197" s="159"/>
      <c r="IN197" s="159"/>
      <c r="IO197" s="159"/>
      <c r="IP197" s="159"/>
      <c r="IQ197" s="159"/>
      <c r="IR197" s="159"/>
      <c r="IS197" s="159"/>
      <c r="IT197" s="159"/>
      <c r="IU197" s="159"/>
      <c r="IV197" s="159"/>
      <c r="IW197" s="159"/>
      <c r="IX197" s="159"/>
      <c r="IY197" s="159"/>
      <c r="IZ197" s="159"/>
      <c r="JA197" s="159"/>
      <c r="JB197" s="159"/>
      <c r="JC197" s="159"/>
      <c r="JD197" s="159"/>
      <c r="JE197" s="159"/>
      <c r="JF197" s="159"/>
      <c r="JG197" s="159"/>
      <c r="JH197" s="159"/>
      <c r="JI197" s="159"/>
      <c r="JJ197" s="159"/>
      <c r="JK197" s="159"/>
      <c r="JL197" s="159"/>
      <c r="JM197" s="159"/>
      <c r="JN197" s="159"/>
      <c r="JO197" s="159"/>
      <c r="JP197" s="159"/>
      <c r="JQ197" s="159"/>
      <c r="JR197" s="159"/>
      <c r="JS197" s="159"/>
      <c r="JT197" s="159"/>
      <c r="JU197" s="159"/>
      <c r="JV197" s="159"/>
      <c r="JW197" s="159"/>
      <c r="JX197" s="159"/>
      <c r="JY197" s="159"/>
      <c r="JZ197" s="159"/>
      <c r="KA197" s="159"/>
      <c r="KB197" s="159"/>
      <c r="KC197" s="159"/>
      <c r="KD197" s="159"/>
      <c r="KE197" s="159"/>
      <c r="KF197" s="159"/>
      <c r="KG197" s="159"/>
      <c r="KH197" s="159"/>
      <c r="KI197" s="159"/>
      <c r="KJ197" s="159"/>
      <c r="KK197" s="159"/>
      <c r="KL197" s="159"/>
      <c r="KM197" s="159"/>
      <c r="KN197" s="159"/>
      <c r="KO197" s="159"/>
      <c r="KP197" s="159"/>
      <c r="KQ197" s="159"/>
      <c r="KR197" s="159"/>
      <c r="KS197" s="159"/>
      <c r="KT197" s="159"/>
      <c r="KU197" s="159"/>
      <c r="KV197" s="159"/>
      <c r="KW197" s="159"/>
      <c r="KX197" s="159"/>
      <c r="KY197" s="159"/>
      <c r="KZ197" s="159"/>
      <c r="LA197" s="159"/>
      <c r="LB197" s="159"/>
      <c r="LC197" s="159"/>
      <c r="LD197" s="159"/>
      <c r="LE197" s="159"/>
      <c r="LF197" s="159"/>
      <c r="LG197" s="159"/>
      <c r="LH197" s="159"/>
      <c r="LI197" s="159"/>
      <c r="LJ197" s="159"/>
      <c r="LK197" s="159"/>
      <c r="LL197" s="159"/>
      <c r="LM197" s="159"/>
      <c r="LN197" s="159"/>
      <c r="LO197" s="159"/>
      <c r="LP197" s="159"/>
      <c r="LQ197" s="159"/>
      <c r="LR197" s="159"/>
      <c r="LS197" s="159"/>
      <c r="LT197" s="159"/>
      <c r="LU197" s="159"/>
      <c r="LV197" s="159"/>
      <c r="LW197" s="159"/>
      <c r="LX197" s="159"/>
      <c r="LY197" s="159"/>
      <c r="LZ197" s="159"/>
      <c r="MA197" s="159"/>
      <c r="MB197" s="159"/>
      <c r="MC197" s="159"/>
      <c r="MD197" s="159"/>
      <c r="ME197" s="159"/>
      <c r="MF197" s="159"/>
      <c r="MG197" s="159"/>
      <c r="MH197" s="159"/>
      <c r="MI197" s="159"/>
      <c r="MJ197" s="159"/>
      <c r="MK197" s="159"/>
      <c r="ML197" s="159"/>
      <c r="MM197" s="159"/>
      <c r="MN197" s="159"/>
      <c r="MO197" s="159"/>
      <c r="MP197" s="159"/>
      <c r="MQ197" s="159"/>
      <c r="MR197" s="159"/>
      <c r="MS197" s="159"/>
      <c r="MT197" s="159"/>
      <c r="MU197" s="159"/>
      <c r="MV197" s="159"/>
      <c r="MW197" s="159"/>
      <c r="MX197" s="159"/>
      <c r="MY197" s="159"/>
      <c r="MZ197" s="159"/>
      <c r="NA197" s="159"/>
      <c r="NB197" s="159"/>
      <c r="NC197" s="159"/>
      <c r="ND197" s="159"/>
      <c r="NE197" s="159"/>
      <c r="NF197" s="159"/>
      <c r="NG197" s="159"/>
      <c r="NH197" s="159"/>
      <c r="NI197" s="159"/>
      <c r="NJ197" s="159"/>
      <c r="NK197" s="159"/>
      <c r="NL197" s="159"/>
      <c r="NM197" s="159"/>
      <c r="NN197" s="159"/>
      <c r="NO197" s="159"/>
      <c r="NP197" s="159"/>
      <c r="NQ197" s="159"/>
      <c r="NR197" s="159"/>
      <c r="NS197" s="159"/>
      <c r="NT197" s="159"/>
      <c r="NU197" s="159"/>
      <c r="NV197" s="159"/>
      <c r="NW197" s="159"/>
      <c r="NX197" s="159"/>
      <c r="NY197" s="159"/>
      <c r="NZ197" s="159"/>
      <c r="OA197" s="159"/>
      <c r="OB197" s="159"/>
      <c r="OC197" s="159"/>
      <c r="OD197" s="159"/>
      <c r="OE197" s="159"/>
      <c r="OF197" s="159"/>
      <c r="OG197" s="159"/>
      <c r="OH197" s="159"/>
      <c r="OI197" s="159"/>
      <c r="OJ197" s="159"/>
      <c r="OK197" s="159"/>
      <c r="OL197" s="159"/>
      <c r="OM197" s="159"/>
      <c r="ON197" s="159"/>
      <c r="OO197" s="159"/>
      <c r="OP197" s="159"/>
      <c r="OQ197" s="159"/>
      <c r="OR197" s="159"/>
      <c r="OS197" s="159"/>
      <c r="OT197" s="159"/>
      <c r="OU197" s="159"/>
      <c r="OV197" s="159"/>
      <c r="OW197" s="159"/>
      <c r="OX197" s="159"/>
      <c r="OY197" s="159"/>
      <c r="OZ197" s="159"/>
      <c r="PA197" s="159"/>
      <c r="PB197" s="159"/>
      <c r="PC197" s="159"/>
      <c r="PD197" s="159"/>
      <c r="PE197" s="159"/>
      <c r="PF197" s="159"/>
      <c r="PG197" s="159"/>
      <c r="PH197" s="159"/>
      <c r="PI197" s="159"/>
      <c r="PJ197" s="159"/>
      <c r="PK197" s="159"/>
      <c r="PL197" s="159"/>
      <c r="PM197" s="159"/>
      <c r="PN197" s="159"/>
      <c r="PO197" s="159"/>
      <c r="PP197" s="159"/>
      <c r="PQ197" s="159"/>
      <c r="PR197" s="159"/>
      <c r="PS197" s="159"/>
      <c r="PT197" s="159"/>
      <c r="PU197" s="159"/>
      <c r="PV197" s="159"/>
      <c r="PW197" s="159"/>
      <c r="PX197" s="159"/>
      <c r="PY197" s="159"/>
      <c r="PZ197" s="159"/>
      <c r="QA197" s="159"/>
      <c r="QB197" s="159"/>
      <c r="QC197" s="159"/>
      <c r="QD197" s="159"/>
      <c r="QE197" s="159"/>
      <c r="QF197" s="159"/>
      <c r="QG197" s="159"/>
      <c r="QH197" s="159"/>
      <c r="QI197" s="159"/>
      <c r="QJ197" s="159"/>
      <c r="QK197" s="159"/>
      <c r="QL197" s="159"/>
      <c r="QM197" s="159"/>
      <c r="QN197" s="159"/>
      <c r="QO197" s="159"/>
      <c r="QP197" s="159"/>
      <c r="QQ197" s="159"/>
      <c r="QR197" s="159"/>
      <c r="QS197" s="159"/>
      <c r="QT197" s="159"/>
      <c r="QU197" s="159"/>
      <c r="QV197" s="159"/>
      <c r="QW197" s="159"/>
      <c r="QX197" s="159"/>
      <c r="QY197" s="159"/>
      <c r="QZ197" s="159"/>
      <c r="RA197" s="159"/>
      <c r="RB197" s="159"/>
      <c r="RC197" s="159"/>
      <c r="RD197" s="159"/>
      <c r="RE197" s="159"/>
      <c r="RF197" s="159"/>
      <c r="RG197" s="159"/>
      <c r="RH197" s="159"/>
      <c r="RI197" s="159"/>
      <c r="RJ197" s="159"/>
      <c r="RK197" s="159"/>
      <c r="RL197" s="159"/>
      <c r="RM197" s="159"/>
      <c r="RN197" s="159"/>
      <c r="RO197" s="159"/>
      <c r="RP197" s="159"/>
      <c r="RQ197" s="159"/>
      <c r="RR197" s="159"/>
      <c r="RS197" s="159"/>
      <c r="RT197" s="159"/>
      <c r="RU197" s="159"/>
      <c r="RV197" s="159"/>
      <c r="RW197" s="159"/>
      <c r="RX197" s="159"/>
      <c r="RY197" s="159"/>
      <c r="RZ197" s="159"/>
      <c r="SA197" s="159"/>
      <c r="SB197" s="159"/>
      <c r="SC197" s="159"/>
      <c r="SD197" s="159"/>
      <c r="SE197" s="159"/>
      <c r="SF197" s="159"/>
      <c r="SG197" s="159"/>
      <c r="SH197" s="159"/>
      <c r="SI197" s="159"/>
      <c r="SJ197" s="159"/>
      <c r="SK197" s="159"/>
      <c r="SL197" s="159"/>
      <c r="SM197" s="159"/>
      <c r="SN197" s="159"/>
      <c r="SO197" s="159"/>
      <c r="SP197" s="159"/>
      <c r="SQ197" s="159"/>
      <c r="SR197" s="159"/>
      <c r="SS197" s="159"/>
      <c r="ST197" s="159"/>
      <c r="SU197" s="159"/>
      <c r="SV197" s="159"/>
      <c r="SW197" s="159"/>
      <c r="SX197" s="159"/>
      <c r="SY197" s="159"/>
      <c r="SZ197" s="159"/>
      <c r="TA197" s="159"/>
      <c r="TB197" s="159"/>
      <c r="TC197" s="159"/>
      <c r="TD197" s="159"/>
      <c r="TE197" s="159"/>
      <c r="TF197" s="159"/>
      <c r="TG197" s="159"/>
      <c r="TH197" s="159"/>
      <c r="TI197" s="159"/>
      <c r="TJ197" s="159"/>
      <c r="TK197" s="159"/>
      <c r="TL197" s="159"/>
      <c r="TM197" s="159"/>
      <c r="TN197" s="159"/>
      <c r="TO197" s="159"/>
      <c r="TP197" s="159"/>
      <c r="TQ197" s="159"/>
      <c r="TR197" s="159"/>
      <c r="TS197" s="159"/>
      <c r="TT197" s="159"/>
      <c r="TU197" s="159"/>
      <c r="TV197" s="159"/>
      <c r="TW197" s="159"/>
      <c r="TX197" s="159"/>
      <c r="TY197" s="159"/>
      <c r="TZ197" s="159"/>
      <c r="UA197" s="159"/>
      <c r="UB197" s="159"/>
      <c r="UC197" s="159"/>
      <c r="UD197" s="159"/>
      <c r="UE197" s="159"/>
      <c r="UF197" s="159"/>
      <c r="UG197" s="159"/>
      <c r="UH197" s="159"/>
      <c r="UI197" s="159"/>
      <c r="UJ197" s="159"/>
      <c r="UK197" s="159"/>
      <c r="UL197" s="159"/>
      <c r="UM197" s="159"/>
      <c r="UN197" s="159"/>
      <c r="UO197" s="159"/>
      <c r="UP197" s="159"/>
      <c r="UQ197" s="159"/>
      <c r="UR197" s="159"/>
      <c r="US197" s="159"/>
      <c r="UT197" s="159"/>
      <c r="UU197" s="159"/>
      <c r="UV197" s="159"/>
      <c r="UW197" s="159"/>
      <c r="UX197" s="159"/>
      <c r="UY197" s="159"/>
      <c r="UZ197" s="159"/>
      <c r="VA197" s="159"/>
      <c r="VB197" s="159"/>
      <c r="VC197" s="159"/>
      <c r="VD197" s="159"/>
      <c r="VE197" s="159"/>
      <c r="VF197" s="159"/>
      <c r="VG197" s="159"/>
      <c r="VH197" s="159"/>
      <c r="VI197" s="159"/>
      <c r="VJ197" s="159"/>
      <c r="VK197" s="159"/>
      <c r="VL197" s="159"/>
      <c r="VM197" s="159"/>
      <c r="VN197" s="159"/>
      <c r="VO197" s="159"/>
      <c r="VP197" s="159"/>
      <c r="VQ197" s="159"/>
      <c r="VR197" s="159"/>
      <c r="VS197" s="159"/>
      <c r="VT197" s="159"/>
      <c r="VU197" s="159"/>
      <c r="VV197" s="159"/>
      <c r="VW197" s="159"/>
      <c r="VX197" s="159"/>
      <c r="VY197" s="159"/>
      <c r="VZ197" s="159"/>
      <c r="WA197" s="159"/>
      <c r="WB197" s="159"/>
      <c r="WC197" s="159"/>
      <c r="WD197" s="159"/>
      <c r="WE197" s="159"/>
      <c r="WF197" s="159"/>
      <c r="WG197" s="159"/>
      <c r="WH197" s="159"/>
      <c r="WI197" s="159"/>
      <c r="WJ197" s="159"/>
      <c r="WK197" s="159"/>
      <c r="WL197" s="159"/>
      <c r="WM197" s="159"/>
      <c r="WN197" s="159"/>
      <c r="WO197" s="159"/>
      <c r="WP197" s="159"/>
      <c r="WQ197" s="159"/>
      <c r="WR197" s="159"/>
      <c r="WS197" s="159"/>
      <c r="WT197" s="159"/>
      <c r="WU197" s="159"/>
      <c r="WV197" s="159"/>
      <c r="WW197" s="159"/>
      <c r="WX197" s="159"/>
      <c r="WY197" s="159"/>
      <c r="WZ197" s="159"/>
      <c r="XA197" s="159"/>
      <c r="XB197" s="159"/>
      <c r="XC197" s="159"/>
      <c r="XD197" s="159"/>
      <c r="XE197" s="159"/>
      <c r="XF197" s="159"/>
      <c r="XG197" s="159"/>
      <c r="XH197" s="159"/>
      <c r="XI197" s="159"/>
      <c r="XJ197" s="159"/>
      <c r="XK197" s="159"/>
      <c r="XL197" s="159"/>
      <c r="XM197" s="159"/>
      <c r="XN197" s="159"/>
      <c r="XO197" s="159"/>
      <c r="XP197" s="159"/>
      <c r="XQ197" s="159"/>
      <c r="XR197" s="159"/>
      <c r="XS197" s="159"/>
      <c r="XT197" s="159"/>
      <c r="XU197" s="159"/>
      <c r="XV197" s="159"/>
      <c r="XW197" s="159"/>
      <c r="XX197" s="159"/>
      <c r="XY197" s="159"/>
      <c r="XZ197" s="159"/>
      <c r="YA197" s="159"/>
      <c r="YB197" s="159"/>
      <c r="YC197" s="159"/>
      <c r="YD197" s="159"/>
      <c r="YE197" s="159"/>
      <c r="YF197" s="159"/>
      <c r="YG197" s="159"/>
      <c r="YH197" s="159"/>
      <c r="YI197" s="159"/>
      <c r="YJ197" s="159"/>
      <c r="YK197" s="159"/>
      <c r="YL197" s="159"/>
      <c r="YM197" s="159"/>
      <c r="YN197" s="159"/>
      <c r="YO197" s="159"/>
      <c r="YP197" s="159"/>
      <c r="YQ197" s="159"/>
      <c r="YR197" s="159"/>
      <c r="YS197" s="159"/>
      <c r="YT197" s="159"/>
      <c r="YU197" s="159"/>
      <c r="YV197" s="159"/>
      <c r="YW197" s="159"/>
      <c r="YX197" s="159"/>
      <c r="YY197" s="159"/>
      <c r="YZ197" s="159"/>
      <c r="ZA197" s="159"/>
      <c r="ZB197" s="159"/>
      <c r="ZC197" s="159"/>
      <c r="ZD197" s="159"/>
      <c r="ZE197" s="159"/>
      <c r="ZF197" s="159"/>
      <c r="ZG197" s="159"/>
      <c r="ZH197" s="159"/>
      <c r="ZI197" s="159"/>
      <c r="ZJ197" s="159"/>
      <c r="ZK197" s="159"/>
      <c r="ZL197" s="159"/>
      <c r="ZM197" s="159"/>
      <c r="ZN197" s="159"/>
      <c r="ZO197" s="159"/>
      <c r="ZP197" s="159"/>
      <c r="ZQ197" s="159"/>
      <c r="ZR197" s="159"/>
      <c r="ZS197" s="159"/>
      <c r="ZT197" s="159"/>
      <c r="ZU197" s="159"/>
      <c r="ZV197" s="159"/>
      <c r="ZW197" s="159"/>
      <c r="ZX197" s="159"/>
      <c r="ZY197" s="159"/>
      <c r="ZZ197" s="159"/>
      <c r="AAA197" s="159"/>
      <c r="AAB197" s="159"/>
      <c r="AAC197" s="159"/>
      <c r="AAD197" s="159"/>
      <c r="AAE197" s="159"/>
      <c r="AAF197" s="159"/>
      <c r="AAG197" s="159"/>
      <c r="AAH197" s="159"/>
      <c r="AAI197" s="159"/>
      <c r="AAJ197" s="159"/>
      <c r="AAK197" s="159"/>
      <c r="AAL197" s="159"/>
      <c r="AAM197" s="159"/>
      <c r="AAN197" s="159"/>
      <c r="AAO197" s="159"/>
      <c r="AAP197" s="159"/>
      <c r="AAQ197" s="159"/>
      <c r="AAR197" s="159"/>
      <c r="AAS197" s="159"/>
      <c r="AAT197" s="159"/>
      <c r="AAU197" s="159"/>
      <c r="AAV197" s="159"/>
      <c r="AAW197" s="159"/>
      <c r="AAX197" s="159"/>
      <c r="AAY197" s="159"/>
      <c r="AAZ197" s="159"/>
      <c r="ABA197" s="159"/>
      <c r="ABB197" s="159"/>
      <c r="ABC197" s="159"/>
      <c r="ABD197" s="159"/>
      <c r="ABE197" s="159"/>
      <c r="ABF197" s="159"/>
      <c r="ABG197" s="159"/>
      <c r="ABH197" s="159"/>
      <c r="ABI197" s="159"/>
      <c r="ABJ197" s="159"/>
      <c r="ABK197" s="159"/>
      <c r="ABL197" s="159"/>
      <c r="ABM197" s="159"/>
      <c r="ABN197" s="159"/>
      <c r="ABO197" s="159"/>
      <c r="ABP197" s="159"/>
      <c r="ABQ197" s="159"/>
      <c r="ABR197" s="159"/>
      <c r="ABS197" s="159"/>
      <c r="ABT197" s="159"/>
      <c r="ABU197" s="159"/>
      <c r="ABV197" s="159"/>
      <c r="ABW197" s="159"/>
      <c r="ABX197" s="159"/>
      <c r="ABY197" s="159"/>
      <c r="ABZ197" s="159"/>
      <c r="ACA197" s="159"/>
      <c r="ACB197" s="159"/>
      <c r="ACC197" s="159"/>
      <c r="ACD197" s="159"/>
      <c r="ACE197" s="159"/>
      <c r="ACF197" s="159"/>
      <c r="ACG197" s="159"/>
      <c r="ACH197" s="159"/>
      <c r="ACI197" s="159"/>
      <c r="ACJ197" s="159"/>
      <c r="ACK197" s="159"/>
      <c r="ACL197" s="159"/>
      <c r="ACM197" s="159"/>
      <c r="ACN197" s="159"/>
      <c r="ACO197" s="159"/>
      <c r="ACP197" s="159"/>
      <c r="ACQ197" s="159"/>
      <c r="ACR197" s="159"/>
      <c r="ACS197" s="159"/>
      <c r="ACT197" s="159"/>
      <c r="ACU197" s="159"/>
      <c r="ACV197" s="159"/>
      <c r="ACW197" s="159"/>
      <c r="ACX197" s="159"/>
      <c r="ACY197" s="159"/>
      <c r="ACZ197" s="159"/>
      <c r="ADA197" s="159"/>
      <c r="ADB197" s="159"/>
      <c r="ADC197" s="159"/>
      <c r="ADD197" s="159"/>
      <c r="ADE197" s="159"/>
      <c r="ADF197" s="159"/>
      <c r="ADG197" s="159"/>
      <c r="ADH197" s="159"/>
      <c r="ADI197" s="159"/>
      <c r="ADJ197" s="159"/>
      <c r="ADK197" s="159"/>
      <c r="ADL197" s="159"/>
      <c r="ADM197" s="159"/>
      <c r="ADN197" s="159"/>
      <c r="ADO197" s="159"/>
      <c r="ADP197" s="159"/>
      <c r="ADQ197" s="159"/>
      <c r="ADR197" s="159"/>
      <c r="ADS197" s="159"/>
      <c r="ADT197" s="159"/>
      <c r="ADU197" s="159"/>
      <c r="ADV197" s="159"/>
      <c r="ADW197" s="159"/>
      <c r="ADX197" s="159"/>
      <c r="ADY197" s="159"/>
      <c r="ADZ197" s="159"/>
      <c r="AEA197" s="159"/>
      <c r="AEB197" s="159"/>
      <c r="AEC197" s="159"/>
      <c r="AED197" s="159"/>
      <c r="AEE197" s="159"/>
      <c r="AEF197" s="159"/>
      <c r="AEG197" s="159"/>
      <c r="AEH197" s="159"/>
      <c r="AEI197" s="159"/>
      <c r="AEJ197" s="159"/>
      <c r="AEK197" s="159"/>
      <c r="AEL197" s="159"/>
      <c r="AEM197" s="159"/>
      <c r="AEN197" s="159"/>
      <c r="AEO197" s="159"/>
      <c r="AEP197" s="159"/>
      <c r="AEQ197" s="159"/>
      <c r="AER197" s="159"/>
      <c r="AES197" s="159"/>
      <c r="AET197" s="159"/>
      <c r="AEU197" s="159"/>
      <c r="AEV197" s="159"/>
      <c r="AEW197" s="159"/>
      <c r="AEX197" s="159"/>
      <c r="AEY197" s="159"/>
      <c r="AEZ197" s="159"/>
      <c r="AFA197" s="159"/>
      <c r="AFB197" s="159"/>
      <c r="AFC197" s="159"/>
      <c r="AFD197" s="159"/>
      <c r="AFE197" s="159"/>
      <c r="AFF197" s="159"/>
      <c r="AFG197" s="159"/>
      <c r="AFH197" s="159"/>
      <c r="AFI197" s="159"/>
      <c r="AFJ197" s="159"/>
      <c r="AFK197" s="159"/>
      <c r="AFL197" s="159"/>
      <c r="AFM197" s="159"/>
      <c r="AFN197" s="159"/>
      <c r="AFO197" s="159"/>
      <c r="AFP197" s="159"/>
      <c r="AFQ197" s="159"/>
      <c r="AFR197" s="159"/>
      <c r="AFS197" s="159"/>
      <c r="AFT197" s="159"/>
      <c r="AFU197" s="159"/>
      <c r="AFV197" s="159"/>
      <c r="AFW197" s="159"/>
      <c r="AFX197" s="159"/>
      <c r="AFY197" s="159"/>
      <c r="AFZ197" s="159"/>
      <c r="AGA197" s="159"/>
      <c r="AGB197" s="159"/>
      <c r="AGC197" s="159"/>
      <c r="AGD197" s="159"/>
      <c r="AGE197" s="159"/>
      <c r="AGF197" s="159"/>
      <c r="AGG197" s="159"/>
      <c r="AGH197" s="159"/>
      <c r="AGI197" s="159"/>
      <c r="AGJ197" s="159"/>
      <c r="AGK197" s="159"/>
      <c r="AGL197" s="159"/>
      <c r="AGM197" s="159"/>
      <c r="AGN197" s="159"/>
      <c r="AGO197" s="159"/>
      <c r="AGP197" s="159"/>
      <c r="AGQ197" s="159"/>
      <c r="AGR197" s="159"/>
      <c r="AGS197" s="159"/>
      <c r="AGT197" s="159"/>
      <c r="AGU197" s="159"/>
      <c r="AGV197" s="159"/>
      <c r="AGW197" s="159"/>
      <c r="AGX197" s="159"/>
      <c r="AGY197" s="159"/>
      <c r="AGZ197" s="159"/>
      <c r="AHA197" s="159"/>
      <c r="AHB197" s="159"/>
      <c r="AHC197" s="159"/>
      <c r="AHD197" s="159"/>
      <c r="AHE197" s="159"/>
      <c r="AHF197" s="159"/>
      <c r="AHG197" s="159"/>
      <c r="AHH197" s="159"/>
      <c r="AHI197" s="159"/>
      <c r="AHJ197" s="159"/>
      <c r="AHK197" s="159"/>
      <c r="AHL197" s="159"/>
      <c r="AHM197" s="159"/>
      <c r="AHN197" s="159"/>
      <c r="AHO197" s="159"/>
      <c r="AHP197" s="159"/>
      <c r="AHQ197" s="159"/>
      <c r="AHR197" s="159"/>
      <c r="AHS197" s="159"/>
      <c r="AHT197" s="159"/>
      <c r="AHU197" s="159"/>
      <c r="AHV197" s="159"/>
      <c r="AHW197" s="159"/>
      <c r="AHX197" s="159"/>
      <c r="AHY197" s="159"/>
      <c r="AHZ197" s="159"/>
      <c r="AIA197" s="159"/>
      <c r="AIB197" s="159"/>
      <c r="AIC197" s="159"/>
      <c r="AID197" s="159"/>
      <c r="AIE197" s="159"/>
      <c r="AIF197" s="159"/>
      <c r="AIG197" s="159"/>
      <c r="AIH197" s="159"/>
      <c r="AII197" s="159"/>
      <c r="AIJ197" s="159"/>
      <c r="AIK197" s="159"/>
      <c r="AIL197" s="159"/>
      <c r="AIM197" s="159"/>
      <c r="AIN197" s="159"/>
      <c r="AIO197" s="159"/>
      <c r="AIP197" s="159"/>
      <c r="AIQ197" s="159"/>
      <c r="AIR197" s="159"/>
      <c r="AIS197" s="159"/>
      <c r="AIT197" s="159"/>
      <c r="AIU197" s="159"/>
      <c r="AIV197" s="159"/>
      <c r="AIW197" s="159"/>
      <c r="AIX197" s="159"/>
      <c r="AIY197" s="159"/>
      <c r="AIZ197" s="159"/>
      <c r="AJA197" s="159"/>
      <c r="AJB197" s="159"/>
      <c r="AJC197" s="159"/>
      <c r="AJD197" s="159"/>
      <c r="AJE197" s="159"/>
      <c r="AJF197" s="159"/>
      <c r="AJG197" s="159"/>
      <c r="AJH197" s="159"/>
      <c r="AJI197" s="159"/>
      <c r="AJJ197" s="159"/>
      <c r="AJK197" s="159"/>
      <c r="AJL197" s="159"/>
      <c r="AJM197" s="159"/>
      <c r="AJN197" s="159"/>
      <c r="AJO197" s="159"/>
      <c r="AJP197" s="159"/>
      <c r="AJQ197" s="159"/>
      <c r="AJR197" s="159"/>
      <c r="AJS197" s="159"/>
      <c r="AJT197" s="159"/>
      <c r="AJU197" s="159"/>
      <c r="AJV197" s="159"/>
      <c r="AJW197" s="159"/>
      <c r="AJX197" s="159"/>
      <c r="AJY197" s="159"/>
      <c r="AJZ197" s="159"/>
      <c r="AKA197" s="159"/>
      <c r="AKB197" s="159"/>
      <c r="AKC197" s="159"/>
      <c r="AKD197" s="159"/>
      <c r="AKE197" s="159"/>
      <c r="AKF197" s="159"/>
      <c r="AKG197" s="159"/>
      <c r="AKH197" s="159"/>
      <c r="AKI197" s="159"/>
      <c r="AKJ197" s="159"/>
      <c r="AKK197" s="159"/>
      <c r="AKL197" s="159"/>
      <c r="AKM197" s="159"/>
      <c r="AKN197" s="159"/>
      <c r="AKO197" s="159"/>
      <c r="AKP197" s="159"/>
      <c r="AKQ197" s="159"/>
      <c r="AKR197" s="159"/>
      <c r="AKS197" s="159"/>
      <c r="AKT197" s="159"/>
      <c r="AKU197" s="159"/>
      <c r="AKV197" s="159"/>
      <c r="AKW197" s="159"/>
      <c r="AKX197" s="159"/>
      <c r="AKY197" s="159"/>
      <c r="AKZ197" s="159"/>
      <c r="ALA197" s="159"/>
      <c r="ALB197" s="159"/>
      <c r="ALC197" s="159"/>
      <c r="ALD197" s="159"/>
      <c r="ALE197" s="159"/>
      <c r="ALF197" s="159"/>
      <c r="ALG197" s="159"/>
      <c r="ALH197" s="159"/>
      <c r="ALI197" s="159"/>
      <c r="ALJ197" s="159"/>
      <c r="ALK197" s="159"/>
      <c r="ALL197" s="159"/>
      <c r="ALM197" s="159"/>
      <c r="ALN197" s="159"/>
      <c r="ALO197" s="159"/>
      <c r="ALP197" s="159"/>
      <c r="ALQ197" s="159"/>
      <c r="ALR197" s="159"/>
      <c r="ALS197" s="159"/>
      <c r="ALT197" s="159"/>
      <c r="ALU197" s="159"/>
      <c r="ALV197" s="159"/>
      <c r="ALW197" s="159"/>
      <c r="ALX197" s="159"/>
      <c r="ALY197" s="159"/>
      <c r="ALZ197" s="159"/>
      <c r="AMA197" s="159"/>
      <c r="AMB197" s="159"/>
      <c r="AMC197" s="159"/>
      <c r="AMD197" s="159"/>
      <c r="AME197" s="159"/>
      <c r="AMF197" s="159"/>
      <c r="AMG197" s="159"/>
      <c r="AMH197" s="159"/>
      <c r="AMI197" s="159"/>
      <c r="AMJ197" s="159"/>
      <c r="AMK197" s="159"/>
      <c r="AML197" s="159"/>
      <c r="AMM197" s="159"/>
      <c r="AMN197" s="159"/>
      <c r="AMO197" s="159"/>
    </row>
    <row r="198" spans="1:1029" s="161" customFormat="1" ht="26.25" thickBot="1" x14ac:dyDescent="0.3">
      <c r="A198" s="127">
        <v>46297</v>
      </c>
      <c r="B198" s="151" t="s">
        <v>101</v>
      </c>
      <c r="C198" s="151" t="s">
        <v>30</v>
      </c>
      <c r="D198" s="162" t="s">
        <v>27</v>
      </c>
      <c r="E198" s="150" t="s">
        <v>53</v>
      </c>
      <c r="F198" s="152" t="s">
        <v>10</v>
      </c>
      <c r="G198" s="152" t="s">
        <v>34</v>
      </c>
      <c r="H198" s="145" t="b">
        <f t="shared" si="12"/>
        <v>0</v>
      </c>
      <c r="I198" s="130" t="s">
        <v>32</v>
      </c>
      <c r="J198" s="131" t="s">
        <v>36</v>
      </c>
      <c r="K198" s="131" t="s">
        <v>34</v>
      </c>
      <c r="L198" s="145" t="b">
        <f t="shared" si="13"/>
        <v>0</v>
      </c>
      <c r="M198" s="131" t="s">
        <v>19</v>
      </c>
      <c r="N198" s="131" t="s">
        <v>25</v>
      </c>
      <c r="O198" s="131" t="s">
        <v>34</v>
      </c>
      <c r="P198" s="145" t="b">
        <f t="shared" si="14"/>
        <v>0</v>
      </c>
      <c r="Q198" s="152" t="s">
        <v>50</v>
      </c>
      <c r="R198" s="151" t="s">
        <v>74</v>
      </c>
      <c r="S198" s="151" t="s">
        <v>90</v>
      </c>
      <c r="T198" s="145" t="b">
        <f t="shared" si="15"/>
        <v>0</v>
      </c>
      <c r="U198" s="159"/>
      <c r="V198" s="159"/>
      <c r="W198" s="159"/>
      <c r="X198" s="159"/>
      <c r="Y198" s="159"/>
      <c r="Z198" s="159"/>
      <c r="AA198" s="159"/>
      <c r="AB198" s="159"/>
      <c r="AC198" s="159"/>
      <c r="AD198" s="159"/>
      <c r="AE198" s="159"/>
      <c r="AF198" s="159"/>
      <c r="AG198" s="159"/>
      <c r="AH198" s="159"/>
      <c r="AI198" s="159"/>
      <c r="AJ198" s="159"/>
      <c r="AK198" s="159"/>
      <c r="AL198" s="159"/>
      <c r="AM198" s="159"/>
      <c r="AN198" s="159"/>
      <c r="AO198" s="159"/>
      <c r="AP198" s="159"/>
      <c r="AQ198" s="159"/>
      <c r="AR198" s="159"/>
      <c r="AS198" s="159"/>
      <c r="AT198" s="159"/>
      <c r="AU198" s="159"/>
      <c r="AV198" s="159"/>
      <c r="AW198" s="159"/>
      <c r="AX198" s="159"/>
      <c r="AY198" s="159"/>
      <c r="AZ198" s="159"/>
      <c r="BA198" s="159"/>
      <c r="BB198" s="159"/>
      <c r="BC198" s="159"/>
      <c r="BD198" s="159"/>
      <c r="BE198" s="159"/>
      <c r="BF198" s="159"/>
      <c r="BG198" s="159"/>
      <c r="BH198" s="159"/>
      <c r="BI198" s="159"/>
      <c r="BJ198" s="159"/>
      <c r="BK198" s="159"/>
      <c r="BL198" s="159"/>
      <c r="BM198" s="159"/>
      <c r="BN198" s="159"/>
      <c r="BO198" s="159"/>
      <c r="BP198" s="159"/>
      <c r="BQ198" s="159"/>
      <c r="BR198" s="159"/>
      <c r="BS198" s="159"/>
      <c r="BT198" s="159"/>
      <c r="BU198" s="159"/>
      <c r="BV198" s="159"/>
      <c r="BW198" s="159"/>
      <c r="BX198" s="159"/>
      <c r="BY198" s="159"/>
      <c r="BZ198" s="159"/>
      <c r="CA198" s="159"/>
      <c r="CB198" s="159"/>
      <c r="CC198" s="159"/>
      <c r="CD198" s="159"/>
      <c r="CE198" s="159"/>
      <c r="CF198" s="159"/>
      <c r="CG198" s="159"/>
      <c r="CH198" s="159"/>
      <c r="CI198" s="159"/>
      <c r="CJ198" s="159"/>
      <c r="CK198" s="159"/>
      <c r="CL198" s="159"/>
      <c r="CM198" s="159"/>
      <c r="CN198" s="159"/>
      <c r="CO198" s="159"/>
      <c r="CP198" s="159"/>
      <c r="CQ198" s="159"/>
      <c r="CR198" s="159"/>
      <c r="CS198" s="159"/>
      <c r="CT198" s="159"/>
      <c r="CU198" s="159"/>
      <c r="CV198" s="159"/>
      <c r="CW198" s="159"/>
      <c r="CX198" s="159"/>
      <c r="CY198" s="159"/>
      <c r="CZ198" s="159"/>
      <c r="DA198" s="159"/>
      <c r="DB198" s="159"/>
      <c r="DC198" s="159"/>
      <c r="DD198" s="159"/>
      <c r="DE198" s="159"/>
      <c r="DF198" s="159"/>
      <c r="DG198" s="159"/>
      <c r="DH198" s="159"/>
      <c r="DI198" s="159"/>
      <c r="DJ198" s="159"/>
      <c r="DK198" s="159"/>
      <c r="DL198" s="159"/>
      <c r="DM198" s="159"/>
      <c r="DN198" s="159"/>
      <c r="DO198" s="159"/>
      <c r="DP198" s="159"/>
      <c r="DQ198" s="159"/>
      <c r="DR198" s="159"/>
      <c r="DS198" s="159"/>
      <c r="DT198" s="159"/>
      <c r="DU198" s="159"/>
      <c r="DV198" s="159"/>
      <c r="DW198" s="159"/>
      <c r="DX198" s="159"/>
      <c r="DY198" s="159"/>
      <c r="DZ198" s="159"/>
      <c r="EA198" s="159"/>
      <c r="EB198" s="159"/>
      <c r="EC198" s="159"/>
      <c r="ED198" s="159"/>
      <c r="EE198" s="159"/>
      <c r="EF198" s="159"/>
      <c r="EG198" s="159"/>
      <c r="EH198" s="159"/>
      <c r="EI198" s="159"/>
      <c r="EJ198" s="159"/>
      <c r="EK198" s="159"/>
      <c r="EL198" s="159"/>
      <c r="EM198" s="159"/>
      <c r="EN198" s="159"/>
      <c r="EO198" s="159"/>
      <c r="EP198" s="159"/>
      <c r="EQ198" s="159"/>
      <c r="ER198" s="159"/>
      <c r="ES198" s="159"/>
      <c r="ET198" s="159"/>
      <c r="EU198" s="159"/>
      <c r="EV198" s="159"/>
      <c r="EW198" s="159"/>
      <c r="EX198" s="159"/>
      <c r="EY198" s="159"/>
      <c r="EZ198" s="159"/>
      <c r="FA198" s="159"/>
      <c r="FB198" s="159"/>
      <c r="FC198" s="159"/>
      <c r="FD198" s="159"/>
      <c r="FE198" s="159"/>
      <c r="FF198" s="159"/>
      <c r="FG198" s="159"/>
      <c r="FH198" s="159"/>
      <c r="FI198" s="159"/>
      <c r="FJ198" s="159"/>
      <c r="FK198" s="159"/>
      <c r="FL198" s="159"/>
      <c r="FM198" s="159"/>
      <c r="FN198" s="159"/>
      <c r="FO198" s="159"/>
      <c r="FP198" s="159"/>
      <c r="FQ198" s="159"/>
      <c r="FR198" s="159"/>
      <c r="FS198" s="159"/>
      <c r="FT198" s="159"/>
      <c r="FU198" s="159"/>
      <c r="FV198" s="159"/>
      <c r="FW198" s="159"/>
      <c r="FX198" s="159"/>
      <c r="FY198" s="159"/>
      <c r="FZ198" s="159"/>
      <c r="GA198" s="159"/>
      <c r="GB198" s="159"/>
      <c r="GC198" s="159"/>
      <c r="GD198" s="159"/>
      <c r="GE198" s="159"/>
      <c r="GF198" s="159"/>
      <c r="GG198" s="159"/>
      <c r="GH198" s="159"/>
      <c r="GI198" s="159"/>
      <c r="GJ198" s="159"/>
      <c r="GK198" s="159"/>
      <c r="GL198" s="159"/>
      <c r="GM198" s="159"/>
      <c r="GN198" s="159"/>
      <c r="GO198" s="159"/>
      <c r="GP198" s="159"/>
      <c r="GQ198" s="159"/>
      <c r="GR198" s="159"/>
      <c r="GS198" s="159"/>
      <c r="GT198" s="159"/>
      <c r="GU198" s="159"/>
      <c r="GV198" s="159"/>
      <c r="GW198" s="159"/>
      <c r="GX198" s="159"/>
      <c r="GY198" s="159"/>
      <c r="GZ198" s="159"/>
      <c r="HA198" s="159"/>
      <c r="HB198" s="159"/>
      <c r="HC198" s="159"/>
      <c r="HD198" s="159"/>
      <c r="HE198" s="159"/>
      <c r="HF198" s="159"/>
      <c r="HG198" s="159"/>
      <c r="HH198" s="159"/>
      <c r="HI198" s="159"/>
      <c r="HJ198" s="159"/>
      <c r="HK198" s="159"/>
      <c r="HL198" s="159"/>
      <c r="HM198" s="159"/>
      <c r="HN198" s="159"/>
      <c r="HO198" s="159"/>
      <c r="HP198" s="159"/>
      <c r="HQ198" s="159"/>
      <c r="HR198" s="159"/>
      <c r="HS198" s="159"/>
      <c r="HT198" s="159"/>
      <c r="HU198" s="159"/>
      <c r="HV198" s="159"/>
      <c r="HW198" s="159"/>
      <c r="HX198" s="159"/>
      <c r="HY198" s="159"/>
      <c r="HZ198" s="159"/>
      <c r="IA198" s="159"/>
      <c r="IB198" s="159"/>
      <c r="IC198" s="159"/>
      <c r="ID198" s="159"/>
      <c r="IE198" s="159"/>
      <c r="IF198" s="159"/>
      <c r="IG198" s="159"/>
      <c r="IH198" s="159"/>
      <c r="II198" s="159"/>
      <c r="IJ198" s="159"/>
      <c r="IK198" s="159"/>
      <c r="IL198" s="159"/>
      <c r="IM198" s="159"/>
      <c r="IN198" s="159"/>
      <c r="IO198" s="159"/>
      <c r="IP198" s="159"/>
      <c r="IQ198" s="159"/>
      <c r="IR198" s="159"/>
      <c r="IS198" s="159"/>
      <c r="IT198" s="159"/>
      <c r="IU198" s="159"/>
      <c r="IV198" s="159"/>
      <c r="IW198" s="159"/>
      <c r="IX198" s="159"/>
      <c r="IY198" s="159"/>
      <c r="IZ198" s="159"/>
      <c r="JA198" s="159"/>
      <c r="JB198" s="159"/>
      <c r="JC198" s="159"/>
      <c r="JD198" s="159"/>
      <c r="JE198" s="159"/>
      <c r="JF198" s="159"/>
      <c r="JG198" s="159"/>
      <c r="JH198" s="159"/>
      <c r="JI198" s="159"/>
      <c r="JJ198" s="159"/>
      <c r="JK198" s="159"/>
      <c r="JL198" s="159"/>
      <c r="JM198" s="159"/>
      <c r="JN198" s="159"/>
      <c r="JO198" s="159"/>
      <c r="JP198" s="159"/>
      <c r="JQ198" s="159"/>
      <c r="JR198" s="159"/>
      <c r="JS198" s="159"/>
      <c r="JT198" s="159"/>
      <c r="JU198" s="159"/>
      <c r="JV198" s="159"/>
      <c r="JW198" s="159"/>
      <c r="JX198" s="159"/>
      <c r="JY198" s="159"/>
      <c r="JZ198" s="159"/>
      <c r="KA198" s="159"/>
      <c r="KB198" s="159"/>
      <c r="KC198" s="159"/>
      <c r="KD198" s="159"/>
      <c r="KE198" s="159"/>
      <c r="KF198" s="159"/>
      <c r="KG198" s="159"/>
      <c r="KH198" s="159"/>
      <c r="KI198" s="159"/>
      <c r="KJ198" s="159"/>
      <c r="KK198" s="159"/>
      <c r="KL198" s="159"/>
      <c r="KM198" s="159"/>
      <c r="KN198" s="159"/>
      <c r="KO198" s="159"/>
      <c r="KP198" s="159"/>
      <c r="KQ198" s="159"/>
      <c r="KR198" s="159"/>
      <c r="KS198" s="159"/>
      <c r="KT198" s="159"/>
      <c r="KU198" s="159"/>
      <c r="KV198" s="159"/>
      <c r="KW198" s="159"/>
      <c r="KX198" s="159"/>
      <c r="KY198" s="159"/>
      <c r="KZ198" s="159"/>
      <c r="LA198" s="159"/>
      <c r="LB198" s="159"/>
      <c r="LC198" s="159"/>
      <c r="LD198" s="159"/>
      <c r="LE198" s="159"/>
      <c r="LF198" s="159"/>
      <c r="LG198" s="159"/>
      <c r="LH198" s="159"/>
      <c r="LI198" s="159"/>
      <c r="LJ198" s="159"/>
      <c r="LK198" s="159"/>
      <c r="LL198" s="159"/>
      <c r="LM198" s="159"/>
      <c r="LN198" s="159"/>
      <c r="LO198" s="159"/>
      <c r="LP198" s="159"/>
      <c r="LQ198" s="159"/>
      <c r="LR198" s="159"/>
      <c r="LS198" s="159"/>
      <c r="LT198" s="159"/>
      <c r="LU198" s="159"/>
      <c r="LV198" s="159"/>
      <c r="LW198" s="159"/>
      <c r="LX198" s="159"/>
      <c r="LY198" s="159"/>
      <c r="LZ198" s="159"/>
      <c r="MA198" s="159"/>
      <c r="MB198" s="159"/>
      <c r="MC198" s="159"/>
      <c r="MD198" s="159"/>
      <c r="ME198" s="159"/>
      <c r="MF198" s="159"/>
      <c r="MG198" s="159"/>
      <c r="MH198" s="159"/>
      <c r="MI198" s="159"/>
      <c r="MJ198" s="159"/>
      <c r="MK198" s="159"/>
      <c r="ML198" s="159"/>
      <c r="MM198" s="159"/>
      <c r="MN198" s="159"/>
      <c r="MO198" s="159"/>
      <c r="MP198" s="159"/>
      <c r="MQ198" s="159"/>
      <c r="MR198" s="159"/>
      <c r="MS198" s="159"/>
      <c r="MT198" s="159"/>
      <c r="MU198" s="159"/>
      <c r="MV198" s="159"/>
      <c r="MW198" s="159"/>
      <c r="MX198" s="159"/>
      <c r="MY198" s="159"/>
      <c r="MZ198" s="159"/>
      <c r="NA198" s="159"/>
      <c r="NB198" s="159"/>
      <c r="NC198" s="159"/>
      <c r="ND198" s="159"/>
      <c r="NE198" s="159"/>
      <c r="NF198" s="159"/>
      <c r="NG198" s="159"/>
      <c r="NH198" s="159"/>
      <c r="NI198" s="159"/>
      <c r="NJ198" s="159"/>
      <c r="NK198" s="159"/>
      <c r="NL198" s="159"/>
      <c r="NM198" s="159"/>
      <c r="NN198" s="159"/>
      <c r="NO198" s="159"/>
      <c r="NP198" s="159"/>
      <c r="NQ198" s="159"/>
      <c r="NR198" s="159"/>
      <c r="NS198" s="159"/>
      <c r="NT198" s="159"/>
      <c r="NU198" s="159"/>
      <c r="NV198" s="159"/>
      <c r="NW198" s="159"/>
      <c r="NX198" s="159"/>
      <c r="NY198" s="159"/>
      <c r="NZ198" s="159"/>
      <c r="OA198" s="159"/>
      <c r="OB198" s="159"/>
      <c r="OC198" s="159"/>
      <c r="OD198" s="159"/>
      <c r="OE198" s="159"/>
      <c r="OF198" s="159"/>
      <c r="OG198" s="159"/>
      <c r="OH198" s="159"/>
      <c r="OI198" s="159"/>
      <c r="OJ198" s="159"/>
      <c r="OK198" s="159"/>
      <c r="OL198" s="159"/>
      <c r="OM198" s="159"/>
      <c r="ON198" s="159"/>
      <c r="OO198" s="159"/>
      <c r="OP198" s="159"/>
      <c r="OQ198" s="159"/>
      <c r="OR198" s="159"/>
      <c r="OS198" s="159"/>
      <c r="OT198" s="159"/>
      <c r="OU198" s="159"/>
      <c r="OV198" s="159"/>
      <c r="OW198" s="159"/>
      <c r="OX198" s="159"/>
      <c r="OY198" s="159"/>
      <c r="OZ198" s="159"/>
      <c r="PA198" s="159"/>
      <c r="PB198" s="159"/>
      <c r="PC198" s="159"/>
      <c r="PD198" s="159"/>
      <c r="PE198" s="159"/>
      <c r="PF198" s="159"/>
      <c r="PG198" s="159"/>
      <c r="PH198" s="159"/>
      <c r="PI198" s="159"/>
      <c r="PJ198" s="159"/>
      <c r="PK198" s="159"/>
      <c r="PL198" s="159"/>
      <c r="PM198" s="159"/>
      <c r="PN198" s="159"/>
      <c r="PO198" s="159"/>
      <c r="PP198" s="159"/>
      <c r="PQ198" s="159"/>
      <c r="PR198" s="159"/>
      <c r="PS198" s="159"/>
      <c r="PT198" s="159"/>
      <c r="PU198" s="159"/>
      <c r="PV198" s="159"/>
      <c r="PW198" s="159"/>
      <c r="PX198" s="159"/>
      <c r="PY198" s="159"/>
      <c r="PZ198" s="159"/>
      <c r="QA198" s="159"/>
      <c r="QB198" s="159"/>
      <c r="QC198" s="159"/>
      <c r="QD198" s="159"/>
      <c r="QE198" s="159"/>
      <c r="QF198" s="159"/>
      <c r="QG198" s="159"/>
      <c r="QH198" s="159"/>
      <c r="QI198" s="159"/>
      <c r="QJ198" s="159"/>
      <c r="QK198" s="159"/>
      <c r="QL198" s="159"/>
      <c r="QM198" s="159"/>
      <c r="QN198" s="159"/>
      <c r="QO198" s="159"/>
      <c r="QP198" s="159"/>
      <c r="QQ198" s="159"/>
      <c r="QR198" s="159"/>
      <c r="QS198" s="159"/>
      <c r="QT198" s="159"/>
      <c r="QU198" s="159"/>
      <c r="QV198" s="159"/>
      <c r="QW198" s="159"/>
      <c r="QX198" s="159"/>
      <c r="QY198" s="159"/>
      <c r="QZ198" s="159"/>
      <c r="RA198" s="159"/>
      <c r="RB198" s="159"/>
      <c r="RC198" s="159"/>
      <c r="RD198" s="159"/>
      <c r="RE198" s="159"/>
      <c r="RF198" s="159"/>
      <c r="RG198" s="159"/>
      <c r="RH198" s="159"/>
      <c r="RI198" s="159"/>
      <c r="RJ198" s="159"/>
      <c r="RK198" s="159"/>
      <c r="RL198" s="159"/>
      <c r="RM198" s="159"/>
      <c r="RN198" s="159"/>
      <c r="RO198" s="159"/>
      <c r="RP198" s="159"/>
      <c r="RQ198" s="159"/>
      <c r="RR198" s="159"/>
      <c r="RS198" s="159"/>
      <c r="RT198" s="159"/>
      <c r="RU198" s="159"/>
      <c r="RV198" s="159"/>
      <c r="RW198" s="159"/>
      <c r="RX198" s="159"/>
      <c r="RY198" s="159"/>
      <c r="RZ198" s="159"/>
      <c r="SA198" s="159"/>
      <c r="SB198" s="159"/>
      <c r="SC198" s="159"/>
      <c r="SD198" s="159"/>
      <c r="SE198" s="159"/>
      <c r="SF198" s="159"/>
      <c r="SG198" s="159"/>
      <c r="SH198" s="159"/>
      <c r="SI198" s="159"/>
      <c r="SJ198" s="159"/>
      <c r="SK198" s="159"/>
      <c r="SL198" s="159"/>
      <c r="SM198" s="159"/>
      <c r="SN198" s="159"/>
      <c r="SO198" s="159"/>
      <c r="SP198" s="159"/>
      <c r="SQ198" s="159"/>
      <c r="SR198" s="159"/>
      <c r="SS198" s="159"/>
      <c r="ST198" s="159"/>
      <c r="SU198" s="159"/>
      <c r="SV198" s="159"/>
      <c r="SW198" s="159"/>
      <c r="SX198" s="159"/>
      <c r="SY198" s="159"/>
      <c r="SZ198" s="159"/>
      <c r="TA198" s="159"/>
      <c r="TB198" s="159"/>
      <c r="TC198" s="159"/>
      <c r="TD198" s="159"/>
      <c r="TE198" s="159"/>
      <c r="TF198" s="159"/>
      <c r="TG198" s="159"/>
      <c r="TH198" s="159"/>
      <c r="TI198" s="159"/>
      <c r="TJ198" s="159"/>
      <c r="TK198" s="159"/>
      <c r="TL198" s="159"/>
      <c r="TM198" s="159"/>
      <c r="TN198" s="159"/>
      <c r="TO198" s="159"/>
      <c r="TP198" s="159"/>
      <c r="TQ198" s="159"/>
      <c r="TR198" s="159"/>
      <c r="TS198" s="159"/>
      <c r="TT198" s="159"/>
      <c r="TU198" s="159"/>
      <c r="TV198" s="159"/>
      <c r="TW198" s="159"/>
      <c r="TX198" s="159"/>
      <c r="TY198" s="159"/>
      <c r="TZ198" s="159"/>
      <c r="UA198" s="159"/>
      <c r="UB198" s="159"/>
      <c r="UC198" s="159"/>
      <c r="UD198" s="159"/>
      <c r="UE198" s="159"/>
      <c r="UF198" s="159"/>
      <c r="UG198" s="159"/>
      <c r="UH198" s="159"/>
      <c r="UI198" s="159"/>
      <c r="UJ198" s="159"/>
      <c r="UK198" s="159"/>
      <c r="UL198" s="159"/>
      <c r="UM198" s="159"/>
      <c r="UN198" s="159"/>
      <c r="UO198" s="159"/>
      <c r="UP198" s="159"/>
      <c r="UQ198" s="159"/>
      <c r="UR198" s="159"/>
      <c r="US198" s="159"/>
      <c r="UT198" s="159"/>
      <c r="UU198" s="159"/>
      <c r="UV198" s="159"/>
      <c r="UW198" s="159"/>
      <c r="UX198" s="159"/>
      <c r="UY198" s="159"/>
      <c r="UZ198" s="159"/>
      <c r="VA198" s="159"/>
      <c r="VB198" s="159"/>
      <c r="VC198" s="159"/>
      <c r="VD198" s="159"/>
      <c r="VE198" s="159"/>
      <c r="VF198" s="159"/>
      <c r="VG198" s="159"/>
      <c r="VH198" s="159"/>
      <c r="VI198" s="159"/>
      <c r="VJ198" s="159"/>
      <c r="VK198" s="159"/>
      <c r="VL198" s="159"/>
      <c r="VM198" s="159"/>
      <c r="VN198" s="159"/>
      <c r="VO198" s="159"/>
      <c r="VP198" s="159"/>
      <c r="VQ198" s="159"/>
      <c r="VR198" s="159"/>
      <c r="VS198" s="159"/>
      <c r="VT198" s="159"/>
      <c r="VU198" s="159"/>
      <c r="VV198" s="159"/>
      <c r="VW198" s="159"/>
      <c r="VX198" s="159"/>
      <c r="VY198" s="159"/>
      <c r="VZ198" s="159"/>
      <c r="WA198" s="159"/>
      <c r="WB198" s="159"/>
      <c r="WC198" s="159"/>
      <c r="WD198" s="159"/>
      <c r="WE198" s="159"/>
      <c r="WF198" s="159"/>
      <c r="WG198" s="159"/>
      <c r="WH198" s="159"/>
      <c r="WI198" s="159"/>
      <c r="WJ198" s="159"/>
      <c r="WK198" s="159"/>
      <c r="WL198" s="159"/>
      <c r="WM198" s="159"/>
      <c r="WN198" s="159"/>
      <c r="WO198" s="159"/>
      <c r="WP198" s="159"/>
      <c r="WQ198" s="159"/>
      <c r="WR198" s="159"/>
      <c r="WS198" s="159"/>
      <c r="WT198" s="159"/>
      <c r="WU198" s="159"/>
      <c r="WV198" s="159"/>
      <c r="WW198" s="159"/>
      <c r="WX198" s="159"/>
      <c r="WY198" s="159"/>
      <c r="WZ198" s="159"/>
      <c r="XA198" s="159"/>
      <c r="XB198" s="159"/>
      <c r="XC198" s="159"/>
      <c r="XD198" s="159"/>
      <c r="XE198" s="159"/>
      <c r="XF198" s="159"/>
      <c r="XG198" s="159"/>
      <c r="XH198" s="159"/>
      <c r="XI198" s="159"/>
      <c r="XJ198" s="159"/>
      <c r="XK198" s="159"/>
      <c r="XL198" s="159"/>
      <c r="XM198" s="159"/>
      <c r="XN198" s="159"/>
      <c r="XO198" s="159"/>
      <c r="XP198" s="159"/>
      <c r="XQ198" s="159"/>
      <c r="XR198" s="159"/>
      <c r="XS198" s="159"/>
      <c r="XT198" s="159"/>
      <c r="XU198" s="159"/>
      <c r="XV198" s="159"/>
      <c r="XW198" s="159"/>
      <c r="XX198" s="159"/>
      <c r="XY198" s="159"/>
      <c r="XZ198" s="159"/>
      <c r="YA198" s="159"/>
      <c r="YB198" s="159"/>
      <c r="YC198" s="159"/>
      <c r="YD198" s="159"/>
      <c r="YE198" s="159"/>
      <c r="YF198" s="159"/>
      <c r="YG198" s="159"/>
      <c r="YH198" s="159"/>
      <c r="YI198" s="159"/>
      <c r="YJ198" s="159"/>
      <c r="YK198" s="159"/>
      <c r="YL198" s="159"/>
      <c r="YM198" s="159"/>
      <c r="YN198" s="159"/>
      <c r="YO198" s="159"/>
      <c r="YP198" s="159"/>
      <c r="YQ198" s="159"/>
      <c r="YR198" s="159"/>
      <c r="YS198" s="159"/>
      <c r="YT198" s="159"/>
      <c r="YU198" s="159"/>
      <c r="YV198" s="159"/>
      <c r="YW198" s="159"/>
      <c r="YX198" s="159"/>
      <c r="YY198" s="159"/>
      <c r="YZ198" s="159"/>
      <c r="ZA198" s="159"/>
      <c r="ZB198" s="159"/>
      <c r="ZC198" s="159"/>
      <c r="ZD198" s="159"/>
      <c r="ZE198" s="159"/>
      <c r="ZF198" s="159"/>
      <c r="ZG198" s="159"/>
      <c r="ZH198" s="159"/>
      <c r="ZI198" s="159"/>
      <c r="ZJ198" s="159"/>
      <c r="ZK198" s="159"/>
      <c r="ZL198" s="159"/>
      <c r="ZM198" s="159"/>
      <c r="ZN198" s="159"/>
      <c r="ZO198" s="159"/>
      <c r="ZP198" s="159"/>
      <c r="ZQ198" s="159"/>
      <c r="ZR198" s="159"/>
      <c r="ZS198" s="159"/>
      <c r="ZT198" s="159"/>
      <c r="ZU198" s="159"/>
      <c r="ZV198" s="159"/>
      <c r="ZW198" s="159"/>
      <c r="ZX198" s="159"/>
      <c r="ZY198" s="159"/>
      <c r="ZZ198" s="159"/>
      <c r="AAA198" s="159"/>
      <c r="AAB198" s="159"/>
      <c r="AAC198" s="159"/>
      <c r="AAD198" s="159"/>
      <c r="AAE198" s="159"/>
      <c r="AAF198" s="159"/>
      <c r="AAG198" s="159"/>
      <c r="AAH198" s="159"/>
      <c r="AAI198" s="159"/>
      <c r="AAJ198" s="159"/>
      <c r="AAK198" s="159"/>
      <c r="AAL198" s="159"/>
      <c r="AAM198" s="159"/>
      <c r="AAN198" s="159"/>
      <c r="AAO198" s="159"/>
      <c r="AAP198" s="159"/>
      <c r="AAQ198" s="159"/>
      <c r="AAR198" s="159"/>
      <c r="AAS198" s="159"/>
      <c r="AAT198" s="159"/>
      <c r="AAU198" s="159"/>
      <c r="AAV198" s="159"/>
      <c r="AAW198" s="159"/>
      <c r="AAX198" s="159"/>
      <c r="AAY198" s="159"/>
      <c r="AAZ198" s="159"/>
      <c r="ABA198" s="159"/>
      <c r="ABB198" s="159"/>
      <c r="ABC198" s="159"/>
      <c r="ABD198" s="159"/>
      <c r="ABE198" s="159"/>
      <c r="ABF198" s="159"/>
      <c r="ABG198" s="159"/>
      <c r="ABH198" s="159"/>
      <c r="ABI198" s="159"/>
      <c r="ABJ198" s="159"/>
      <c r="ABK198" s="159"/>
      <c r="ABL198" s="159"/>
      <c r="ABM198" s="159"/>
      <c r="ABN198" s="159"/>
      <c r="ABO198" s="159"/>
      <c r="ABP198" s="159"/>
      <c r="ABQ198" s="159"/>
      <c r="ABR198" s="159"/>
      <c r="ABS198" s="159"/>
      <c r="ABT198" s="159"/>
      <c r="ABU198" s="159"/>
      <c r="ABV198" s="159"/>
      <c r="ABW198" s="159"/>
      <c r="ABX198" s="159"/>
      <c r="ABY198" s="159"/>
      <c r="ABZ198" s="159"/>
      <c r="ACA198" s="159"/>
      <c r="ACB198" s="159"/>
      <c r="ACC198" s="159"/>
      <c r="ACD198" s="159"/>
      <c r="ACE198" s="159"/>
      <c r="ACF198" s="159"/>
      <c r="ACG198" s="159"/>
      <c r="ACH198" s="159"/>
      <c r="ACI198" s="159"/>
      <c r="ACJ198" s="159"/>
      <c r="ACK198" s="159"/>
      <c r="ACL198" s="159"/>
      <c r="ACM198" s="159"/>
      <c r="ACN198" s="159"/>
      <c r="ACO198" s="159"/>
      <c r="ACP198" s="159"/>
      <c r="ACQ198" s="159"/>
      <c r="ACR198" s="159"/>
      <c r="ACS198" s="159"/>
      <c r="ACT198" s="159"/>
      <c r="ACU198" s="159"/>
      <c r="ACV198" s="159"/>
      <c r="ACW198" s="159"/>
      <c r="ACX198" s="159"/>
      <c r="ACY198" s="159"/>
      <c r="ACZ198" s="159"/>
      <c r="ADA198" s="159"/>
      <c r="ADB198" s="159"/>
      <c r="ADC198" s="159"/>
      <c r="ADD198" s="159"/>
      <c r="ADE198" s="159"/>
      <c r="ADF198" s="159"/>
      <c r="ADG198" s="159"/>
      <c r="ADH198" s="159"/>
      <c r="ADI198" s="159"/>
      <c r="ADJ198" s="159"/>
      <c r="ADK198" s="159"/>
      <c r="ADL198" s="159"/>
      <c r="ADM198" s="159"/>
      <c r="ADN198" s="159"/>
      <c r="ADO198" s="159"/>
      <c r="ADP198" s="159"/>
      <c r="ADQ198" s="159"/>
      <c r="ADR198" s="159"/>
      <c r="ADS198" s="159"/>
      <c r="ADT198" s="159"/>
      <c r="ADU198" s="159"/>
      <c r="ADV198" s="159"/>
      <c r="ADW198" s="159"/>
      <c r="ADX198" s="159"/>
      <c r="ADY198" s="159"/>
      <c r="ADZ198" s="159"/>
      <c r="AEA198" s="159"/>
      <c r="AEB198" s="159"/>
      <c r="AEC198" s="159"/>
      <c r="AED198" s="159"/>
      <c r="AEE198" s="159"/>
      <c r="AEF198" s="159"/>
      <c r="AEG198" s="159"/>
      <c r="AEH198" s="159"/>
      <c r="AEI198" s="159"/>
      <c r="AEJ198" s="159"/>
      <c r="AEK198" s="159"/>
      <c r="AEL198" s="159"/>
      <c r="AEM198" s="159"/>
      <c r="AEN198" s="159"/>
      <c r="AEO198" s="159"/>
      <c r="AEP198" s="159"/>
      <c r="AEQ198" s="159"/>
      <c r="AER198" s="159"/>
      <c r="AES198" s="159"/>
      <c r="AET198" s="159"/>
      <c r="AEU198" s="159"/>
      <c r="AEV198" s="159"/>
      <c r="AEW198" s="159"/>
      <c r="AEX198" s="159"/>
      <c r="AEY198" s="159"/>
      <c r="AEZ198" s="159"/>
      <c r="AFA198" s="159"/>
      <c r="AFB198" s="159"/>
      <c r="AFC198" s="159"/>
      <c r="AFD198" s="159"/>
      <c r="AFE198" s="159"/>
      <c r="AFF198" s="159"/>
      <c r="AFG198" s="159"/>
      <c r="AFH198" s="159"/>
      <c r="AFI198" s="159"/>
      <c r="AFJ198" s="159"/>
      <c r="AFK198" s="159"/>
      <c r="AFL198" s="159"/>
      <c r="AFM198" s="159"/>
      <c r="AFN198" s="159"/>
      <c r="AFO198" s="159"/>
      <c r="AFP198" s="159"/>
      <c r="AFQ198" s="159"/>
      <c r="AFR198" s="159"/>
      <c r="AFS198" s="159"/>
      <c r="AFT198" s="159"/>
      <c r="AFU198" s="159"/>
      <c r="AFV198" s="159"/>
      <c r="AFW198" s="159"/>
      <c r="AFX198" s="159"/>
      <c r="AFY198" s="159"/>
      <c r="AFZ198" s="159"/>
      <c r="AGA198" s="159"/>
      <c r="AGB198" s="159"/>
      <c r="AGC198" s="159"/>
      <c r="AGD198" s="159"/>
      <c r="AGE198" s="159"/>
      <c r="AGF198" s="159"/>
      <c r="AGG198" s="159"/>
      <c r="AGH198" s="159"/>
      <c r="AGI198" s="159"/>
      <c r="AGJ198" s="159"/>
      <c r="AGK198" s="159"/>
      <c r="AGL198" s="159"/>
      <c r="AGM198" s="159"/>
      <c r="AGN198" s="159"/>
      <c r="AGO198" s="159"/>
      <c r="AGP198" s="159"/>
      <c r="AGQ198" s="159"/>
      <c r="AGR198" s="159"/>
      <c r="AGS198" s="159"/>
      <c r="AGT198" s="159"/>
      <c r="AGU198" s="159"/>
      <c r="AGV198" s="159"/>
      <c r="AGW198" s="159"/>
      <c r="AGX198" s="159"/>
      <c r="AGY198" s="159"/>
      <c r="AGZ198" s="159"/>
      <c r="AHA198" s="159"/>
      <c r="AHB198" s="159"/>
      <c r="AHC198" s="159"/>
      <c r="AHD198" s="159"/>
      <c r="AHE198" s="159"/>
      <c r="AHF198" s="159"/>
      <c r="AHG198" s="159"/>
      <c r="AHH198" s="159"/>
      <c r="AHI198" s="159"/>
      <c r="AHJ198" s="159"/>
      <c r="AHK198" s="159"/>
      <c r="AHL198" s="159"/>
      <c r="AHM198" s="159"/>
      <c r="AHN198" s="159"/>
      <c r="AHO198" s="159"/>
      <c r="AHP198" s="159"/>
      <c r="AHQ198" s="159"/>
      <c r="AHR198" s="159"/>
      <c r="AHS198" s="159"/>
      <c r="AHT198" s="159"/>
      <c r="AHU198" s="159"/>
      <c r="AHV198" s="159"/>
      <c r="AHW198" s="159"/>
      <c r="AHX198" s="159"/>
      <c r="AHY198" s="159"/>
      <c r="AHZ198" s="159"/>
      <c r="AIA198" s="159"/>
      <c r="AIB198" s="159"/>
      <c r="AIC198" s="159"/>
      <c r="AID198" s="159"/>
      <c r="AIE198" s="159"/>
      <c r="AIF198" s="159"/>
      <c r="AIG198" s="159"/>
      <c r="AIH198" s="159"/>
      <c r="AII198" s="159"/>
      <c r="AIJ198" s="159"/>
      <c r="AIK198" s="159"/>
      <c r="AIL198" s="159"/>
      <c r="AIM198" s="159"/>
      <c r="AIN198" s="159"/>
      <c r="AIO198" s="159"/>
      <c r="AIP198" s="159"/>
      <c r="AIQ198" s="159"/>
      <c r="AIR198" s="159"/>
      <c r="AIS198" s="159"/>
      <c r="AIT198" s="159"/>
      <c r="AIU198" s="159"/>
      <c r="AIV198" s="159"/>
      <c r="AIW198" s="159"/>
      <c r="AIX198" s="159"/>
      <c r="AIY198" s="159"/>
      <c r="AIZ198" s="159"/>
      <c r="AJA198" s="159"/>
      <c r="AJB198" s="159"/>
      <c r="AJC198" s="159"/>
      <c r="AJD198" s="159"/>
      <c r="AJE198" s="159"/>
      <c r="AJF198" s="159"/>
      <c r="AJG198" s="159"/>
      <c r="AJH198" s="159"/>
      <c r="AJI198" s="159"/>
      <c r="AJJ198" s="159"/>
      <c r="AJK198" s="159"/>
      <c r="AJL198" s="159"/>
      <c r="AJM198" s="159"/>
      <c r="AJN198" s="159"/>
      <c r="AJO198" s="159"/>
      <c r="AJP198" s="159"/>
      <c r="AJQ198" s="159"/>
      <c r="AJR198" s="159"/>
      <c r="AJS198" s="159"/>
      <c r="AJT198" s="159"/>
      <c r="AJU198" s="159"/>
      <c r="AJV198" s="159"/>
      <c r="AJW198" s="159"/>
      <c r="AJX198" s="159"/>
      <c r="AJY198" s="159"/>
      <c r="AJZ198" s="159"/>
      <c r="AKA198" s="159"/>
      <c r="AKB198" s="159"/>
      <c r="AKC198" s="159"/>
      <c r="AKD198" s="159"/>
      <c r="AKE198" s="159"/>
      <c r="AKF198" s="159"/>
      <c r="AKG198" s="159"/>
      <c r="AKH198" s="159"/>
      <c r="AKI198" s="159"/>
      <c r="AKJ198" s="159"/>
      <c r="AKK198" s="159"/>
      <c r="AKL198" s="159"/>
      <c r="AKM198" s="159"/>
      <c r="AKN198" s="159"/>
      <c r="AKO198" s="159"/>
      <c r="AKP198" s="159"/>
      <c r="AKQ198" s="159"/>
      <c r="AKR198" s="159"/>
      <c r="AKS198" s="159"/>
      <c r="AKT198" s="159"/>
      <c r="AKU198" s="159"/>
      <c r="AKV198" s="159"/>
      <c r="AKW198" s="159"/>
      <c r="AKX198" s="159"/>
      <c r="AKY198" s="159"/>
      <c r="AKZ198" s="159"/>
      <c r="ALA198" s="159"/>
      <c r="ALB198" s="159"/>
      <c r="ALC198" s="159"/>
      <c r="ALD198" s="159"/>
      <c r="ALE198" s="159"/>
      <c r="ALF198" s="159"/>
      <c r="ALG198" s="159"/>
      <c r="ALH198" s="159"/>
      <c r="ALI198" s="159"/>
      <c r="ALJ198" s="159"/>
      <c r="ALK198" s="159"/>
      <c r="ALL198" s="159"/>
      <c r="ALM198" s="159"/>
      <c r="ALN198" s="159"/>
      <c r="ALO198" s="159"/>
      <c r="ALP198" s="159"/>
      <c r="ALQ198" s="159"/>
      <c r="ALR198" s="159"/>
      <c r="ALS198" s="159"/>
      <c r="ALT198" s="159"/>
      <c r="ALU198" s="159"/>
      <c r="ALV198" s="159"/>
      <c r="ALW198" s="159"/>
      <c r="ALX198" s="159"/>
      <c r="ALY198" s="159"/>
      <c r="ALZ198" s="159"/>
      <c r="AMA198" s="159"/>
      <c r="AMB198" s="159"/>
      <c r="AMC198" s="159"/>
      <c r="AMD198" s="159"/>
      <c r="AME198" s="159"/>
      <c r="AMF198" s="159"/>
      <c r="AMG198" s="159"/>
      <c r="AMH198" s="159"/>
      <c r="AMI198" s="159"/>
      <c r="AMJ198" s="159"/>
      <c r="AMK198" s="159"/>
      <c r="AML198" s="159"/>
      <c r="AMM198" s="159"/>
      <c r="AMN198" s="159"/>
      <c r="AMO198" s="159"/>
    </row>
    <row r="199" spans="1:1029" s="161" customFormat="1" ht="26.25" thickTop="1" x14ac:dyDescent="0.25">
      <c r="A199" s="138">
        <v>46300</v>
      </c>
      <c r="B199" s="119" t="s">
        <v>22</v>
      </c>
      <c r="C199" s="119" t="s">
        <v>130</v>
      </c>
      <c r="D199" s="139" t="s">
        <v>21</v>
      </c>
      <c r="E199" s="120" t="s">
        <v>149</v>
      </c>
      <c r="F199" s="121" t="s">
        <v>130</v>
      </c>
      <c r="G199" s="121" t="s">
        <v>21</v>
      </c>
      <c r="H199" s="146">
        <f t="shared" si="12"/>
        <v>1</v>
      </c>
      <c r="I199" s="121" t="s">
        <v>19</v>
      </c>
      <c r="J199" s="121" t="s">
        <v>117</v>
      </c>
      <c r="K199" s="121" t="s">
        <v>21</v>
      </c>
      <c r="L199" s="146">
        <f t="shared" si="13"/>
        <v>0.5</v>
      </c>
      <c r="M199" s="121" t="s">
        <v>19</v>
      </c>
      <c r="N199" s="121" t="s">
        <v>130</v>
      </c>
      <c r="O199" s="121" t="s">
        <v>21</v>
      </c>
      <c r="P199" s="146">
        <f t="shared" si="14"/>
        <v>1</v>
      </c>
      <c r="Q199" s="121" t="s">
        <v>19</v>
      </c>
      <c r="R199" s="119" t="s">
        <v>130</v>
      </c>
      <c r="S199" s="119" t="s">
        <v>21</v>
      </c>
      <c r="T199" s="146">
        <f t="shared" si="15"/>
        <v>1</v>
      </c>
      <c r="U199" s="159"/>
      <c r="V199" s="159"/>
      <c r="W199" s="159"/>
      <c r="X199" s="159"/>
      <c r="Y199" s="159"/>
      <c r="Z199" s="159"/>
      <c r="AA199" s="159"/>
      <c r="AB199" s="159"/>
      <c r="AC199" s="159"/>
      <c r="AD199" s="159"/>
      <c r="AE199" s="159"/>
      <c r="AF199" s="159"/>
      <c r="AG199" s="159"/>
      <c r="AH199" s="159"/>
      <c r="AI199" s="159"/>
      <c r="AJ199" s="159"/>
      <c r="AK199" s="159"/>
      <c r="AL199" s="159"/>
      <c r="AM199" s="159"/>
      <c r="AN199" s="159"/>
      <c r="AO199" s="159"/>
      <c r="AP199" s="159"/>
      <c r="AQ199" s="159"/>
      <c r="AR199" s="159"/>
      <c r="AS199" s="159"/>
      <c r="AT199" s="159"/>
      <c r="AU199" s="159"/>
      <c r="AV199" s="159"/>
      <c r="AW199" s="159"/>
      <c r="AX199" s="159"/>
      <c r="AY199" s="159"/>
      <c r="AZ199" s="159"/>
      <c r="BA199" s="159"/>
      <c r="BB199" s="159"/>
      <c r="BC199" s="159"/>
      <c r="BD199" s="159"/>
      <c r="BE199" s="159"/>
      <c r="BF199" s="159"/>
      <c r="BG199" s="159"/>
      <c r="BH199" s="159"/>
      <c r="BI199" s="159"/>
      <c r="BJ199" s="159"/>
      <c r="BK199" s="159"/>
      <c r="BL199" s="159"/>
      <c r="BM199" s="159"/>
      <c r="BN199" s="159"/>
      <c r="BO199" s="159"/>
      <c r="BP199" s="159"/>
      <c r="BQ199" s="159"/>
      <c r="BR199" s="159"/>
      <c r="BS199" s="159"/>
      <c r="BT199" s="159"/>
      <c r="BU199" s="159"/>
      <c r="BV199" s="159"/>
      <c r="BW199" s="159"/>
      <c r="BX199" s="159"/>
      <c r="BY199" s="159"/>
      <c r="BZ199" s="159"/>
      <c r="CA199" s="159"/>
      <c r="CB199" s="159"/>
      <c r="CC199" s="159"/>
      <c r="CD199" s="159"/>
      <c r="CE199" s="159"/>
      <c r="CF199" s="159"/>
      <c r="CG199" s="159"/>
      <c r="CH199" s="159"/>
      <c r="CI199" s="159"/>
      <c r="CJ199" s="159"/>
      <c r="CK199" s="159"/>
      <c r="CL199" s="159"/>
      <c r="CM199" s="159"/>
      <c r="CN199" s="159"/>
      <c r="CO199" s="159"/>
      <c r="CP199" s="159"/>
      <c r="CQ199" s="159"/>
      <c r="CR199" s="159"/>
      <c r="CS199" s="159"/>
      <c r="CT199" s="159"/>
      <c r="CU199" s="159"/>
      <c r="CV199" s="159"/>
      <c r="CW199" s="159"/>
      <c r="CX199" s="159"/>
      <c r="CY199" s="159"/>
      <c r="CZ199" s="159"/>
      <c r="DA199" s="159"/>
      <c r="DB199" s="159"/>
      <c r="DC199" s="159"/>
      <c r="DD199" s="159"/>
      <c r="DE199" s="159"/>
      <c r="DF199" s="159"/>
      <c r="DG199" s="159"/>
      <c r="DH199" s="159"/>
      <c r="DI199" s="159"/>
      <c r="DJ199" s="159"/>
      <c r="DK199" s="159"/>
      <c r="DL199" s="159"/>
      <c r="DM199" s="159"/>
      <c r="DN199" s="159"/>
      <c r="DO199" s="159"/>
      <c r="DP199" s="159"/>
      <c r="DQ199" s="159"/>
      <c r="DR199" s="159"/>
      <c r="DS199" s="159"/>
      <c r="DT199" s="159"/>
      <c r="DU199" s="159"/>
      <c r="DV199" s="159"/>
      <c r="DW199" s="159"/>
      <c r="DX199" s="159"/>
      <c r="DY199" s="159"/>
      <c r="DZ199" s="159"/>
      <c r="EA199" s="159"/>
      <c r="EB199" s="159"/>
      <c r="EC199" s="159"/>
      <c r="ED199" s="159"/>
      <c r="EE199" s="159"/>
      <c r="EF199" s="159"/>
      <c r="EG199" s="159"/>
      <c r="EH199" s="159"/>
      <c r="EI199" s="159"/>
      <c r="EJ199" s="159"/>
      <c r="EK199" s="159"/>
      <c r="EL199" s="159"/>
      <c r="EM199" s="159"/>
      <c r="EN199" s="159"/>
      <c r="EO199" s="159"/>
      <c r="EP199" s="159"/>
      <c r="EQ199" s="159"/>
      <c r="ER199" s="159"/>
      <c r="ES199" s="159"/>
      <c r="ET199" s="159"/>
      <c r="EU199" s="159"/>
      <c r="EV199" s="159"/>
      <c r="EW199" s="159"/>
      <c r="EX199" s="159"/>
      <c r="EY199" s="159"/>
      <c r="EZ199" s="159"/>
      <c r="FA199" s="159"/>
      <c r="FB199" s="159"/>
      <c r="FC199" s="159"/>
      <c r="FD199" s="159"/>
      <c r="FE199" s="159"/>
      <c r="FF199" s="159"/>
      <c r="FG199" s="159"/>
      <c r="FH199" s="159"/>
      <c r="FI199" s="159"/>
      <c r="FJ199" s="159"/>
      <c r="FK199" s="159"/>
      <c r="FL199" s="159"/>
      <c r="FM199" s="159"/>
      <c r="FN199" s="159"/>
      <c r="FO199" s="159"/>
      <c r="FP199" s="159"/>
      <c r="FQ199" s="159"/>
      <c r="FR199" s="159"/>
      <c r="FS199" s="159"/>
      <c r="FT199" s="159"/>
      <c r="FU199" s="159"/>
      <c r="FV199" s="159"/>
      <c r="FW199" s="159"/>
      <c r="FX199" s="159"/>
      <c r="FY199" s="159"/>
      <c r="FZ199" s="159"/>
      <c r="GA199" s="159"/>
      <c r="GB199" s="159"/>
      <c r="GC199" s="159"/>
      <c r="GD199" s="159"/>
      <c r="GE199" s="159"/>
      <c r="GF199" s="159"/>
      <c r="GG199" s="159"/>
      <c r="GH199" s="159"/>
      <c r="GI199" s="159"/>
      <c r="GJ199" s="159"/>
      <c r="GK199" s="159"/>
      <c r="GL199" s="159"/>
      <c r="GM199" s="159"/>
      <c r="GN199" s="159"/>
      <c r="GO199" s="159"/>
      <c r="GP199" s="159"/>
      <c r="GQ199" s="159"/>
      <c r="GR199" s="159"/>
      <c r="GS199" s="159"/>
      <c r="GT199" s="159"/>
      <c r="GU199" s="159"/>
      <c r="GV199" s="159"/>
      <c r="GW199" s="159"/>
      <c r="GX199" s="159"/>
      <c r="GY199" s="159"/>
      <c r="GZ199" s="159"/>
      <c r="HA199" s="159"/>
      <c r="HB199" s="159"/>
      <c r="HC199" s="159"/>
      <c r="HD199" s="159"/>
      <c r="HE199" s="159"/>
      <c r="HF199" s="159"/>
      <c r="HG199" s="159"/>
      <c r="HH199" s="159"/>
      <c r="HI199" s="159"/>
      <c r="HJ199" s="159"/>
      <c r="HK199" s="159"/>
      <c r="HL199" s="159"/>
      <c r="HM199" s="159"/>
      <c r="HN199" s="159"/>
      <c r="HO199" s="159"/>
      <c r="HP199" s="159"/>
      <c r="HQ199" s="159"/>
      <c r="HR199" s="159"/>
      <c r="HS199" s="159"/>
      <c r="HT199" s="159"/>
      <c r="HU199" s="159"/>
      <c r="HV199" s="159"/>
      <c r="HW199" s="159"/>
      <c r="HX199" s="159"/>
      <c r="HY199" s="159"/>
      <c r="HZ199" s="159"/>
      <c r="IA199" s="159"/>
      <c r="IB199" s="159"/>
      <c r="IC199" s="159"/>
      <c r="ID199" s="159"/>
      <c r="IE199" s="159"/>
      <c r="IF199" s="159"/>
      <c r="IG199" s="159"/>
      <c r="IH199" s="159"/>
      <c r="II199" s="159"/>
      <c r="IJ199" s="159"/>
      <c r="IK199" s="159"/>
      <c r="IL199" s="159"/>
      <c r="IM199" s="159"/>
      <c r="IN199" s="159"/>
      <c r="IO199" s="159"/>
      <c r="IP199" s="159"/>
      <c r="IQ199" s="159"/>
      <c r="IR199" s="159"/>
      <c r="IS199" s="159"/>
      <c r="IT199" s="159"/>
      <c r="IU199" s="159"/>
      <c r="IV199" s="159"/>
      <c r="IW199" s="159"/>
      <c r="IX199" s="159"/>
      <c r="IY199" s="159"/>
      <c r="IZ199" s="159"/>
      <c r="JA199" s="159"/>
      <c r="JB199" s="159"/>
      <c r="JC199" s="159"/>
      <c r="JD199" s="159"/>
      <c r="JE199" s="159"/>
      <c r="JF199" s="159"/>
      <c r="JG199" s="159"/>
      <c r="JH199" s="159"/>
      <c r="JI199" s="159"/>
      <c r="JJ199" s="159"/>
      <c r="JK199" s="159"/>
      <c r="JL199" s="159"/>
      <c r="JM199" s="159"/>
      <c r="JN199" s="159"/>
      <c r="JO199" s="159"/>
      <c r="JP199" s="159"/>
      <c r="JQ199" s="159"/>
      <c r="JR199" s="159"/>
      <c r="JS199" s="159"/>
      <c r="JT199" s="159"/>
      <c r="JU199" s="159"/>
      <c r="JV199" s="159"/>
      <c r="JW199" s="159"/>
      <c r="JX199" s="159"/>
      <c r="JY199" s="159"/>
      <c r="JZ199" s="159"/>
      <c r="KA199" s="159"/>
      <c r="KB199" s="159"/>
      <c r="KC199" s="159"/>
      <c r="KD199" s="159"/>
      <c r="KE199" s="159"/>
      <c r="KF199" s="159"/>
      <c r="KG199" s="159"/>
      <c r="KH199" s="159"/>
      <c r="KI199" s="159"/>
      <c r="KJ199" s="159"/>
      <c r="KK199" s="159"/>
      <c r="KL199" s="159"/>
      <c r="KM199" s="159"/>
      <c r="KN199" s="159"/>
      <c r="KO199" s="159"/>
      <c r="KP199" s="159"/>
      <c r="KQ199" s="159"/>
      <c r="KR199" s="159"/>
      <c r="KS199" s="159"/>
      <c r="KT199" s="159"/>
      <c r="KU199" s="159"/>
      <c r="KV199" s="159"/>
      <c r="KW199" s="159"/>
      <c r="KX199" s="159"/>
      <c r="KY199" s="159"/>
      <c r="KZ199" s="159"/>
      <c r="LA199" s="159"/>
      <c r="LB199" s="159"/>
      <c r="LC199" s="159"/>
      <c r="LD199" s="159"/>
      <c r="LE199" s="159"/>
      <c r="LF199" s="159"/>
      <c r="LG199" s="159"/>
      <c r="LH199" s="159"/>
      <c r="LI199" s="159"/>
      <c r="LJ199" s="159"/>
      <c r="LK199" s="159"/>
      <c r="LL199" s="159"/>
      <c r="LM199" s="159"/>
      <c r="LN199" s="159"/>
      <c r="LO199" s="159"/>
      <c r="LP199" s="159"/>
      <c r="LQ199" s="159"/>
      <c r="LR199" s="159"/>
      <c r="LS199" s="159"/>
      <c r="LT199" s="159"/>
      <c r="LU199" s="159"/>
      <c r="LV199" s="159"/>
      <c r="LW199" s="159"/>
      <c r="LX199" s="159"/>
      <c r="LY199" s="159"/>
      <c r="LZ199" s="159"/>
      <c r="MA199" s="159"/>
      <c r="MB199" s="159"/>
      <c r="MC199" s="159"/>
      <c r="MD199" s="159"/>
      <c r="ME199" s="159"/>
      <c r="MF199" s="159"/>
      <c r="MG199" s="159"/>
      <c r="MH199" s="159"/>
      <c r="MI199" s="159"/>
      <c r="MJ199" s="159"/>
      <c r="MK199" s="159"/>
      <c r="ML199" s="159"/>
      <c r="MM199" s="159"/>
      <c r="MN199" s="159"/>
      <c r="MO199" s="159"/>
      <c r="MP199" s="159"/>
      <c r="MQ199" s="159"/>
      <c r="MR199" s="159"/>
      <c r="MS199" s="159"/>
      <c r="MT199" s="159"/>
      <c r="MU199" s="159"/>
      <c r="MV199" s="159"/>
      <c r="MW199" s="159"/>
      <c r="MX199" s="159"/>
      <c r="MY199" s="159"/>
      <c r="MZ199" s="159"/>
      <c r="NA199" s="159"/>
      <c r="NB199" s="159"/>
      <c r="NC199" s="159"/>
      <c r="ND199" s="159"/>
      <c r="NE199" s="159"/>
      <c r="NF199" s="159"/>
      <c r="NG199" s="159"/>
      <c r="NH199" s="159"/>
      <c r="NI199" s="159"/>
      <c r="NJ199" s="159"/>
      <c r="NK199" s="159"/>
      <c r="NL199" s="159"/>
      <c r="NM199" s="159"/>
      <c r="NN199" s="159"/>
      <c r="NO199" s="159"/>
      <c r="NP199" s="159"/>
      <c r="NQ199" s="159"/>
      <c r="NR199" s="159"/>
      <c r="NS199" s="159"/>
      <c r="NT199" s="159"/>
      <c r="NU199" s="159"/>
      <c r="NV199" s="159"/>
      <c r="NW199" s="159"/>
      <c r="NX199" s="159"/>
      <c r="NY199" s="159"/>
      <c r="NZ199" s="159"/>
      <c r="OA199" s="159"/>
      <c r="OB199" s="159"/>
      <c r="OC199" s="159"/>
      <c r="OD199" s="159"/>
      <c r="OE199" s="159"/>
      <c r="OF199" s="159"/>
      <c r="OG199" s="159"/>
      <c r="OH199" s="159"/>
      <c r="OI199" s="159"/>
      <c r="OJ199" s="159"/>
      <c r="OK199" s="159"/>
      <c r="OL199" s="159"/>
      <c r="OM199" s="159"/>
      <c r="ON199" s="159"/>
      <c r="OO199" s="159"/>
      <c r="OP199" s="159"/>
      <c r="OQ199" s="159"/>
      <c r="OR199" s="159"/>
      <c r="OS199" s="159"/>
      <c r="OT199" s="159"/>
      <c r="OU199" s="159"/>
      <c r="OV199" s="159"/>
      <c r="OW199" s="159"/>
      <c r="OX199" s="159"/>
      <c r="OY199" s="159"/>
      <c r="OZ199" s="159"/>
      <c r="PA199" s="159"/>
      <c r="PB199" s="159"/>
      <c r="PC199" s="159"/>
      <c r="PD199" s="159"/>
      <c r="PE199" s="159"/>
      <c r="PF199" s="159"/>
      <c r="PG199" s="159"/>
      <c r="PH199" s="159"/>
      <c r="PI199" s="159"/>
      <c r="PJ199" s="159"/>
      <c r="PK199" s="159"/>
      <c r="PL199" s="159"/>
      <c r="PM199" s="159"/>
      <c r="PN199" s="159"/>
      <c r="PO199" s="159"/>
      <c r="PP199" s="159"/>
      <c r="PQ199" s="159"/>
      <c r="PR199" s="159"/>
      <c r="PS199" s="159"/>
      <c r="PT199" s="159"/>
      <c r="PU199" s="159"/>
      <c r="PV199" s="159"/>
      <c r="PW199" s="159"/>
      <c r="PX199" s="159"/>
      <c r="PY199" s="159"/>
      <c r="PZ199" s="159"/>
      <c r="QA199" s="159"/>
      <c r="QB199" s="159"/>
      <c r="QC199" s="159"/>
      <c r="QD199" s="159"/>
      <c r="QE199" s="159"/>
      <c r="QF199" s="159"/>
      <c r="QG199" s="159"/>
      <c r="QH199" s="159"/>
      <c r="QI199" s="159"/>
      <c r="QJ199" s="159"/>
      <c r="QK199" s="159"/>
      <c r="QL199" s="159"/>
      <c r="QM199" s="159"/>
      <c r="QN199" s="159"/>
      <c r="QO199" s="159"/>
      <c r="QP199" s="159"/>
      <c r="QQ199" s="159"/>
      <c r="QR199" s="159"/>
      <c r="QS199" s="159"/>
      <c r="QT199" s="159"/>
      <c r="QU199" s="159"/>
      <c r="QV199" s="159"/>
      <c r="QW199" s="159"/>
      <c r="QX199" s="159"/>
      <c r="QY199" s="159"/>
      <c r="QZ199" s="159"/>
      <c r="RA199" s="159"/>
      <c r="RB199" s="159"/>
      <c r="RC199" s="159"/>
      <c r="RD199" s="159"/>
      <c r="RE199" s="159"/>
      <c r="RF199" s="159"/>
      <c r="RG199" s="159"/>
      <c r="RH199" s="159"/>
      <c r="RI199" s="159"/>
      <c r="RJ199" s="159"/>
      <c r="RK199" s="159"/>
      <c r="RL199" s="159"/>
      <c r="RM199" s="159"/>
      <c r="RN199" s="159"/>
      <c r="RO199" s="159"/>
      <c r="RP199" s="159"/>
      <c r="RQ199" s="159"/>
      <c r="RR199" s="159"/>
      <c r="RS199" s="159"/>
      <c r="RT199" s="159"/>
      <c r="RU199" s="159"/>
      <c r="RV199" s="159"/>
      <c r="RW199" s="159"/>
      <c r="RX199" s="159"/>
      <c r="RY199" s="159"/>
      <c r="RZ199" s="159"/>
      <c r="SA199" s="159"/>
      <c r="SB199" s="159"/>
      <c r="SC199" s="159"/>
      <c r="SD199" s="159"/>
      <c r="SE199" s="159"/>
      <c r="SF199" s="159"/>
      <c r="SG199" s="159"/>
      <c r="SH199" s="159"/>
      <c r="SI199" s="159"/>
      <c r="SJ199" s="159"/>
      <c r="SK199" s="159"/>
      <c r="SL199" s="159"/>
      <c r="SM199" s="159"/>
      <c r="SN199" s="159"/>
      <c r="SO199" s="159"/>
      <c r="SP199" s="159"/>
      <c r="SQ199" s="159"/>
      <c r="SR199" s="159"/>
      <c r="SS199" s="159"/>
      <c r="ST199" s="159"/>
      <c r="SU199" s="159"/>
      <c r="SV199" s="159"/>
      <c r="SW199" s="159"/>
      <c r="SX199" s="159"/>
      <c r="SY199" s="159"/>
      <c r="SZ199" s="159"/>
      <c r="TA199" s="159"/>
      <c r="TB199" s="159"/>
      <c r="TC199" s="159"/>
      <c r="TD199" s="159"/>
      <c r="TE199" s="159"/>
      <c r="TF199" s="159"/>
      <c r="TG199" s="159"/>
      <c r="TH199" s="159"/>
      <c r="TI199" s="159"/>
      <c r="TJ199" s="159"/>
      <c r="TK199" s="159"/>
      <c r="TL199" s="159"/>
      <c r="TM199" s="159"/>
      <c r="TN199" s="159"/>
      <c r="TO199" s="159"/>
      <c r="TP199" s="159"/>
      <c r="TQ199" s="159"/>
      <c r="TR199" s="159"/>
      <c r="TS199" s="159"/>
      <c r="TT199" s="159"/>
      <c r="TU199" s="159"/>
      <c r="TV199" s="159"/>
      <c r="TW199" s="159"/>
      <c r="TX199" s="159"/>
      <c r="TY199" s="159"/>
      <c r="TZ199" s="159"/>
      <c r="UA199" s="159"/>
      <c r="UB199" s="159"/>
      <c r="UC199" s="159"/>
      <c r="UD199" s="159"/>
      <c r="UE199" s="159"/>
      <c r="UF199" s="159"/>
      <c r="UG199" s="159"/>
      <c r="UH199" s="159"/>
      <c r="UI199" s="159"/>
      <c r="UJ199" s="159"/>
      <c r="UK199" s="159"/>
      <c r="UL199" s="159"/>
      <c r="UM199" s="159"/>
      <c r="UN199" s="159"/>
      <c r="UO199" s="159"/>
      <c r="UP199" s="159"/>
      <c r="UQ199" s="159"/>
      <c r="UR199" s="159"/>
      <c r="US199" s="159"/>
      <c r="UT199" s="159"/>
      <c r="UU199" s="159"/>
      <c r="UV199" s="159"/>
      <c r="UW199" s="159"/>
      <c r="UX199" s="159"/>
      <c r="UY199" s="159"/>
      <c r="UZ199" s="159"/>
      <c r="VA199" s="159"/>
      <c r="VB199" s="159"/>
      <c r="VC199" s="159"/>
      <c r="VD199" s="159"/>
      <c r="VE199" s="159"/>
      <c r="VF199" s="159"/>
      <c r="VG199" s="159"/>
      <c r="VH199" s="159"/>
      <c r="VI199" s="159"/>
      <c r="VJ199" s="159"/>
      <c r="VK199" s="159"/>
      <c r="VL199" s="159"/>
      <c r="VM199" s="159"/>
      <c r="VN199" s="159"/>
      <c r="VO199" s="159"/>
      <c r="VP199" s="159"/>
      <c r="VQ199" s="159"/>
      <c r="VR199" s="159"/>
      <c r="VS199" s="159"/>
      <c r="VT199" s="159"/>
      <c r="VU199" s="159"/>
      <c r="VV199" s="159"/>
      <c r="VW199" s="159"/>
      <c r="VX199" s="159"/>
      <c r="VY199" s="159"/>
      <c r="VZ199" s="159"/>
      <c r="WA199" s="159"/>
      <c r="WB199" s="159"/>
      <c r="WC199" s="159"/>
      <c r="WD199" s="159"/>
      <c r="WE199" s="159"/>
      <c r="WF199" s="159"/>
      <c r="WG199" s="159"/>
      <c r="WH199" s="159"/>
      <c r="WI199" s="159"/>
      <c r="WJ199" s="159"/>
      <c r="WK199" s="159"/>
      <c r="WL199" s="159"/>
      <c r="WM199" s="159"/>
      <c r="WN199" s="159"/>
      <c r="WO199" s="159"/>
      <c r="WP199" s="159"/>
      <c r="WQ199" s="159"/>
      <c r="WR199" s="159"/>
      <c r="WS199" s="159"/>
      <c r="WT199" s="159"/>
      <c r="WU199" s="159"/>
      <c r="WV199" s="159"/>
      <c r="WW199" s="159"/>
      <c r="WX199" s="159"/>
      <c r="WY199" s="159"/>
      <c r="WZ199" s="159"/>
      <c r="XA199" s="159"/>
      <c r="XB199" s="159"/>
      <c r="XC199" s="159"/>
      <c r="XD199" s="159"/>
      <c r="XE199" s="159"/>
      <c r="XF199" s="159"/>
      <c r="XG199" s="159"/>
      <c r="XH199" s="159"/>
      <c r="XI199" s="159"/>
      <c r="XJ199" s="159"/>
      <c r="XK199" s="159"/>
      <c r="XL199" s="159"/>
      <c r="XM199" s="159"/>
      <c r="XN199" s="159"/>
      <c r="XO199" s="159"/>
      <c r="XP199" s="159"/>
      <c r="XQ199" s="159"/>
      <c r="XR199" s="159"/>
      <c r="XS199" s="159"/>
      <c r="XT199" s="159"/>
      <c r="XU199" s="159"/>
      <c r="XV199" s="159"/>
      <c r="XW199" s="159"/>
      <c r="XX199" s="159"/>
      <c r="XY199" s="159"/>
      <c r="XZ199" s="159"/>
      <c r="YA199" s="159"/>
      <c r="YB199" s="159"/>
      <c r="YC199" s="159"/>
      <c r="YD199" s="159"/>
      <c r="YE199" s="159"/>
      <c r="YF199" s="159"/>
      <c r="YG199" s="159"/>
      <c r="YH199" s="159"/>
      <c r="YI199" s="159"/>
      <c r="YJ199" s="159"/>
      <c r="YK199" s="159"/>
      <c r="YL199" s="159"/>
      <c r="YM199" s="159"/>
      <c r="YN199" s="159"/>
      <c r="YO199" s="159"/>
      <c r="YP199" s="159"/>
      <c r="YQ199" s="159"/>
      <c r="YR199" s="159"/>
      <c r="YS199" s="159"/>
      <c r="YT199" s="159"/>
      <c r="YU199" s="159"/>
      <c r="YV199" s="159"/>
      <c r="YW199" s="159"/>
      <c r="YX199" s="159"/>
      <c r="YY199" s="159"/>
      <c r="YZ199" s="159"/>
      <c r="ZA199" s="159"/>
      <c r="ZB199" s="159"/>
      <c r="ZC199" s="159"/>
      <c r="ZD199" s="159"/>
      <c r="ZE199" s="159"/>
      <c r="ZF199" s="159"/>
      <c r="ZG199" s="159"/>
      <c r="ZH199" s="159"/>
      <c r="ZI199" s="159"/>
      <c r="ZJ199" s="159"/>
      <c r="ZK199" s="159"/>
      <c r="ZL199" s="159"/>
      <c r="ZM199" s="159"/>
      <c r="ZN199" s="159"/>
      <c r="ZO199" s="159"/>
      <c r="ZP199" s="159"/>
      <c r="ZQ199" s="159"/>
      <c r="ZR199" s="159"/>
      <c r="ZS199" s="159"/>
      <c r="ZT199" s="159"/>
      <c r="ZU199" s="159"/>
      <c r="ZV199" s="159"/>
      <c r="ZW199" s="159"/>
      <c r="ZX199" s="159"/>
      <c r="ZY199" s="159"/>
      <c r="ZZ199" s="159"/>
      <c r="AAA199" s="159"/>
      <c r="AAB199" s="159"/>
      <c r="AAC199" s="159"/>
      <c r="AAD199" s="159"/>
      <c r="AAE199" s="159"/>
      <c r="AAF199" s="159"/>
      <c r="AAG199" s="159"/>
      <c r="AAH199" s="159"/>
      <c r="AAI199" s="159"/>
      <c r="AAJ199" s="159"/>
      <c r="AAK199" s="159"/>
      <c r="AAL199" s="159"/>
      <c r="AAM199" s="159"/>
      <c r="AAN199" s="159"/>
      <c r="AAO199" s="159"/>
      <c r="AAP199" s="159"/>
      <c r="AAQ199" s="159"/>
      <c r="AAR199" s="159"/>
      <c r="AAS199" s="159"/>
      <c r="AAT199" s="159"/>
      <c r="AAU199" s="159"/>
      <c r="AAV199" s="159"/>
      <c r="AAW199" s="159"/>
      <c r="AAX199" s="159"/>
      <c r="AAY199" s="159"/>
      <c r="AAZ199" s="159"/>
      <c r="ABA199" s="159"/>
      <c r="ABB199" s="159"/>
      <c r="ABC199" s="159"/>
      <c r="ABD199" s="159"/>
      <c r="ABE199" s="159"/>
      <c r="ABF199" s="159"/>
      <c r="ABG199" s="159"/>
      <c r="ABH199" s="159"/>
      <c r="ABI199" s="159"/>
      <c r="ABJ199" s="159"/>
      <c r="ABK199" s="159"/>
      <c r="ABL199" s="159"/>
      <c r="ABM199" s="159"/>
      <c r="ABN199" s="159"/>
      <c r="ABO199" s="159"/>
      <c r="ABP199" s="159"/>
      <c r="ABQ199" s="159"/>
      <c r="ABR199" s="159"/>
      <c r="ABS199" s="159"/>
      <c r="ABT199" s="159"/>
      <c r="ABU199" s="159"/>
      <c r="ABV199" s="159"/>
      <c r="ABW199" s="159"/>
      <c r="ABX199" s="159"/>
      <c r="ABY199" s="159"/>
      <c r="ABZ199" s="159"/>
      <c r="ACA199" s="159"/>
      <c r="ACB199" s="159"/>
      <c r="ACC199" s="159"/>
      <c r="ACD199" s="159"/>
      <c r="ACE199" s="159"/>
      <c r="ACF199" s="159"/>
      <c r="ACG199" s="159"/>
      <c r="ACH199" s="159"/>
      <c r="ACI199" s="159"/>
      <c r="ACJ199" s="159"/>
      <c r="ACK199" s="159"/>
      <c r="ACL199" s="159"/>
      <c r="ACM199" s="159"/>
      <c r="ACN199" s="159"/>
      <c r="ACO199" s="159"/>
      <c r="ACP199" s="159"/>
      <c r="ACQ199" s="159"/>
      <c r="ACR199" s="159"/>
      <c r="ACS199" s="159"/>
      <c r="ACT199" s="159"/>
      <c r="ACU199" s="159"/>
      <c r="ACV199" s="159"/>
      <c r="ACW199" s="159"/>
      <c r="ACX199" s="159"/>
      <c r="ACY199" s="159"/>
      <c r="ACZ199" s="159"/>
      <c r="ADA199" s="159"/>
      <c r="ADB199" s="159"/>
      <c r="ADC199" s="159"/>
      <c r="ADD199" s="159"/>
      <c r="ADE199" s="159"/>
      <c r="ADF199" s="159"/>
      <c r="ADG199" s="159"/>
      <c r="ADH199" s="159"/>
      <c r="ADI199" s="159"/>
      <c r="ADJ199" s="159"/>
      <c r="ADK199" s="159"/>
      <c r="ADL199" s="159"/>
      <c r="ADM199" s="159"/>
      <c r="ADN199" s="159"/>
      <c r="ADO199" s="159"/>
      <c r="ADP199" s="159"/>
      <c r="ADQ199" s="159"/>
      <c r="ADR199" s="159"/>
      <c r="ADS199" s="159"/>
      <c r="ADT199" s="159"/>
      <c r="ADU199" s="159"/>
      <c r="ADV199" s="159"/>
      <c r="ADW199" s="159"/>
      <c r="ADX199" s="159"/>
      <c r="ADY199" s="159"/>
      <c r="ADZ199" s="159"/>
      <c r="AEA199" s="159"/>
      <c r="AEB199" s="159"/>
      <c r="AEC199" s="159"/>
      <c r="AED199" s="159"/>
      <c r="AEE199" s="159"/>
      <c r="AEF199" s="159"/>
      <c r="AEG199" s="159"/>
      <c r="AEH199" s="159"/>
      <c r="AEI199" s="159"/>
      <c r="AEJ199" s="159"/>
      <c r="AEK199" s="159"/>
      <c r="AEL199" s="159"/>
      <c r="AEM199" s="159"/>
      <c r="AEN199" s="159"/>
      <c r="AEO199" s="159"/>
      <c r="AEP199" s="159"/>
      <c r="AEQ199" s="159"/>
      <c r="AER199" s="159"/>
      <c r="AES199" s="159"/>
      <c r="AET199" s="159"/>
      <c r="AEU199" s="159"/>
      <c r="AEV199" s="159"/>
      <c r="AEW199" s="159"/>
      <c r="AEX199" s="159"/>
      <c r="AEY199" s="159"/>
      <c r="AEZ199" s="159"/>
      <c r="AFA199" s="159"/>
      <c r="AFB199" s="159"/>
      <c r="AFC199" s="159"/>
      <c r="AFD199" s="159"/>
      <c r="AFE199" s="159"/>
      <c r="AFF199" s="159"/>
      <c r="AFG199" s="159"/>
      <c r="AFH199" s="159"/>
      <c r="AFI199" s="159"/>
      <c r="AFJ199" s="159"/>
      <c r="AFK199" s="159"/>
      <c r="AFL199" s="159"/>
      <c r="AFM199" s="159"/>
      <c r="AFN199" s="159"/>
      <c r="AFO199" s="159"/>
      <c r="AFP199" s="159"/>
      <c r="AFQ199" s="159"/>
      <c r="AFR199" s="159"/>
      <c r="AFS199" s="159"/>
      <c r="AFT199" s="159"/>
      <c r="AFU199" s="159"/>
      <c r="AFV199" s="159"/>
      <c r="AFW199" s="159"/>
      <c r="AFX199" s="159"/>
      <c r="AFY199" s="159"/>
      <c r="AFZ199" s="159"/>
      <c r="AGA199" s="159"/>
      <c r="AGB199" s="159"/>
      <c r="AGC199" s="159"/>
      <c r="AGD199" s="159"/>
      <c r="AGE199" s="159"/>
      <c r="AGF199" s="159"/>
      <c r="AGG199" s="159"/>
      <c r="AGH199" s="159"/>
      <c r="AGI199" s="159"/>
      <c r="AGJ199" s="159"/>
      <c r="AGK199" s="159"/>
      <c r="AGL199" s="159"/>
      <c r="AGM199" s="159"/>
      <c r="AGN199" s="159"/>
      <c r="AGO199" s="159"/>
      <c r="AGP199" s="159"/>
      <c r="AGQ199" s="159"/>
      <c r="AGR199" s="159"/>
      <c r="AGS199" s="159"/>
      <c r="AGT199" s="159"/>
      <c r="AGU199" s="159"/>
      <c r="AGV199" s="159"/>
      <c r="AGW199" s="159"/>
      <c r="AGX199" s="159"/>
      <c r="AGY199" s="159"/>
      <c r="AGZ199" s="159"/>
      <c r="AHA199" s="159"/>
      <c r="AHB199" s="159"/>
      <c r="AHC199" s="159"/>
      <c r="AHD199" s="159"/>
      <c r="AHE199" s="159"/>
      <c r="AHF199" s="159"/>
      <c r="AHG199" s="159"/>
      <c r="AHH199" s="159"/>
      <c r="AHI199" s="159"/>
      <c r="AHJ199" s="159"/>
      <c r="AHK199" s="159"/>
      <c r="AHL199" s="159"/>
      <c r="AHM199" s="159"/>
      <c r="AHN199" s="159"/>
      <c r="AHO199" s="159"/>
      <c r="AHP199" s="159"/>
      <c r="AHQ199" s="159"/>
      <c r="AHR199" s="159"/>
      <c r="AHS199" s="159"/>
      <c r="AHT199" s="159"/>
      <c r="AHU199" s="159"/>
      <c r="AHV199" s="159"/>
      <c r="AHW199" s="159"/>
      <c r="AHX199" s="159"/>
      <c r="AHY199" s="159"/>
      <c r="AHZ199" s="159"/>
      <c r="AIA199" s="159"/>
      <c r="AIB199" s="159"/>
      <c r="AIC199" s="159"/>
      <c r="AID199" s="159"/>
      <c r="AIE199" s="159"/>
      <c r="AIF199" s="159"/>
      <c r="AIG199" s="159"/>
      <c r="AIH199" s="159"/>
      <c r="AII199" s="159"/>
      <c r="AIJ199" s="159"/>
      <c r="AIK199" s="159"/>
      <c r="AIL199" s="159"/>
      <c r="AIM199" s="159"/>
      <c r="AIN199" s="159"/>
      <c r="AIO199" s="159"/>
      <c r="AIP199" s="159"/>
      <c r="AIQ199" s="159"/>
      <c r="AIR199" s="159"/>
      <c r="AIS199" s="159"/>
      <c r="AIT199" s="159"/>
      <c r="AIU199" s="159"/>
      <c r="AIV199" s="159"/>
      <c r="AIW199" s="159"/>
      <c r="AIX199" s="159"/>
      <c r="AIY199" s="159"/>
      <c r="AIZ199" s="159"/>
      <c r="AJA199" s="159"/>
      <c r="AJB199" s="159"/>
      <c r="AJC199" s="159"/>
      <c r="AJD199" s="159"/>
      <c r="AJE199" s="159"/>
      <c r="AJF199" s="159"/>
      <c r="AJG199" s="159"/>
      <c r="AJH199" s="159"/>
      <c r="AJI199" s="159"/>
      <c r="AJJ199" s="159"/>
      <c r="AJK199" s="159"/>
      <c r="AJL199" s="159"/>
      <c r="AJM199" s="159"/>
      <c r="AJN199" s="159"/>
      <c r="AJO199" s="159"/>
      <c r="AJP199" s="159"/>
      <c r="AJQ199" s="159"/>
      <c r="AJR199" s="159"/>
      <c r="AJS199" s="159"/>
      <c r="AJT199" s="159"/>
      <c r="AJU199" s="159"/>
      <c r="AJV199" s="159"/>
      <c r="AJW199" s="159"/>
      <c r="AJX199" s="159"/>
      <c r="AJY199" s="159"/>
      <c r="AJZ199" s="159"/>
      <c r="AKA199" s="159"/>
      <c r="AKB199" s="159"/>
      <c r="AKC199" s="159"/>
      <c r="AKD199" s="159"/>
      <c r="AKE199" s="159"/>
      <c r="AKF199" s="159"/>
      <c r="AKG199" s="159"/>
      <c r="AKH199" s="159"/>
      <c r="AKI199" s="159"/>
      <c r="AKJ199" s="159"/>
      <c r="AKK199" s="159"/>
      <c r="AKL199" s="159"/>
      <c r="AKM199" s="159"/>
      <c r="AKN199" s="159"/>
      <c r="AKO199" s="159"/>
      <c r="AKP199" s="159"/>
      <c r="AKQ199" s="159"/>
      <c r="AKR199" s="159"/>
      <c r="AKS199" s="159"/>
      <c r="AKT199" s="159"/>
      <c r="AKU199" s="159"/>
      <c r="AKV199" s="159"/>
      <c r="AKW199" s="159"/>
      <c r="AKX199" s="159"/>
      <c r="AKY199" s="159"/>
      <c r="AKZ199" s="159"/>
      <c r="ALA199" s="159"/>
      <c r="ALB199" s="159"/>
      <c r="ALC199" s="159"/>
      <c r="ALD199" s="159"/>
      <c r="ALE199" s="159"/>
      <c r="ALF199" s="159"/>
      <c r="ALG199" s="159"/>
      <c r="ALH199" s="159"/>
      <c r="ALI199" s="159"/>
      <c r="ALJ199" s="159"/>
      <c r="ALK199" s="159"/>
      <c r="ALL199" s="159"/>
      <c r="ALM199" s="159"/>
      <c r="ALN199" s="159"/>
      <c r="ALO199" s="159"/>
      <c r="ALP199" s="159"/>
      <c r="ALQ199" s="159"/>
      <c r="ALR199" s="159"/>
      <c r="ALS199" s="159"/>
      <c r="ALT199" s="159"/>
      <c r="ALU199" s="159"/>
      <c r="ALV199" s="159"/>
      <c r="ALW199" s="159"/>
      <c r="ALX199" s="159"/>
      <c r="ALY199" s="159"/>
      <c r="ALZ199" s="159"/>
      <c r="AMA199" s="159"/>
      <c r="AMB199" s="159"/>
      <c r="AMC199" s="159"/>
      <c r="AMD199" s="159"/>
      <c r="AME199" s="159"/>
      <c r="AMF199" s="159"/>
      <c r="AMG199" s="159"/>
      <c r="AMH199" s="159"/>
      <c r="AMI199" s="159"/>
      <c r="AMJ199" s="159"/>
      <c r="AMK199" s="159"/>
      <c r="AML199" s="159"/>
      <c r="AMM199" s="159"/>
      <c r="AMN199" s="159"/>
      <c r="AMO199" s="159"/>
    </row>
    <row r="200" spans="1:1029" s="161" customFormat="1" ht="25.5" x14ac:dyDescent="0.25">
      <c r="A200" s="138">
        <v>46301</v>
      </c>
      <c r="B200" s="99" t="s">
        <v>105</v>
      </c>
      <c r="C200" s="99" t="s">
        <v>151</v>
      </c>
      <c r="D200" s="160" t="s">
        <v>16</v>
      </c>
      <c r="E200" s="118" t="s">
        <v>105</v>
      </c>
      <c r="F200" s="149" t="s">
        <v>125</v>
      </c>
      <c r="G200" s="149" t="s">
        <v>31</v>
      </c>
      <c r="H200" s="141">
        <f t="shared" si="12"/>
        <v>1</v>
      </c>
      <c r="I200" s="121" t="s">
        <v>105</v>
      </c>
      <c r="J200" s="121" t="s">
        <v>82</v>
      </c>
      <c r="K200" s="121" t="s">
        <v>13</v>
      </c>
      <c r="L200" s="141">
        <f t="shared" si="13"/>
        <v>1</v>
      </c>
      <c r="M200" s="121" t="s">
        <v>29</v>
      </c>
      <c r="N200" s="121" t="s">
        <v>77</v>
      </c>
      <c r="O200" s="121" t="s">
        <v>27</v>
      </c>
      <c r="P200" s="141" t="b">
        <f t="shared" si="14"/>
        <v>0</v>
      </c>
      <c r="Q200" s="149" t="s">
        <v>50</v>
      </c>
      <c r="R200" s="99" t="s">
        <v>82</v>
      </c>
      <c r="S200" s="99" t="s">
        <v>168</v>
      </c>
      <c r="T200" s="141" t="b">
        <f t="shared" si="15"/>
        <v>0</v>
      </c>
      <c r="U200" s="159"/>
      <c r="V200" s="159"/>
      <c r="W200" s="159"/>
      <c r="X200" s="159"/>
      <c r="Y200" s="159"/>
      <c r="Z200" s="159"/>
      <c r="AA200" s="159"/>
      <c r="AB200" s="159"/>
      <c r="AC200" s="159"/>
      <c r="AD200" s="159"/>
      <c r="AE200" s="159"/>
      <c r="AF200" s="159"/>
      <c r="AG200" s="159"/>
      <c r="AH200" s="159"/>
      <c r="AI200" s="159"/>
      <c r="AJ200" s="159"/>
      <c r="AK200" s="159"/>
      <c r="AL200" s="159"/>
      <c r="AM200" s="159"/>
      <c r="AN200" s="159"/>
      <c r="AO200" s="159"/>
      <c r="AP200" s="159"/>
      <c r="AQ200" s="159"/>
      <c r="AR200" s="159"/>
      <c r="AS200" s="159"/>
      <c r="AT200" s="159"/>
      <c r="AU200" s="159"/>
      <c r="AV200" s="159"/>
      <c r="AW200" s="159"/>
      <c r="AX200" s="159"/>
      <c r="AY200" s="159"/>
      <c r="AZ200" s="159"/>
      <c r="BA200" s="159"/>
      <c r="BB200" s="159"/>
      <c r="BC200" s="159"/>
      <c r="BD200" s="159"/>
      <c r="BE200" s="159"/>
      <c r="BF200" s="159"/>
      <c r="BG200" s="159"/>
      <c r="BH200" s="159"/>
      <c r="BI200" s="159"/>
      <c r="BJ200" s="159"/>
      <c r="BK200" s="159"/>
      <c r="BL200" s="159"/>
      <c r="BM200" s="159"/>
      <c r="BN200" s="159"/>
      <c r="BO200" s="159"/>
      <c r="BP200" s="159"/>
      <c r="BQ200" s="159"/>
      <c r="BR200" s="159"/>
      <c r="BS200" s="159"/>
      <c r="BT200" s="159"/>
      <c r="BU200" s="159"/>
      <c r="BV200" s="159"/>
      <c r="BW200" s="159"/>
      <c r="BX200" s="159"/>
      <c r="BY200" s="159"/>
      <c r="BZ200" s="159"/>
      <c r="CA200" s="159"/>
      <c r="CB200" s="159"/>
      <c r="CC200" s="159"/>
      <c r="CD200" s="159"/>
      <c r="CE200" s="159"/>
      <c r="CF200" s="159"/>
      <c r="CG200" s="159"/>
      <c r="CH200" s="159"/>
      <c r="CI200" s="159"/>
      <c r="CJ200" s="159"/>
      <c r="CK200" s="159"/>
      <c r="CL200" s="159"/>
      <c r="CM200" s="159"/>
      <c r="CN200" s="159"/>
      <c r="CO200" s="159"/>
      <c r="CP200" s="159"/>
      <c r="CQ200" s="159"/>
      <c r="CR200" s="159"/>
      <c r="CS200" s="159"/>
      <c r="CT200" s="159"/>
      <c r="CU200" s="159"/>
      <c r="CV200" s="159"/>
      <c r="CW200" s="159"/>
      <c r="CX200" s="159"/>
      <c r="CY200" s="159"/>
      <c r="CZ200" s="159"/>
      <c r="DA200" s="159"/>
      <c r="DB200" s="159"/>
      <c r="DC200" s="159"/>
      <c r="DD200" s="159"/>
      <c r="DE200" s="159"/>
      <c r="DF200" s="159"/>
      <c r="DG200" s="159"/>
      <c r="DH200" s="159"/>
      <c r="DI200" s="159"/>
      <c r="DJ200" s="159"/>
      <c r="DK200" s="159"/>
      <c r="DL200" s="159"/>
      <c r="DM200" s="159"/>
      <c r="DN200" s="159"/>
      <c r="DO200" s="159"/>
      <c r="DP200" s="159"/>
      <c r="DQ200" s="159"/>
      <c r="DR200" s="159"/>
      <c r="DS200" s="159"/>
      <c r="DT200" s="159"/>
      <c r="DU200" s="159"/>
      <c r="DV200" s="159"/>
      <c r="DW200" s="159"/>
      <c r="DX200" s="159"/>
      <c r="DY200" s="159"/>
      <c r="DZ200" s="159"/>
      <c r="EA200" s="159"/>
      <c r="EB200" s="159"/>
      <c r="EC200" s="159"/>
      <c r="ED200" s="159"/>
      <c r="EE200" s="159"/>
      <c r="EF200" s="159"/>
      <c r="EG200" s="159"/>
      <c r="EH200" s="159"/>
      <c r="EI200" s="159"/>
      <c r="EJ200" s="159"/>
      <c r="EK200" s="159"/>
      <c r="EL200" s="159"/>
      <c r="EM200" s="159"/>
      <c r="EN200" s="159"/>
      <c r="EO200" s="159"/>
      <c r="EP200" s="159"/>
      <c r="EQ200" s="159"/>
      <c r="ER200" s="159"/>
      <c r="ES200" s="159"/>
      <c r="ET200" s="159"/>
      <c r="EU200" s="159"/>
      <c r="EV200" s="159"/>
      <c r="EW200" s="159"/>
      <c r="EX200" s="159"/>
      <c r="EY200" s="159"/>
      <c r="EZ200" s="159"/>
      <c r="FA200" s="159"/>
      <c r="FB200" s="159"/>
      <c r="FC200" s="159"/>
      <c r="FD200" s="159"/>
      <c r="FE200" s="159"/>
      <c r="FF200" s="159"/>
      <c r="FG200" s="159"/>
      <c r="FH200" s="159"/>
      <c r="FI200" s="159"/>
      <c r="FJ200" s="159"/>
      <c r="FK200" s="159"/>
      <c r="FL200" s="159"/>
      <c r="FM200" s="159"/>
      <c r="FN200" s="159"/>
      <c r="FO200" s="159"/>
      <c r="FP200" s="159"/>
      <c r="FQ200" s="159"/>
      <c r="FR200" s="159"/>
      <c r="FS200" s="159"/>
      <c r="FT200" s="159"/>
      <c r="FU200" s="159"/>
      <c r="FV200" s="159"/>
      <c r="FW200" s="159"/>
      <c r="FX200" s="159"/>
      <c r="FY200" s="159"/>
      <c r="FZ200" s="159"/>
      <c r="GA200" s="159"/>
      <c r="GB200" s="159"/>
      <c r="GC200" s="159"/>
      <c r="GD200" s="159"/>
      <c r="GE200" s="159"/>
      <c r="GF200" s="159"/>
      <c r="GG200" s="159"/>
      <c r="GH200" s="159"/>
      <c r="GI200" s="159"/>
      <c r="GJ200" s="159"/>
      <c r="GK200" s="159"/>
      <c r="GL200" s="159"/>
      <c r="GM200" s="159"/>
      <c r="GN200" s="159"/>
      <c r="GO200" s="159"/>
      <c r="GP200" s="159"/>
      <c r="GQ200" s="159"/>
      <c r="GR200" s="159"/>
      <c r="GS200" s="159"/>
      <c r="GT200" s="159"/>
      <c r="GU200" s="159"/>
      <c r="GV200" s="159"/>
      <c r="GW200" s="159"/>
      <c r="GX200" s="159"/>
      <c r="GY200" s="159"/>
      <c r="GZ200" s="159"/>
      <c r="HA200" s="159"/>
      <c r="HB200" s="159"/>
      <c r="HC200" s="159"/>
      <c r="HD200" s="159"/>
      <c r="HE200" s="159"/>
      <c r="HF200" s="159"/>
      <c r="HG200" s="159"/>
      <c r="HH200" s="159"/>
      <c r="HI200" s="159"/>
      <c r="HJ200" s="159"/>
      <c r="HK200" s="159"/>
      <c r="HL200" s="159"/>
      <c r="HM200" s="159"/>
      <c r="HN200" s="159"/>
      <c r="HO200" s="159"/>
      <c r="HP200" s="159"/>
      <c r="HQ200" s="159"/>
      <c r="HR200" s="159"/>
      <c r="HS200" s="159"/>
      <c r="HT200" s="159"/>
      <c r="HU200" s="159"/>
      <c r="HV200" s="159"/>
      <c r="HW200" s="159"/>
      <c r="HX200" s="159"/>
      <c r="HY200" s="159"/>
      <c r="HZ200" s="159"/>
      <c r="IA200" s="159"/>
      <c r="IB200" s="159"/>
      <c r="IC200" s="159"/>
      <c r="ID200" s="159"/>
      <c r="IE200" s="159"/>
      <c r="IF200" s="159"/>
      <c r="IG200" s="159"/>
      <c r="IH200" s="159"/>
      <c r="II200" s="159"/>
      <c r="IJ200" s="159"/>
      <c r="IK200" s="159"/>
      <c r="IL200" s="159"/>
      <c r="IM200" s="159"/>
      <c r="IN200" s="159"/>
      <c r="IO200" s="159"/>
      <c r="IP200" s="159"/>
      <c r="IQ200" s="159"/>
      <c r="IR200" s="159"/>
      <c r="IS200" s="159"/>
      <c r="IT200" s="159"/>
      <c r="IU200" s="159"/>
      <c r="IV200" s="159"/>
      <c r="IW200" s="159"/>
      <c r="IX200" s="159"/>
      <c r="IY200" s="159"/>
      <c r="IZ200" s="159"/>
      <c r="JA200" s="159"/>
      <c r="JB200" s="159"/>
      <c r="JC200" s="159"/>
      <c r="JD200" s="159"/>
      <c r="JE200" s="159"/>
      <c r="JF200" s="159"/>
      <c r="JG200" s="159"/>
      <c r="JH200" s="159"/>
      <c r="JI200" s="159"/>
      <c r="JJ200" s="159"/>
      <c r="JK200" s="159"/>
      <c r="JL200" s="159"/>
      <c r="JM200" s="159"/>
      <c r="JN200" s="159"/>
      <c r="JO200" s="159"/>
      <c r="JP200" s="159"/>
      <c r="JQ200" s="159"/>
      <c r="JR200" s="159"/>
      <c r="JS200" s="159"/>
      <c r="JT200" s="159"/>
      <c r="JU200" s="159"/>
      <c r="JV200" s="159"/>
      <c r="JW200" s="159"/>
      <c r="JX200" s="159"/>
      <c r="JY200" s="159"/>
      <c r="JZ200" s="159"/>
      <c r="KA200" s="159"/>
      <c r="KB200" s="159"/>
      <c r="KC200" s="159"/>
      <c r="KD200" s="159"/>
      <c r="KE200" s="159"/>
      <c r="KF200" s="159"/>
      <c r="KG200" s="159"/>
      <c r="KH200" s="159"/>
      <c r="KI200" s="159"/>
      <c r="KJ200" s="159"/>
      <c r="KK200" s="159"/>
      <c r="KL200" s="159"/>
      <c r="KM200" s="159"/>
      <c r="KN200" s="159"/>
      <c r="KO200" s="159"/>
      <c r="KP200" s="159"/>
      <c r="KQ200" s="159"/>
      <c r="KR200" s="159"/>
      <c r="KS200" s="159"/>
      <c r="KT200" s="159"/>
      <c r="KU200" s="159"/>
      <c r="KV200" s="159"/>
      <c r="KW200" s="159"/>
      <c r="KX200" s="159"/>
      <c r="KY200" s="159"/>
      <c r="KZ200" s="159"/>
      <c r="LA200" s="159"/>
      <c r="LB200" s="159"/>
      <c r="LC200" s="159"/>
      <c r="LD200" s="159"/>
      <c r="LE200" s="159"/>
      <c r="LF200" s="159"/>
      <c r="LG200" s="159"/>
      <c r="LH200" s="159"/>
      <c r="LI200" s="159"/>
      <c r="LJ200" s="159"/>
      <c r="LK200" s="159"/>
      <c r="LL200" s="159"/>
      <c r="LM200" s="159"/>
      <c r="LN200" s="159"/>
      <c r="LO200" s="159"/>
      <c r="LP200" s="159"/>
      <c r="LQ200" s="159"/>
      <c r="LR200" s="159"/>
      <c r="LS200" s="159"/>
      <c r="LT200" s="159"/>
      <c r="LU200" s="159"/>
      <c r="LV200" s="159"/>
      <c r="LW200" s="159"/>
      <c r="LX200" s="159"/>
      <c r="LY200" s="159"/>
      <c r="LZ200" s="159"/>
      <c r="MA200" s="159"/>
      <c r="MB200" s="159"/>
      <c r="MC200" s="159"/>
      <c r="MD200" s="159"/>
      <c r="ME200" s="159"/>
      <c r="MF200" s="159"/>
      <c r="MG200" s="159"/>
      <c r="MH200" s="159"/>
      <c r="MI200" s="159"/>
      <c r="MJ200" s="159"/>
      <c r="MK200" s="159"/>
      <c r="ML200" s="159"/>
      <c r="MM200" s="159"/>
      <c r="MN200" s="159"/>
      <c r="MO200" s="159"/>
      <c r="MP200" s="159"/>
      <c r="MQ200" s="159"/>
      <c r="MR200" s="159"/>
      <c r="MS200" s="159"/>
      <c r="MT200" s="159"/>
      <c r="MU200" s="159"/>
      <c r="MV200" s="159"/>
      <c r="MW200" s="159"/>
      <c r="MX200" s="159"/>
      <c r="MY200" s="159"/>
      <c r="MZ200" s="159"/>
      <c r="NA200" s="159"/>
      <c r="NB200" s="159"/>
      <c r="NC200" s="159"/>
      <c r="ND200" s="159"/>
      <c r="NE200" s="159"/>
      <c r="NF200" s="159"/>
      <c r="NG200" s="159"/>
      <c r="NH200" s="159"/>
      <c r="NI200" s="159"/>
      <c r="NJ200" s="159"/>
      <c r="NK200" s="159"/>
      <c r="NL200" s="159"/>
      <c r="NM200" s="159"/>
      <c r="NN200" s="159"/>
      <c r="NO200" s="159"/>
      <c r="NP200" s="159"/>
      <c r="NQ200" s="159"/>
      <c r="NR200" s="159"/>
      <c r="NS200" s="159"/>
      <c r="NT200" s="159"/>
      <c r="NU200" s="159"/>
      <c r="NV200" s="159"/>
      <c r="NW200" s="159"/>
      <c r="NX200" s="159"/>
      <c r="NY200" s="159"/>
      <c r="NZ200" s="159"/>
      <c r="OA200" s="159"/>
      <c r="OB200" s="159"/>
      <c r="OC200" s="159"/>
      <c r="OD200" s="159"/>
      <c r="OE200" s="159"/>
      <c r="OF200" s="159"/>
      <c r="OG200" s="159"/>
      <c r="OH200" s="159"/>
      <c r="OI200" s="159"/>
      <c r="OJ200" s="159"/>
      <c r="OK200" s="159"/>
      <c r="OL200" s="159"/>
      <c r="OM200" s="159"/>
      <c r="ON200" s="159"/>
      <c r="OO200" s="159"/>
      <c r="OP200" s="159"/>
      <c r="OQ200" s="159"/>
      <c r="OR200" s="159"/>
      <c r="OS200" s="159"/>
      <c r="OT200" s="159"/>
      <c r="OU200" s="159"/>
      <c r="OV200" s="159"/>
      <c r="OW200" s="159"/>
      <c r="OX200" s="159"/>
      <c r="OY200" s="159"/>
      <c r="OZ200" s="159"/>
      <c r="PA200" s="159"/>
      <c r="PB200" s="159"/>
      <c r="PC200" s="159"/>
      <c r="PD200" s="159"/>
      <c r="PE200" s="159"/>
      <c r="PF200" s="159"/>
      <c r="PG200" s="159"/>
      <c r="PH200" s="159"/>
      <c r="PI200" s="159"/>
      <c r="PJ200" s="159"/>
      <c r="PK200" s="159"/>
      <c r="PL200" s="159"/>
      <c r="PM200" s="159"/>
      <c r="PN200" s="159"/>
      <c r="PO200" s="159"/>
      <c r="PP200" s="159"/>
      <c r="PQ200" s="159"/>
      <c r="PR200" s="159"/>
      <c r="PS200" s="159"/>
      <c r="PT200" s="159"/>
      <c r="PU200" s="159"/>
      <c r="PV200" s="159"/>
      <c r="PW200" s="159"/>
      <c r="PX200" s="159"/>
      <c r="PY200" s="159"/>
      <c r="PZ200" s="159"/>
      <c r="QA200" s="159"/>
      <c r="QB200" s="159"/>
      <c r="QC200" s="159"/>
      <c r="QD200" s="159"/>
      <c r="QE200" s="159"/>
      <c r="QF200" s="159"/>
      <c r="QG200" s="159"/>
      <c r="QH200" s="159"/>
      <c r="QI200" s="159"/>
      <c r="QJ200" s="159"/>
      <c r="QK200" s="159"/>
      <c r="QL200" s="159"/>
      <c r="QM200" s="159"/>
      <c r="QN200" s="159"/>
      <c r="QO200" s="159"/>
      <c r="QP200" s="159"/>
      <c r="QQ200" s="159"/>
      <c r="QR200" s="159"/>
      <c r="QS200" s="159"/>
      <c r="QT200" s="159"/>
      <c r="QU200" s="159"/>
      <c r="QV200" s="159"/>
      <c r="QW200" s="159"/>
      <c r="QX200" s="159"/>
      <c r="QY200" s="159"/>
      <c r="QZ200" s="159"/>
      <c r="RA200" s="159"/>
      <c r="RB200" s="159"/>
      <c r="RC200" s="159"/>
      <c r="RD200" s="159"/>
      <c r="RE200" s="159"/>
      <c r="RF200" s="159"/>
      <c r="RG200" s="159"/>
      <c r="RH200" s="159"/>
      <c r="RI200" s="159"/>
      <c r="RJ200" s="159"/>
      <c r="RK200" s="159"/>
      <c r="RL200" s="159"/>
      <c r="RM200" s="159"/>
      <c r="RN200" s="159"/>
      <c r="RO200" s="159"/>
      <c r="RP200" s="159"/>
      <c r="RQ200" s="159"/>
      <c r="RR200" s="159"/>
      <c r="RS200" s="159"/>
      <c r="RT200" s="159"/>
      <c r="RU200" s="159"/>
      <c r="RV200" s="159"/>
      <c r="RW200" s="159"/>
      <c r="RX200" s="159"/>
      <c r="RY200" s="159"/>
      <c r="RZ200" s="159"/>
      <c r="SA200" s="159"/>
      <c r="SB200" s="159"/>
      <c r="SC200" s="159"/>
      <c r="SD200" s="159"/>
      <c r="SE200" s="159"/>
      <c r="SF200" s="159"/>
      <c r="SG200" s="159"/>
      <c r="SH200" s="159"/>
      <c r="SI200" s="159"/>
      <c r="SJ200" s="159"/>
      <c r="SK200" s="159"/>
      <c r="SL200" s="159"/>
      <c r="SM200" s="159"/>
      <c r="SN200" s="159"/>
      <c r="SO200" s="159"/>
      <c r="SP200" s="159"/>
      <c r="SQ200" s="159"/>
      <c r="SR200" s="159"/>
      <c r="SS200" s="159"/>
      <c r="ST200" s="159"/>
      <c r="SU200" s="159"/>
      <c r="SV200" s="159"/>
      <c r="SW200" s="159"/>
      <c r="SX200" s="159"/>
      <c r="SY200" s="159"/>
      <c r="SZ200" s="159"/>
      <c r="TA200" s="159"/>
      <c r="TB200" s="159"/>
      <c r="TC200" s="159"/>
      <c r="TD200" s="159"/>
      <c r="TE200" s="159"/>
      <c r="TF200" s="159"/>
      <c r="TG200" s="159"/>
      <c r="TH200" s="159"/>
      <c r="TI200" s="159"/>
      <c r="TJ200" s="159"/>
      <c r="TK200" s="159"/>
      <c r="TL200" s="159"/>
      <c r="TM200" s="159"/>
      <c r="TN200" s="159"/>
      <c r="TO200" s="159"/>
      <c r="TP200" s="159"/>
      <c r="TQ200" s="159"/>
      <c r="TR200" s="159"/>
      <c r="TS200" s="159"/>
      <c r="TT200" s="159"/>
      <c r="TU200" s="159"/>
      <c r="TV200" s="159"/>
      <c r="TW200" s="159"/>
      <c r="TX200" s="159"/>
      <c r="TY200" s="159"/>
      <c r="TZ200" s="159"/>
      <c r="UA200" s="159"/>
      <c r="UB200" s="159"/>
      <c r="UC200" s="159"/>
      <c r="UD200" s="159"/>
      <c r="UE200" s="159"/>
      <c r="UF200" s="159"/>
      <c r="UG200" s="159"/>
      <c r="UH200" s="159"/>
      <c r="UI200" s="159"/>
      <c r="UJ200" s="159"/>
      <c r="UK200" s="159"/>
      <c r="UL200" s="159"/>
      <c r="UM200" s="159"/>
      <c r="UN200" s="159"/>
      <c r="UO200" s="159"/>
      <c r="UP200" s="159"/>
      <c r="UQ200" s="159"/>
      <c r="UR200" s="159"/>
      <c r="US200" s="159"/>
      <c r="UT200" s="159"/>
      <c r="UU200" s="159"/>
      <c r="UV200" s="159"/>
      <c r="UW200" s="159"/>
      <c r="UX200" s="159"/>
      <c r="UY200" s="159"/>
      <c r="UZ200" s="159"/>
      <c r="VA200" s="159"/>
      <c r="VB200" s="159"/>
      <c r="VC200" s="159"/>
      <c r="VD200" s="159"/>
      <c r="VE200" s="159"/>
      <c r="VF200" s="159"/>
      <c r="VG200" s="159"/>
      <c r="VH200" s="159"/>
      <c r="VI200" s="159"/>
      <c r="VJ200" s="159"/>
      <c r="VK200" s="159"/>
      <c r="VL200" s="159"/>
      <c r="VM200" s="159"/>
      <c r="VN200" s="159"/>
      <c r="VO200" s="159"/>
      <c r="VP200" s="159"/>
      <c r="VQ200" s="159"/>
      <c r="VR200" s="159"/>
      <c r="VS200" s="159"/>
      <c r="VT200" s="159"/>
      <c r="VU200" s="159"/>
      <c r="VV200" s="159"/>
      <c r="VW200" s="159"/>
      <c r="VX200" s="159"/>
      <c r="VY200" s="159"/>
      <c r="VZ200" s="159"/>
      <c r="WA200" s="159"/>
      <c r="WB200" s="159"/>
      <c r="WC200" s="159"/>
      <c r="WD200" s="159"/>
      <c r="WE200" s="159"/>
      <c r="WF200" s="159"/>
      <c r="WG200" s="159"/>
      <c r="WH200" s="159"/>
      <c r="WI200" s="159"/>
      <c r="WJ200" s="159"/>
      <c r="WK200" s="159"/>
      <c r="WL200" s="159"/>
      <c r="WM200" s="159"/>
      <c r="WN200" s="159"/>
      <c r="WO200" s="159"/>
      <c r="WP200" s="159"/>
      <c r="WQ200" s="159"/>
      <c r="WR200" s="159"/>
      <c r="WS200" s="159"/>
      <c r="WT200" s="159"/>
      <c r="WU200" s="159"/>
      <c r="WV200" s="159"/>
      <c r="WW200" s="159"/>
      <c r="WX200" s="159"/>
      <c r="WY200" s="159"/>
      <c r="WZ200" s="159"/>
      <c r="XA200" s="159"/>
      <c r="XB200" s="159"/>
      <c r="XC200" s="159"/>
      <c r="XD200" s="159"/>
      <c r="XE200" s="159"/>
      <c r="XF200" s="159"/>
      <c r="XG200" s="159"/>
      <c r="XH200" s="159"/>
      <c r="XI200" s="159"/>
      <c r="XJ200" s="159"/>
      <c r="XK200" s="159"/>
      <c r="XL200" s="159"/>
      <c r="XM200" s="159"/>
      <c r="XN200" s="159"/>
      <c r="XO200" s="159"/>
      <c r="XP200" s="159"/>
      <c r="XQ200" s="159"/>
      <c r="XR200" s="159"/>
      <c r="XS200" s="159"/>
      <c r="XT200" s="159"/>
      <c r="XU200" s="159"/>
      <c r="XV200" s="159"/>
      <c r="XW200" s="159"/>
      <c r="XX200" s="159"/>
      <c r="XY200" s="159"/>
      <c r="XZ200" s="159"/>
      <c r="YA200" s="159"/>
      <c r="YB200" s="159"/>
      <c r="YC200" s="159"/>
      <c r="YD200" s="159"/>
      <c r="YE200" s="159"/>
      <c r="YF200" s="159"/>
      <c r="YG200" s="159"/>
      <c r="YH200" s="159"/>
      <c r="YI200" s="159"/>
      <c r="YJ200" s="159"/>
      <c r="YK200" s="159"/>
      <c r="YL200" s="159"/>
      <c r="YM200" s="159"/>
      <c r="YN200" s="159"/>
      <c r="YO200" s="159"/>
      <c r="YP200" s="159"/>
      <c r="YQ200" s="159"/>
      <c r="YR200" s="159"/>
      <c r="YS200" s="159"/>
      <c r="YT200" s="159"/>
      <c r="YU200" s="159"/>
      <c r="YV200" s="159"/>
      <c r="YW200" s="159"/>
      <c r="YX200" s="159"/>
      <c r="YY200" s="159"/>
      <c r="YZ200" s="159"/>
      <c r="ZA200" s="159"/>
      <c r="ZB200" s="159"/>
      <c r="ZC200" s="159"/>
      <c r="ZD200" s="159"/>
      <c r="ZE200" s="159"/>
      <c r="ZF200" s="159"/>
      <c r="ZG200" s="159"/>
      <c r="ZH200" s="159"/>
      <c r="ZI200" s="159"/>
      <c r="ZJ200" s="159"/>
      <c r="ZK200" s="159"/>
      <c r="ZL200" s="159"/>
      <c r="ZM200" s="159"/>
      <c r="ZN200" s="159"/>
      <c r="ZO200" s="159"/>
      <c r="ZP200" s="159"/>
      <c r="ZQ200" s="159"/>
      <c r="ZR200" s="159"/>
      <c r="ZS200" s="159"/>
      <c r="ZT200" s="159"/>
      <c r="ZU200" s="159"/>
      <c r="ZV200" s="159"/>
      <c r="ZW200" s="159"/>
      <c r="ZX200" s="159"/>
      <c r="ZY200" s="159"/>
      <c r="ZZ200" s="159"/>
      <c r="AAA200" s="159"/>
      <c r="AAB200" s="159"/>
      <c r="AAC200" s="159"/>
      <c r="AAD200" s="159"/>
      <c r="AAE200" s="159"/>
      <c r="AAF200" s="159"/>
      <c r="AAG200" s="159"/>
      <c r="AAH200" s="159"/>
      <c r="AAI200" s="159"/>
      <c r="AAJ200" s="159"/>
      <c r="AAK200" s="159"/>
      <c r="AAL200" s="159"/>
      <c r="AAM200" s="159"/>
      <c r="AAN200" s="159"/>
      <c r="AAO200" s="159"/>
      <c r="AAP200" s="159"/>
      <c r="AAQ200" s="159"/>
      <c r="AAR200" s="159"/>
      <c r="AAS200" s="159"/>
      <c r="AAT200" s="159"/>
      <c r="AAU200" s="159"/>
      <c r="AAV200" s="159"/>
      <c r="AAW200" s="159"/>
      <c r="AAX200" s="159"/>
      <c r="AAY200" s="159"/>
      <c r="AAZ200" s="159"/>
      <c r="ABA200" s="159"/>
      <c r="ABB200" s="159"/>
      <c r="ABC200" s="159"/>
      <c r="ABD200" s="159"/>
      <c r="ABE200" s="159"/>
      <c r="ABF200" s="159"/>
      <c r="ABG200" s="159"/>
      <c r="ABH200" s="159"/>
      <c r="ABI200" s="159"/>
      <c r="ABJ200" s="159"/>
      <c r="ABK200" s="159"/>
      <c r="ABL200" s="159"/>
      <c r="ABM200" s="159"/>
      <c r="ABN200" s="159"/>
      <c r="ABO200" s="159"/>
      <c r="ABP200" s="159"/>
      <c r="ABQ200" s="159"/>
      <c r="ABR200" s="159"/>
      <c r="ABS200" s="159"/>
      <c r="ABT200" s="159"/>
      <c r="ABU200" s="159"/>
      <c r="ABV200" s="159"/>
      <c r="ABW200" s="159"/>
      <c r="ABX200" s="159"/>
      <c r="ABY200" s="159"/>
      <c r="ABZ200" s="159"/>
      <c r="ACA200" s="159"/>
      <c r="ACB200" s="159"/>
      <c r="ACC200" s="159"/>
      <c r="ACD200" s="159"/>
      <c r="ACE200" s="159"/>
      <c r="ACF200" s="159"/>
      <c r="ACG200" s="159"/>
      <c r="ACH200" s="159"/>
      <c r="ACI200" s="159"/>
      <c r="ACJ200" s="159"/>
      <c r="ACK200" s="159"/>
      <c r="ACL200" s="159"/>
      <c r="ACM200" s="159"/>
      <c r="ACN200" s="159"/>
      <c r="ACO200" s="159"/>
      <c r="ACP200" s="159"/>
      <c r="ACQ200" s="159"/>
      <c r="ACR200" s="159"/>
      <c r="ACS200" s="159"/>
      <c r="ACT200" s="159"/>
      <c r="ACU200" s="159"/>
      <c r="ACV200" s="159"/>
      <c r="ACW200" s="159"/>
      <c r="ACX200" s="159"/>
      <c r="ACY200" s="159"/>
      <c r="ACZ200" s="159"/>
      <c r="ADA200" s="159"/>
      <c r="ADB200" s="159"/>
      <c r="ADC200" s="159"/>
      <c r="ADD200" s="159"/>
      <c r="ADE200" s="159"/>
      <c r="ADF200" s="159"/>
      <c r="ADG200" s="159"/>
      <c r="ADH200" s="159"/>
      <c r="ADI200" s="159"/>
      <c r="ADJ200" s="159"/>
      <c r="ADK200" s="159"/>
      <c r="ADL200" s="159"/>
      <c r="ADM200" s="159"/>
      <c r="ADN200" s="159"/>
      <c r="ADO200" s="159"/>
      <c r="ADP200" s="159"/>
      <c r="ADQ200" s="159"/>
      <c r="ADR200" s="159"/>
      <c r="ADS200" s="159"/>
      <c r="ADT200" s="159"/>
      <c r="ADU200" s="159"/>
      <c r="ADV200" s="159"/>
      <c r="ADW200" s="159"/>
      <c r="ADX200" s="159"/>
      <c r="ADY200" s="159"/>
      <c r="ADZ200" s="159"/>
      <c r="AEA200" s="159"/>
      <c r="AEB200" s="159"/>
      <c r="AEC200" s="159"/>
      <c r="AED200" s="159"/>
      <c r="AEE200" s="159"/>
      <c r="AEF200" s="159"/>
      <c r="AEG200" s="159"/>
      <c r="AEH200" s="159"/>
      <c r="AEI200" s="159"/>
      <c r="AEJ200" s="159"/>
      <c r="AEK200" s="159"/>
      <c r="AEL200" s="159"/>
      <c r="AEM200" s="159"/>
      <c r="AEN200" s="159"/>
      <c r="AEO200" s="159"/>
      <c r="AEP200" s="159"/>
      <c r="AEQ200" s="159"/>
      <c r="AER200" s="159"/>
      <c r="AES200" s="159"/>
      <c r="AET200" s="159"/>
      <c r="AEU200" s="159"/>
      <c r="AEV200" s="159"/>
      <c r="AEW200" s="159"/>
      <c r="AEX200" s="159"/>
      <c r="AEY200" s="159"/>
      <c r="AEZ200" s="159"/>
      <c r="AFA200" s="159"/>
      <c r="AFB200" s="159"/>
      <c r="AFC200" s="159"/>
      <c r="AFD200" s="159"/>
      <c r="AFE200" s="159"/>
      <c r="AFF200" s="159"/>
      <c r="AFG200" s="159"/>
      <c r="AFH200" s="159"/>
      <c r="AFI200" s="159"/>
      <c r="AFJ200" s="159"/>
      <c r="AFK200" s="159"/>
      <c r="AFL200" s="159"/>
      <c r="AFM200" s="159"/>
      <c r="AFN200" s="159"/>
      <c r="AFO200" s="159"/>
      <c r="AFP200" s="159"/>
      <c r="AFQ200" s="159"/>
      <c r="AFR200" s="159"/>
      <c r="AFS200" s="159"/>
      <c r="AFT200" s="159"/>
      <c r="AFU200" s="159"/>
      <c r="AFV200" s="159"/>
      <c r="AFW200" s="159"/>
      <c r="AFX200" s="159"/>
      <c r="AFY200" s="159"/>
      <c r="AFZ200" s="159"/>
      <c r="AGA200" s="159"/>
      <c r="AGB200" s="159"/>
      <c r="AGC200" s="159"/>
      <c r="AGD200" s="159"/>
      <c r="AGE200" s="159"/>
      <c r="AGF200" s="159"/>
      <c r="AGG200" s="159"/>
      <c r="AGH200" s="159"/>
      <c r="AGI200" s="159"/>
      <c r="AGJ200" s="159"/>
      <c r="AGK200" s="159"/>
      <c r="AGL200" s="159"/>
      <c r="AGM200" s="159"/>
      <c r="AGN200" s="159"/>
      <c r="AGO200" s="159"/>
      <c r="AGP200" s="159"/>
      <c r="AGQ200" s="159"/>
      <c r="AGR200" s="159"/>
      <c r="AGS200" s="159"/>
      <c r="AGT200" s="159"/>
      <c r="AGU200" s="159"/>
      <c r="AGV200" s="159"/>
      <c r="AGW200" s="159"/>
      <c r="AGX200" s="159"/>
      <c r="AGY200" s="159"/>
      <c r="AGZ200" s="159"/>
      <c r="AHA200" s="159"/>
      <c r="AHB200" s="159"/>
      <c r="AHC200" s="159"/>
      <c r="AHD200" s="159"/>
      <c r="AHE200" s="159"/>
      <c r="AHF200" s="159"/>
      <c r="AHG200" s="159"/>
      <c r="AHH200" s="159"/>
      <c r="AHI200" s="159"/>
      <c r="AHJ200" s="159"/>
      <c r="AHK200" s="159"/>
      <c r="AHL200" s="159"/>
      <c r="AHM200" s="159"/>
      <c r="AHN200" s="159"/>
      <c r="AHO200" s="159"/>
      <c r="AHP200" s="159"/>
      <c r="AHQ200" s="159"/>
      <c r="AHR200" s="159"/>
      <c r="AHS200" s="159"/>
      <c r="AHT200" s="159"/>
      <c r="AHU200" s="159"/>
      <c r="AHV200" s="159"/>
      <c r="AHW200" s="159"/>
      <c r="AHX200" s="159"/>
      <c r="AHY200" s="159"/>
      <c r="AHZ200" s="159"/>
      <c r="AIA200" s="159"/>
      <c r="AIB200" s="159"/>
      <c r="AIC200" s="159"/>
      <c r="AID200" s="159"/>
      <c r="AIE200" s="159"/>
      <c r="AIF200" s="159"/>
      <c r="AIG200" s="159"/>
      <c r="AIH200" s="159"/>
      <c r="AII200" s="159"/>
      <c r="AIJ200" s="159"/>
      <c r="AIK200" s="159"/>
      <c r="AIL200" s="159"/>
      <c r="AIM200" s="159"/>
      <c r="AIN200" s="159"/>
      <c r="AIO200" s="159"/>
      <c r="AIP200" s="159"/>
      <c r="AIQ200" s="159"/>
      <c r="AIR200" s="159"/>
      <c r="AIS200" s="159"/>
      <c r="AIT200" s="159"/>
      <c r="AIU200" s="159"/>
      <c r="AIV200" s="159"/>
      <c r="AIW200" s="159"/>
      <c r="AIX200" s="159"/>
      <c r="AIY200" s="159"/>
      <c r="AIZ200" s="159"/>
      <c r="AJA200" s="159"/>
      <c r="AJB200" s="159"/>
      <c r="AJC200" s="159"/>
      <c r="AJD200" s="159"/>
      <c r="AJE200" s="159"/>
      <c r="AJF200" s="159"/>
      <c r="AJG200" s="159"/>
      <c r="AJH200" s="159"/>
      <c r="AJI200" s="159"/>
      <c r="AJJ200" s="159"/>
      <c r="AJK200" s="159"/>
      <c r="AJL200" s="159"/>
      <c r="AJM200" s="159"/>
      <c r="AJN200" s="159"/>
      <c r="AJO200" s="159"/>
      <c r="AJP200" s="159"/>
      <c r="AJQ200" s="159"/>
      <c r="AJR200" s="159"/>
      <c r="AJS200" s="159"/>
      <c r="AJT200" s="159"/>
      <c r="AJU200" s="159"/>
      <c r="AJV200" s="159"/>
      <c r="AJW200" s="159"/>
      <c r="AJX200" s="159"/>
      <c r="AJY200" s="159"/>
      <c r="AJZ200" s="159"/>
      <c r="AKA200" s="159"/>
      <c r="AKB200" s="159"/>
      <c r="AKC200" s="159"/>
      <c r="AKD200" s="159"/>
      <c r="AKE200" s="159"/>
      <c r="AKF200" s="159"/>
      <c r="AKG200" s="159"/>
      <c r="AKH200" s="159"/>
      <c r="AKI200" s="159"/>
      <c r="AKJ200" s="159"/>
      <c r="AKK200" s="159"/>
      <c r="AKL200" s="159"/>
      <c r="AKM200" s="159"/>
      <c r="AKN200" s="159"/>
      <c r="AKO200" s="159"/>
      <c r="AKP200" s="159"/>
      <c r="AKQ200" s="159"/>
      <c r="AKR200" s="159"/>
      <c r="AKS200" s="159"/>
      <c r="AKT200" s="159"/>
      <c r="AKU200" s="159"/>
      <c r="AKV200" s="159"/>
      <c r="AKW200" s="159"/>
      <c r="AKX200" s="159"/>
      <c r="AKY200" s="159"/>
      <c r="AKZ200" s="159"/>
      <c r="ALA200" s="159"/>
      <c r="ALB200" s="159"/>
      <c r="ALC200" s="159"/>
      <c r="ALD200" s="159"/>
      <c r="ALE200" s="159"/>
      <c r="ALF200" s="159"/>
      <c r="ALG200" s="159"/>
      <c r="ALH200" s="159"/>
      <c r="ALI200" s="159"/>
      <c r="ALJ200" s="159"/>
      <c r="ALK200" s="159"/>
      <c r="ALL200" s="159"/>
      <c r="ALM200" s="159"/>
      <c r="ALN200" s="159"/>
      <c r="ALO200" s="159"/>
      <c r="ALP200" s="159"/>
      <c r="ALQ200" s="159"/>
      <c r="ALR200" s="159"/>
      <c r="ALS200" s="159"/>
      <c r="ALT200" s="159"/>
      <c r="ALU200" s="159"/>
      <c r="ALV200" s="159"/>
      <c r="ALW200" s="159"/>
      <c r="ALX200" s="159"/>
      <c r="ALY200" s="159"/>
      <c r="ALZ200" s="159"/>
      <c r="AMA200" s="159"/>
      <c r="AMB200" s="159"/>
      <c r="AMC200" s="159"/>
      <c r="AMD200" s="159"/>
      <c r="AME200" s="159"/>
      <c r="AMF200" s="159"/>
      <c r="AMG200" s="159"/>
      <c r="AMH200" s="159"/>
      <c r="AMI200" s="159"/>
      <c r="AMJ200" s="159"/>
      <c r="AMK200" s="159"/>
      <c r="AML200" s="159"/>
      <c r="AMM200" s="159"/>
      <c r="AMN200" s="159"/>
      <c r="AMO200" s="159"/>
    </row>
    <row r="201" spans="1:1029" s="161" customFormat="1" ht="25.5" x14ac:dyDescent="0.25">
      <c r="A201" s="138">
        <v>46302</v>
      </c>
      <c r="B201" s="99" t="s">
        <v>87</v>
      </c>
      <c r="C201" s="99" t="s">
        <v>82</v>
      </c>
      <c r="D201" s="160" t="s">
        <v>168</v>
      </c>
      <c r="E201" s="118" t="s">
        <v>113</v>
      </c>
      <c r="F201" s="149" t="s">
        <v>77</v>
      </c>
      <c r="G201" s="149" t="s">
        <v>168</v>
      </c>
      <c r="H201" s="141">
        <f t="shared" ref="H201:H256" si="16">IF(ISBLANK($B201),$W$53,IF(AND($B201=E201,$C201=F201,$D201=G201),$W$50,IF(AND($B201=E201,OR($C201=F201,$D201=G201)),$W$51+$W$52,IF(OR($B201=E201,AND($C201=F201,$D201=G201)),$W$51,IF(OR($C201=F201,$D201=G201),$W$52)))))</f>
        <v>0.5</v>
      </c>
      <c r="I201" s="121" t="s">
        <v>193</v>
      </c>
      <c r="J201" s="121" t="s">
        <v>36</v>
      </c>
      <c r="K201" s="121" t="s">
        <v>34</v>
      </c>
      <c r="L201" s="141" t="b">
        <f t="shared" ref="L201:L256" si="17">IF(ISBLANK($B201),$W$53,IF(AND($B201=I201,$C201=J201,$D201=K201),$W$50,IF(AND($B201=I201,OR($C201=J201,$D201=K201)),$W$51+$W$52,IF(OR($B201=I201,AND($C201=J201,$D201=K201)),$W$51,IF(OR($C201=J201,$D201=K201),$W$52)))))</f>
        <v>0</v>
      </c>
      <c r="M201" s="121" t="s">
        <v>8</v>
      </c>
      <c r="N201" s="121" t="s">
        <v>82</v>
      </c>
      <c r="O201" s="121" t="s">
        <v>168</v>
      </c>
      <c r="P201" s="141">
        <f t="shared" ref="P201:P256" si="18">IF(ISBLANK($B201),$W$53,IF(AND($B201=M201,$C201=N201,$D201=O201),$W$50,IF(AND($B201=M201,OR($C201=N201,$D201=O201)),$W$51+$W$52,IF(OR($B201=M201,AND($C201=N201,$D201=O201)),$W$51,IF(OR($C201=N201,$D201=O201),$W$52)))))</f>
        <v>1</v>
      </c>
      <c r="Q201" s="149" t="s">
        <v>19</v>
      </c>
      <c r="R201" s="99" t="s">
        <v>74</v>
      </c>
      <c r="S201" s="99" t="s">
        <v>90</v>
      </c>
      <c r="T201" s="141" t="b">
        <f t="shared" ref="T201:T256" si="19">IF(ISBLANK($B201),$W$53,IF(AND($B201=Q201,$C201=R201,$D201=S201),$W$50,IF(AND($B201=Q201,OR($C201=R201,$D201=S201)),$W$51+$W$52,IF(OR($B201=Q201,AND($C201=R201,$D201=S201)),$W$51,IF(OR($C201=R201,$D201=S201),$W$52)))))</f>
        <v>0</v>
      </c>
      <c r="U201" s="159"/>
      <c r="V201" s="159"/>
      <c r="W201" s="159"/>
      <c r="X201" s="159"/>
      <c r="Y201" s="159"/>
      <c r="Z201" s="159"/>
      <c r="AA201" s="159"/>
      <c r="AB201" s="159"/>
      <c r="AC201" s="159"/>
      <c r="AD201" s="159"/>
      <c r="AE201" s="159"/>
      <c r="AF201" s="159"/>
      <c r="AG201" s="159"/>
      <c r="AH201" s="159"/>
      <c r="AI201" s="159"/>
      <c r="AJ201" s="159"/>
      <c r="AK201" s="159"/>
      <c r="AL201" s="159"/>
      <c r="AM201" s="159"/>
      <c r="AN201" s="159"/>
      <c r="AO201" s="159"/>
      <c r="AP201" s="159"/>
      <c r="AQ201" s="159"/>
      <c r="AR201" s="159"/>
      <c r="AS201" s="159"/>
      <c r="AT201" s="159"/>
      <c r="AU201" s="159"/>
      <c r="AV201" s="159"/>
      <c r="AW201" s="159"/>
      <c r="AX201" s="159"/>
      <c r="AY201" s="159"/>
      <c r="AZ201" s="159"/>
      <c r="BA201" s="159"/>
      <c r="BB201" s="159"/>
      <c r="BC201" s="159"/>
      <c r="BD201" s="159"/>
      <c r="BE201" s="159"/>
      <c r="BF201" s="159"/>
      <c r="BG201" s="159"/>
      <c r="BH201" s="159"/>
      <c r="BI201" s="159"/>
      <c r="BJ201" s="159"/>
      <c r="BK201" s="159"/>
      <c r="BL201" s="159"/>
      <c r="BM201" s="159"/>
      <c r="BN201" s="159"/>
      <c r="BO201" s="159"/>
      <c r="BP201" s="159"/>
      <c r="BQ201" s="159"/>
      <c r="BR201" s="159"/>
      <c r="BS201" s="159"/>
      <c r="BT201" s="159"/>
      <c r="BU201" s="159"/>
      <c r="BV201" s="159"/>
      <c r="BW201" s="159"/>
      <c r="BX201" s="159"/>
      <c r="BY201" s="159"/>
      <c r="BZ201" s="159"/>
      <c r="CA201" s="159"/>
      <c r="CB201" s="159"/>
      <c r="CC201" s="159"/>
      <c r="CD201" s="159"/>
      <c r="CE201" s="159"/>
      <c r="CF201" s="159"/>
      <c r="CG201" s="159"/>
      <c r="CH201" s="159"/>
      <c r="CI201" s="159"/>
      <c r="CJ201" s="159"/>
      <c r="CK201" s="159"/>
      <c r="CL201" s="159"/>
      <c r="CM201" s="159"/>
      <c r="CN201" s="159"/>
      <c r="CO201" s="159"/>
      <c r="CP201" s="159"/>
      <c r="CQ201" s="159"/>
      <c r="CR201" s="159"/>
      <c r="CS201" s="159"/>
      <c r="CT201" s="159"/>
      <c r="CU201" s="159"/>
      <c r="CV201" s="159"/>
      <c r="CW201" s="159"/>
      <c r="CX201" s="159"/>
      <c r="CY201" s="159"/>
      <c r="CZ201" s="159"/>
      <c r="DA201" s="159"/>
      <c r="DB201" s="159"/>
      <c r="DC201" s="159"/>
      <c r="DD201" s="159"/>
      <c r="DE201" s="159"/>
      <c r="DF201" s="159"/>
      <c r="DG201" s="159"/>
      <c r="DH201" s="159"/>
      <c r="DI201" s="159"/>
      <c r="DJ201" s="159"/>
      <c r="DK201" s="159"/>
      <c r="DL201" s="159"/>
      <c r="DM201" s="159"/>
      <c r="DN201" s="159"/>
      <c r="DO201" s="159"/>
      <c r="DP201" s="159"/>
      <c r="DQ201" s="159"/>
      <c r="DR201" s="159"/>
      <c r="DS201" s="159"/>
      <c r="DT201" s="159"/>
      <c r="DU201" s="159"/>
      <c r="DV201" s="159"/>
      <c r="DW201" s="159"/>
      <c r="DX201" s="159"/>
      <c r="DY201" s="159"/>
      <c r="DZ201" s="159"/>
      <c r="EA201" s="159"/>
      <c r="EB201" s="159"/>
      <c r="EC201" s="159"/>
      <c r="ED201" s="159"/>
      <c r="EE201" s="159"/>
      <c r="EF201" s="159"/>
      <c r="EG201" s="159"/>
      <c r="EH201" s="159"/>
      <c r="EI201" s="159"/>
      <c r="EJ201" s="159"/>
      <c r="EK201" s="159"/>
      <c r="EL201" s="159"/>
      <c r="EM201" s="159"/>
      <c r="EN201" s="159"/>
      <c r="EO201" s="159"/>
      <c r="EP201" s="159"/>
      <c r="EQ201" s="159"/>
      <c r="ER201" s="159"/>
      <c r="ES201" s="159"/>
      <c r="ET201" s="159"/>
      <c r="EU201" s="159"/>
      <c r="EV201" s="159"/>
      <c r="EW201" s="159"/>
      <c r="EX201" s="159"/>
      <c r="EY201" s="159"/>
      <c r="EZ201" s="159"/>
      <c r="FA201" s="159"/>
      <c r="FB201" s="159"/>
      <c r="FC201" s="159"/>
      <c r="FD201" s="159"/>
      <c r="FE201" s="159"/>
      <c r="FF201" s="159"/>
      <c r="FG201" s="159"/>
      <c r="FH201" s="159"/>
      <c r="FI201" s="159"/>
      <c r="FJ201" s="159"/>
      <c r="FK201" s="159"/>
      <c r="FL201" s="159"/>
      <c r="FM201" s="159"/>
      <c r="FN201" s="159"/>
      <c r="FO201" s="159"/>
      <c r="FP201" s="159"/>
      <c r="FQ201" s="159"/>
      <c r="FR201" s="159"/>
      <c r="FS201" s="159"/>
      <c r="FT201" s="159"/>
      <c r="FU201" s="159"/>
      <c r="FV201" s="159"/>
      <c r="FW201" s="159"/>
      <c r="FX201" s="159"/>
      <c r="FY201" s="159"/>
      <c r="FZ201" s="159"/>
      <c r="GA201" s="159"/>
      <c r="GB201" s="159"/>
      <c r="GC201" s="159"/>
      <c r="GD201" s="159"/>
      <c r="GE201" s="159"/>
      <c r="GF201" s="159"/>
      <c r="GG201" s="159"/>
      <c r="GH201" s="159"/>
      <c r="GI201" s="159"/>
      <c r="GJ201" s="159"/>
      <c r="GK201" s="159"/>
      <c r="GL201" s="159"/>
      <c r="GM201" s="159"/>
      <c r="GN201" s="159"/>
      <c r="GO201" s="159"/>
      <c r="GP201" s="159"/>
      <c r="GQ201" s="159"/>
      <c r="GR201" s="159"/>
      <c r="GS201" s="159"/>
      <c r="GT201" s="159"/>
      <c r="GU201" s="159"/>
      <c r="GV201" s="159"/>
      <c r="GW201" s="159"/>
      <c r="GX201" s="159"/>
      <c r="GY201" s="159"/>
      <c r="GZ201" s="159"/>
      <c r="HA201" s="159"/>
      <c r="HB201" s="159"/>
      <c r="HC201" s="159"/>
      <c r="HD201" s="159"/>
      <c r="HE201" s="159"/>
      <c r="HF201" s="159"/>
      <c r="HG201" s="159"/>
      <c r="HH201" s="159"/>
      <c r="HI201" s="159"/>
      <c r="HJ201" s="159"/>
      <c r="HK201" s="159"/>
      <c r="HL201" s="159"/>
      <c r="HM201" s="159"/>
      <c r="HN201" s="159"/>
      <c r="HO201" s="159"/>
      <c r="HP201" s="159"/>
      <c r="HQ201" s="159"/>
      <c r="HR201" s="159"/>
      <c r="HS201" s="159"/>
      <c r="HT201" s="159"/>
      <c r="HU201" s="159"/>
      <c r="HV201" s="159"/>
      <c r="HW201" s="159"/>
      <c r="HX201" s="159"/>
      <c r="HY201" s="159"/>
      <c r="HZ201" s="159"/>
      <c r="IA201" s="159"/>
      <c r="IB201" s="159"/>
      <c r="IC201" s="159"/>
      <c r="ID201" s="159"/>
      <c r="IE201" s="159"/>
      <c r="IF201" s="159"/>
      <c r="IG201" s="159"/>
      <c r="IH201" s="159"/>
      <c r="II201" s="159"/>
      <c r="IJ201" s="159"/>
      <c r="IK201" s="159"/>
      <c r="IL201" s="159"/>
      <c r="IM201" s="159"/>
      <c r="IN201" s="159"/>
      <c r="IO201" s="159"/>
      <c r="IP201" s="159"/>
      <c r="IQ201" s="159"/>
      <c r="IR201" s="159"/>
      <c r="IS201" s="159"/>
      <c r="IT201" s="159"/>
      <c r="IU201" s="159"/>
      <c r="IV201" s="159"/>
      <c r="IW201" s="159"/>
      <c r="IX201" s="159"/>
      <c r="IY201" s="159"/>
      <c r="IZ201" s="159"/>
      <c r="JA201" s="159"/>
      <c r="JB201" s="159"/>
      <c r="JC201" s="159"/>
      <c r="JD201" s="159"/>
      <c r="JE201" s="159"/>
      <c r="JF201" s="159"/>
      <c r="JG201" s="159"/>
      <c r="JH201" s="159"/>
      <c r="JI201" s="159"/>
      <c r="JJ201" s="159"/>
      <c r="JK201" s="159"/>
      <c r="JL201" s="159"/>
      <c r="JM201" s="159"/>
      <c r="JN201" s="159"/>
      <c r="JO201" s="159"/>
      <c r="JP201" s="159"/>
      <c r="JQ201" s="159"/>
      <c r="JR201" s="159"/>
      <c r="JS201" s="159"/>
      <c r="JT201" s="159"/>
      <c r="JU201" s="159"/>
      <c r="JV201" s="159"/>
      <c r="JW201" s="159"/>
      <c r="JX201" s="159"/>
      <c r="JY201" s="159"/>
      <c r="JZ201" s="159"/>
      <c r="KA201" s="159"/>
      <c r="KB201" s="159"/>
      <c r="KC201" s="159"/>
      <c r="KD201" s="159"/>
      <c r="KE201" s="159"/>
      <c r="KF201" s="159"/>
      <c r="KG201" s="159"/>
      <c r="KH201" s="159"/>
      <c r="KI201" s="159"/>
      <c r="KJ201" s="159"/>
      <c r="KK201" s="159"/>
      <c r="KL201" s="159"/>
      <c r="KM201" s="159"/>
      <c r="KN201" s="159"/>
      <c r="KO201" s="159"/>
      <c r="KP201" s="159"/>
      <c r="KQ201" s="159"/>
      <c r="KR201" s="159"/>
      <c r="KS201" s="159"/>
      <c r="KT201" s="159"/>
      <c r="KU201" s="159"/>
      <c r="KV201" s="159"/>
      <c r="KW201" s="159"/>
      <c r="KX201" s="159"/>
      <c r="KY201" s="159"/>
      <c r="KZ201" s="159"/>
      <c r="LA201" s="159"/>
      <c r="LB201" s="159"/>
      <c r="LC201" s="159"/>
      <c r="LD201" s="159"/>
      <c r="LE201" s="159"/>
      <c r="LF201" s="159"/>
      <c r="LG201" s="159"/>
      <c r="LH201" s="159"/>
      <c r="LI201" s="159"/>
      <c r="LJ201" s="159"/>
      <c r="LK201" s="159"/>
      <c r="LL201" s="159"/>
      <c r="LM201" s="159"/>
      <c r="LN201" s="159"/>
      <c r="LO201" s="159"/>
      <c r="LP201" s="159"/>
      <c r="LQ201" s="159"/>
      <c r="LR201" s="159"/>
      <c r="LS201" s="159"/>
      <c r="LT201" s="159"/>
      <c r="LU201" s="159"/>
      <c r="LV201" s="159"/>
      <c r="LW201" s="159"/>
      <c r="LX201" s="159"/>
      <c r="LY201" s="159"/>
      <c r="LZ201" s="159"/>
      <c r="MA201" s="159"/>
      <c r="MB201" s="159"/>
      <c r="MC201" s="159"/>
      <c r="MD201" s="159"/>
      <c r="ME201" s="159"/>
      <c r="MF201" s="159"/>
      <c r="MG201" s="159"/>
      <c r="MH201" s="159"/>
      <c r="MI201" s="159"/>
      <c r="MJ201" s="159"/>
      <c r="MK201" s="159"/>
      <c r="ML201" s="159"/>
      <c r="MM201" s="159"/>
      <c r="MN201" s="159"/>
      <c r="MO201" s="159"/>
      <c r="MP201" s="159"/>
      <c r="MQ201" s="159"/>
      <c r="MR201" s="159"/>
      <c r="MS201" s="159"/>
      <c r="MT201" s="159"/>
      <c r="MU201" s="159"/>
      <c r="MV201" s="159"/>
      <c r="MW201" s="159"/>
      <c r="MX201" s="159"/>
      <c r="MY201" s="159"/>
      <c r="MZ201" s="159"/>
      <c r="NA201" s="159"/>
      <c r="NB201" s="159"/>
      <c r="NC201" s="159"/>
      <c r="ND201" s="159"/>
      <c r="NE201" s="159"/>
      <c r="NF201" s="159"/>
      <c r="NG201" s="159"/>
      <c r="NH201" s="159"/>
      <c r="NI201" s="159"/>
      <c r="NJ201" s="159"/>
      <c r="NK201" s="159"/>
      <c r="NL201" s="159"/>
      <c r="NM201" s="159"/>
      <c r="NN201" s="159"/>
      <c r="NO201" s="159"/>
      <c r="NP201" s="159"/>
      <c r="NQ201" s="159"/>
      <c r="NR201" s="159"/>
      <c r="NS201" s="159"/>
      <c r="NT201" s="159"/>
      <c r="NU201" s="159"/>
      <c r="NV201" s="159"/>
      <c r="NW201" s="159"/>
      <c r="NX201" s="159"/>
      <c r="NY201" s="159"/>
      <c r="NZ201" s="159"/>
      <c r="OA201" s="159"/>
      <c r="OB201" s="159"/>
      <c r="OC201" s="159"/>
      <c r="OD201" s="159"/>
      <c r="OE201" s="159"/>
      <c r="OF201" s="159"/>
      <c r="OG201" s="159"/>
      <c r="OH201" s="159"/>
      <c r="OI201" s="159"/>
      <c r="OJ201" s="159"/>
      <c r="OK201" s="159"/>
      <c r="OL201" s="159"/>
      <c r="OM201" s="159"/>
      <c r="ON201" s="159"/>
      <c r="OO201" s="159"/>
      <c r="OP201" s="159"/>
      <c r="OQ201" s="159"/>
      <c r="OR201" s="159"/>
      <c r="OS201" s="159"/>
      <c r="OT201" s="159"/>
      <c r="OU201" s="159"/>
      <c r="OV201" s="159"/>
      <c r="OW201" s="159"/>
      <c r="OX201" s="159"/>
      <c r="OY201" s="159"/>
      <c r="OZ201" s="159"/>
      <c r="PA201" s="159"/>
      <c r="PB201" s="159"/>
      <c r="PC201" s="159"/>
      <c r="PD201" s="159"/>
      <c r="PE201" s="159"/>
      <c r="PF201" s="159"/>
      <c r="PG201" s="159"/>
      <c r="PH201" s="159"/>
      <c r="PI201" s="159"/>
      <c r="PJ201" s="159"/>
      <c r="PK201" s="159"/>
      <c r="PL201" s="159"/>
      <c r="PM201" s="159"/>
      <c r="PN201" s="159"/>
      <c r="PO201" s="159"/>
      <c r="PP201" s="159"/>
      <c r="PQ201" s="159"/>
      <c r="PR201" s="159"/>
      <c r="PS201" s="159"/>
      <c r="PT201" s="159"/>
      <c r="PU201" s="159"/>
      <c r="PV201" s="159"/>
      <c r="PW201" s="159"/>
      <c r="PX201" s="159"/>
      <c r="PY201" s="159"/>
      <c r="PZ201" s="159"/>
      <c r="QA201" s="159"/>
      <c r="QB201" s="159"/>
      <c r="QC201" s="159"/>
      <c r="QD201" s="159"/>
      <c r="QE201" s="159"/>
      <c r="QF201" s="159"/>
      <c r="QG201" s="159"/>
      <c r="QH201" s="159"/>
      <c r="QI201" s="159"/>
      <c r="QJ201" s="159"/>
      <c r="QK201" s="159"/>
      <c r="QL201" s="159"/>
      <c r="QM201" s="159"/>
      <c r="QN201" s="159"/>
      <c r="QO201" s="159"/>
      <c r="QP201" s="159"/>
      <c r="QQ201" s="159"/>
      <c r="QR201" s="159"/>
      <c r="QS201" s="159"/>
      <c r="QT201" s="159"/>
      <c r="QU201" s="159"/>
      <c r="QV201" s="159"/>
      <c r="QW201" s="159"/>
      <c r="QX201" s="159"/>
      <c r="QY201" s="159"/>
      <c r="QZ201" s="159"/>
      <c r="RA201" s="159"/>
      <c r="RB201" s="159"/>
      <c r="RC201" s="159"/>
      <c r="RD201" s="159"/>
      <c r="RE201" s="159"/>
      <c r="RF201" s="159"/>
      <c r="RG201" s="159"/>
      <c r="RH201" s="159"/>
      <c r="RI201" s="159"/>
      <c r="RJ201" s="159"/>
      <c r="RK201" s="159"/>
      <c r="RL201" s="159"/>
      <c r="RM201" s="159"/>
      <c r="RN201" s="159"/>
      <c r="RO201" s="159"/>
      <c r="RP201" s="159"/>
      <c r="RQ201" s="159"/>
      <c r="RR201" s="159"/>
      <c r="RS201" s="159"/>
      <c r="RT201" s="159"/>
      <c r="RU201" s="159"/>
      <c r="RV201" s="159"/>
      <c r="RW201" s="159"/>
      <c r="RX201" s="159"/>
      <c r="RY201" s="159"/>
      <c r="RZ201" s="159"/>
      <c r="SA201" s="159"/>
      <c r="SB201" s="159"/>
      <c r="SC201" s="159"/>
      <c r="SD201" s="159"/>
      <c r="SE201" s="159"/>
      <c r="SF201" s="159"/>
      <c r="SG201" s="159"/>
      <c r="SH201" s="159"/>
      <c r="SI201" s="159"/>
      <c r="SJ201" s="159"/>
      <c r="SK201" s="159"/>
      <c r="SL201" s="159"/>
      <c r="SM201" s="159"/>
      <c r="SN201" s="159"/>
      <c r="SO201" s="159"/>
      <c r="SP201" s="159"/>
      <c r="SQ201" s="159"/>
      <c r="SR201" s="159"/>
      <c r="SS201" s="159"/>
      <c r="ST201" s="159"/>
      <c r="SU201" s="159"/>
      <c r="SV201" s="159"/>
      <c r="SW201" s="159"/>
      <c r="SX201" s="159"/>
      <c r="SY201" s="159"/>
      <c r="SZ201" s="159"/>
      <c r="TA201" s="159"/>
      <c r="TB201" s="159"/>
      <c r="TC201" s="159"/>
      <c r="TD201" s="159"/>
      <c r="TE201" s="159"/>
      <c r="TF201" s="159"/>
      <c r="TG201" s="159"/>
      <c r="TH201" s="159"/>
      <c r="TI201" s="159"/>
      <c r="TJ201" s="159"/>
      <c r="TK201" s="159"/>
      <c r="TL201" s="159"/>
      <c r="TM201" s="159"/>
      <c r="TN201" s="159"/>
      <c r="TO201" s="159"/>
      <c r="TP201" s="159"/>
      <c r="TQ201" s="159"/>
      <c r="TR201" s="159"/>
      <c r="TS201" s="159"/>
      <c r="TT201" s="159"/>
      <c r="TU201" s="159"/>
      <c r="TV201" s="159"/>
      <c r="TW201" s="159"/>
      <c r="TX201" s="159"/>
      <c r="TY201" s="159"/>
      <c r="TZ201" s="159"/>
      <c r="UA201" s="159"/>
      <c r="UB201" s="159"/>
      <c r="UC201" s="159"/>
      <c r="UD201" s="159"/>
      <c r="UE201" s="159"/>
      <c r="UF201" s="159"/>
      <c r="UG201" s="159"/>
      <c r="UH201" s="159"/>
      <c r="UI201" s="159"/>
      <c r="UJ201" s="159"/>
      <c r="UK201" s="159"/>
      <c r="UL201" s="159"/>
      <c r="UM201" s="159"/>
      <c r="UN201" s="159"/>
      <c r="UO201" s="159"/>
      <c r="UP201" s="159"/>
      <c r="UQ201" s="159"/>
      <c r="UR201" s="159"/>
      <c r="US201" s="159"/>
      <c r="UT201" s="159"/>
      <c r="UU201" s="159"/>
      <c r="UV201" s="159"/>
      <c r="UW201" s="159"/>
      <c r="UX201" s="159"/>
      <c r="UY201" s="159"/>
      <c r="UZ201" s="159"/>
      <c r="VA201" s="159"/>
      <c r="VB201" s="159"/>
      <c r="VC201" s="159"/>
      <c r="VD201" s="159"/>
      <c r="VE201" s="159"/>
      <c r="VF201" s="159"/>
      <c r="VG201" s="159"/>
      <c r="VH201" s="159"/>
      <c r="VI201" s="159"/>
      <c r="VJ201" s="159"/>
      <c r="VK201" s="159"/>
      <c r="VL201" s="159"/>
      <c r="VM201" s="159"/>
      <c r="VN201" s="159"/>
      <c r="VO201" s="159"/>
      <c r="VP201" s="159"/>
      <c r="VQ201" s="159"/>
      <c r="VR201" s="159"/>
      <c r="VS201" s="159"/>
      <c r="VT201" s="159"/>
      <c r="VU201" s="159"/>
      <c r="VV201" s="159"/>
      <c r="VW201" s="159"/>
      <c r="VX201" s="159"/>
      <c r="VY201" s="159"/>
      <c r="VZ201" s="159"/>
      <c r="WA201" s="159"/>
      <c r="WB201" s="159"/>
      <c r="WC201" s="159"/>
      <c r="WD201" s="159"/>
      <c r="WE201" s="159"/>
      <c r="WF201" s="159"/>
      <c r="WG201" s="159"/>
      <c r="WH201" s="159"/>
      <c r="WI201" s="159"/>
      <c r="WJ201" s="159"/>
      <c r="WK201" s="159"/>
      <c r="WL201" s="159"/>
      <c r="WM201" s="159"/>
      <c r="WN201" s="159"/>
      <c r="WO201" s="159"/>
      <c r="WP201" s="159"/>
      <c r="WQ201" s="159"/>
      <c r="WR201" s="159"/>
      <c r="WS201" s="159"/>
      <c r="WT201" s="159"/>
      <c r="WU201" s="159"/>
      <c r="WV201" s="159"/>
      <c r="WW201" s="159"/>
      <c r="WX201" s="159"/>
      <c r="WY201" s="159"/>
      <c r="WZ201" s="159"/>
      <c r="XA201" s="159"/>
      <c r="XB201" s="159"/>
      <c r="XC201" s="159"/>
      <c r="XD201" s="159"/>
      <c r="XE201" s="159"/>
      <c r="XF201" s="159"/>
      <c r="XG201" s="159"/>
      <c r="XH201" s="159"/>
      <c r="XI201" s="159"/>
      <c r="XJ201" s="159"/>
      <c r="XK201" s="159"/>
      <c r="XL201" s="159"/>
      <c r="XM201" s="159"/>
      <c r="XN201" s="159"/>
      <c r="XO201" s="159"/>
      <c r="XP201" s="159"/>
      <c r="XQ201" s="159"/>
      <c r="XR201" s="159"/>
      <c r="XS201" s="159"/>
      <c r="XT201" s="159"/>
      <c r="XU201" s="159"/>
      <c r="XV201" s="159"/>
      <c r="XW201" s="159"/>
      <c r="XX201" s="159"/>
      <c r="XY201" s="159"/>
      <c r="XZ201" s="159"/>
      <c r="YA201" s="159"/>
      <c r="YB201" s="159"/>
      <c r="YC201" s="159"/>
      <c r="YD201" s="159"/>
      <c r="YE201" s="159"/>
      <c r="YF201" s="159"/>
      <c r="YG201" s="159"/>
      <c r="YH201" s="159"/>
      <c r="YI201" s="159"/>
      <c r="YJ201" s="159"/>
      <c r="YK201" s="159"/>
      <c r="YL201" s="159"/>
      <c r="YM201" s="159"/>
      <c r="YN201" s="159"/>
      <c r="YO201" s="159"/>
      <c r="YP201" s="159"/>
      <c r="YQ201" s="159"/>
      <c r="YR201" s="159"/>
      <c r="YS201" s="159"/>
      <c r="YT201" s="159"/>
      <c r="YU201" s="159"/>
      <c r="YV201" s="159"/>
      <c r="YW201" s="159"/>
      <c r="YX201" s="159"/>
      <c r="YY201" s="159"/>
      <c r="YZ201" s="159"/>
      <c r="ZA201" s="159"/>
      <c r="ZB201" s="159"/>
      <c r="ZC201" s="159"/>
      <c r="ZD201" s="159"/>
      <c r="ZE201" s="159"/>
      <c r="ZF201" s="159"/>
      <c r="ZG201" s="159"/>
      <c r="ZH201" s="159"/>
      <c r="ZI201" s="159"/>
      <c r="ZJ201" s="159"/>
      <c r="ZK201" s="159"/>
      <c r="ZL201" s="159"/>
      <c r="ZM201" s="159"/>
      <c r="ZN201" s="159"/>
      <c r="ZO201" s="159"/>
      <c r="ZP201" s="159"/>
      <c r="ZQ201" s="159"/>
      <c r="ZR201" s="159"/>
      <c r="ZS201" s="159"/>
      <c r="ZT201" s="159"/>
      <c r="ZU201" s="159"/>
      <c r="ZV201" s="159"/>
      <c r="ZW201" s="159"/>
      <c r="ZX201" s="159"/>
      <c r="ZY201" s="159"/>
      <c r="ZZ201" s="159"/>
      <c r="AAA201" s="159"/>
      <c r="AAB201" s="159"/>
      <c r="AAC201" s="159"/>
      <c r="AAD201" s="159"/>
      <c r="AAE201" s="159"/>
      <c r="AAF201" s="159"/>
      <c r="AAG201" s="159"/>
      <c r="AAH201" s="159"/>
      <c r="AAI201" s="159"/>
      <c r="AAJ201" s="159"/>
      <c r="AAK201" s="159"/>
      <c r="AAL201" s="159"/>
      <c r="AAM201" s="159"/>
      <c r="AAN201" s="159"/>
      <c r="AAO201" s="159"/>
      <c r="AAP201" s="159"/>
      <c r="AAQ201" s="159"/>
      <c r="AAR201" s="159"/>
      <c r="AAS201" s="159"/>
      <c r="AAT201" s="159"/>
      <c r="AAU201" s="159"/>
      <c r="AAV201" s="159"/>
      <c r="AAW201" s="159"/>
      <c r="AAX201" s="159"/>
      <c r="AAY201" s="159"/>
      <c r="AAZ201" s="159"/>
      <c r="ABA201" s="159"/>
      <c r="ABB201" s="159"/>
      <c r="ABC201" s="159"/>
      <c r="ABD201" s="159"/>
      <c r="ABE201" s="159"/>
      <c r="ABF201" s="159"/>
      <c r="ABG201" s="159"/>
      <c r="ABH201" s="159"/>
      <c r="ABI201" s="159"/>
      <c r="ABJ201" s="159"/>
      <c r="ABK201" s="159"/>
      <c r="ABL201" s="159"/>
      <c r="ABM201" s="159"/>
      <c r="ABN201" s="159"/>
      <c r="ABO201" s="159"/>
      <c r="ABP201" s="159"/>
      <c r="ABQ201" s="159"/>
      <c r="ABR201" s="159"/>
      <c r="ABS201" s="159"/>
      <c r="ABT201" s="159"/>
      <c r="ABU201" s="159"/>
      <c r="ABV201" s="159"/>
      <c r="ABW201" s="159"/>
      <c r="ABX201" s="159"/>
      <c r="ABY201" s="159"/>
      <c r="ABZ201" s="159"/>
      <c r="ACA201" s="159"/>
      <c r="ACB201" s="159"/>
      <c r="ACC201" s="159"/>
      <c r="ACD201" s="159"/>
      <c r="ACE201" s="159"/>
      <c r="ACF201" s="159"/>
      <c r="ACG201" s="159"/>
      <c r="ACH201" s="159"/>
      <c r="ACI201" s="159"/>
      <c r="ACJ201" s="159"/>
      <c r="ACK201" s="159"/>
      <c r="ACL201" s="159"/>
      <c r="ACM201" s="159"/>
      <c r="ACN201" s="159"/>
      <c r="ACO201" s="159"/>
      <c r="ACP201" s="159"/>
      <c r="ACQ201" s="159"/>
      <c r="ACR201" s="159"/>
      <c r="ACS201" s="159"/>
      <c r="ACT201" s="159"/>
      <c r="ACU201" s="159"/>
      <c r="ACV201" s="159"/>
      <c r="ACW201" s="159"/>
      <c r="ACX201" s="159"/>
      <c r="ACY201" s="159"/>
      <c r="ACZ201" s="159"/>
      <c r="ADA201" s="159"/>
      <c r="ADB201" s="159"/>
      <c r="ADC201" s="159"/>
      <c r="ADD201" s="159"/>
      <c r="ADE201" s="159"/>
      <c r="ADF201" s="159"/>
      <c r="ADG201" s="159"/>
      <c r="ADH201" s="159"/>
      <c r="ADI201" s="159"/>
      <c r="ADJ201" s="159"/>
      <c r="ADK201" s="159"/>
      <c r="ADL201" s="159"/>
      <c r="ADM201" s="159"/>
      <c r="ADN201" s="159"/>
      <c r="ADO201" s="159"/>
      <c r="ADP201" s="159"/>
      <c r="ADQ201" s="159"/>
      <c r="ADR201" s="159"/>
      <c r="ADS201" s="159"/>
      <c r="ADT201" s="159"/>
      <c r="ADU201" s="159"/>
      <c r="ADV201" s="159"/>
      <c r="ADW201" s="159"/>
      <c r="ADX201" s="159"/>
      <c r="ADY201" s="159"/>
      <c r="ADZ201" s="159"/>
      <c r="AEA201" s="159"/>
      <c r="AEB201" s="159"/>
      <c r="AEC201" s="159"/>
      <c r="AED201" s="159"/>
      <c r="AEE201" s="159"/>
      <c r="AEF201" s="159"/>
      <c r="AEG201" s="159"/>
      <c r="AEH201" s="159"/>
      <c r="AEI201" s="159"/>
      <c r="AEJ201" s="159"/>
      <c r="AEK201" s="159"/>
      <c r="AEL201" s="159"/>
      <c r="AEM201" s="159"/>
      <c r="AEN201" s="159"/>
      <c r="AEO201" s="159"/>
      <c r="AEP201" s="159"/>
      <c r="AEQ201" s="159"/>
      <c r="AER201" s="159"/>
      <c r="AES201" s="159"/>
      <c r="AET201" s="159"/>
      <c r="AEU201" s="159"/>
      <c r="AEV201" s="159"/>
      <c r="AEW201" s="159"/>
      <c r="AEX201" s="159"/>
      <c r="AEY201" s="159"/>
      <c r="AEZ201" s="159"/>
      <c r="AFA201" s="159"/>
      <c r="AFB201" s="159"/>
      <c r="AFC201" s="159"/>
      <c r="AFD201" s="159"/>
      <c r="AFE201" s="159"/>
      <c r="AFF201" s="159"/>
      <c r="AFG201" s="159"/>
      <c r="AFH201" s="159"/>
      <c r="AFI201" s="159"/>
      <c r="AFJ201" s="159"/>
      <c r="AFK201" s="159"/>
      <c r="AFL201" s="159"/>
      <c r="AFM201" s="159"/>
      <c r="AFN201" s="159"/>
      <c r="AFO201" s="159"/>
      <c r="AFP201" s="159"/>
      <c r="AFQ201" s="159"/>
      <c r="AFR201" s="159"/>
      <c r="AFS201" s="159"/>
      <c r="AFT201" s="159"/>
      <c r="AFU201" s="159"/>
      <c r="AFV201" s="159"/>
      <c r="AFW201" s="159"/>
      <c r="AFX201" s="159"/>
      <c r="AFY201" s="159"/>
      <c r="AFZ201" s="159"/>
      <c r="AGA201" s="159"/>
      <c r="AGB201" s="159"/>
      <c r="AGC201" s="159"/>
      <c r="AGD201" s="159"/>
      <c r="AGE201" s="159"/>
      <c r="AGF201" s="159"/>
      <c r="AGG201" s="159"/>
      <c r="AGH201" s="159"/>
      <c r="AGI201" s="159"/>
      <c r="AGJ201" s="159"/>
      <c r="AGK201" s="159"/>
      <c r="AGL201" s="159"/>
      <c r="AGM201" s="159"/>
      <c r="AGN201" s="159"/>
      <c r="AGO201" s="159"/>
      <c r="AGP201" s="159"/>
      <c r="AGQ201" s="159"/>
      <c r="AGR201" s="159"/>
      <c r="AGS201" s="159"/>
      <c r="AGT201" s="159"/>
      <c r="AGU201" s="159"/>
      <c r="AGV201" s="159"/>
      <c r="AGW201" s="159"/>
      <c r="AGX201" s="159"/>
      <c r="AGY201" s="159"/>
      <c r="AGZ201" s="159"/>
      <c r="AHA201" s="159"/>
      <c r="AHB201" s="159"/>
      <c r="AHC201" s="159"/>
      <c r="AHD201" s="159"/>
      <c r="AHE201" s="159"/>
      <c r="AHF201" s="159"/>
      <c r="AHG201" s="159"/>
      <c r="AHH201" s="159"/>
      <c r="AHI201" s="159"/>
      <c r="AHJ201" s="159"/>
      <c r="AHK201" s="159"/>
      <c r="AHL201" s="159"/>
      <c r="AHM201" s="159"/>
      <c r="AHN201" s="159"/>
      <c r="AHO201" s="159"/>
      <c r="AHP201" s="159"/>
      <c r="AHQ201" s="159"/>
      <c r="AHR201" s="159"/>
      <c r="AHS201" s="159"/>
      <c r="AHT201" s="159"/>
      <c r="AHU201" s="159"/>
      <c r="AHV201" s="159"/>
      <c r="AHW201" s="159"/>
      <c r="AHX201" s="159"/>
      <c r="AHY201" s="159"/>
      <c r="AHZ201" s="159"/>
      <c r="AIA201" s="159"/>
      <c r="AIB201" s="159"/>
      <c r="AIC201" s="159"/>
      <c r="AID201" s="159"/>
      <c r="AIE201" s="159"/>
      <c r="AIF201" s="159"/>
      <c r="AIG201" s="159"/>
      <c r="AIH201" s="159"/>
      <c r="AII201" s="159"/>
      <c r="AIJ201" s="159"/>
      <c r="AIK201" s="159"/>
      <c r="AIL201" s="159"/>
      <c r="AIM201" s="159"/>
      <c r="AIN201" s="159"/>
      <c r="AIO201" s="159"/>
      <c r="AIP201" s="159"/>
      <c r="AIQ201" s="159"/>
      <c r="AIR201" s="159"/>
      <c r="AIS201" s="159"/>
      <c r="AIT201" s="159"/>
      <c r="AIU201" s="159"/>
      <c r="AIV201" s="159"/>
      <c r="AIW201" s="159"/>
      <c r="AIX201" s="159"/>
      <c r="AIY201" s="159"/>
      <c r="AIZ201" s="159"/>
      <c r="AJA201" s="159"/>
      <c r="AJB201" s="159"/>
      <c r="AJC201" s="159"/>
      <c r="AJD201" s="159"/>
      <c r="AJE201" s="159"/>
      <c r="AJF201" s="159"/>
      <c r="AJG201" s="159"/>
      <c r="AJH201" s="159"/>
      <c r="AJI201" s="159"/>
      <c r="AJJ201" s="159"/>
      <c r="AJK201" s="159"/>
      <c r="AJL201" s="159"/>
      <c r="AJM201" s="159"/>
      <c r="AJN201" s="159"/>
      <c r="AJO201" s="159"/>
      <c r="AJP201" s="159"/>
      <c r="AJQ201" s="159"/>
      <c r="AJR201" s="159"/>
      <c r="AJS201" s="159"/>
      <c r="AJT201" s="159"/>
      <c r="AJU201" s="159"/>
      <c r="AJV201" s="159"/>
      <c r="AJW201" s="159"/>
      <c r="AJX201" s="159"/>
      <c r="AJY201" s="159"/>
      <c r="AJZ201" s="159"/>
      <c r="AKA201" s="159"/>
      <c r="AKB201" s="159"/>
      <c r="AKC201" s="159"/>
      <c r="AKD201" s="159"/>
      <c r="AKE201" s="159"/>
      <c r="AKF201" s="159"/>
      <c r="AKG201" s="159"/>
      <c r="AKH201" s="159"/>
      <c r="AKI201" s="159"/>
      <c r="AKJ201" s="159"/>
      <c r="AKK201" s="159"/>
      <c r="AKL201" s="159"/>
      <c r="AKM201" s="159"/>
      <c r="AKN201" s="159"/>
      <c r="AKO201" s="159"/>
      <c r="AKP201" s="159"/>
      <c r="AKQ201" s="159"/>
      <c r="AKR201" s="159"/>
      <c r="AKS201" s="159"/>
      <c r="AKT201" s="159"/>
      <c r="AKU201" s="159"/>
      <c r="AKV201" s="159"/>
      <c r="AKW201" s="159"/>
      <c r="AKX201" s="159"/>
      <c r="AKY201" s="159"/>
      <c r="AKZ201" s="159"/>
      <c r="ALA201" s="159"/>
      <c r="ALB201" s="159"/>
      <c r="ALC201" s="159"/>
      <c r="ALD201" s="159"/>
      <c r="ALE201" s="159"/>
      <c r="ALF201" s="159"/>
      <c r="ALG201" s="159"/>
      <c r="ALH201" s="159"/>
      <c r="ALI201" s="159"/>
      <c r="ALJ201" s="159"/>
      <c r="ALK201" s="159"/>
      <c r="ALL201" s="159"/>
      <c r="ALM201" s="159"/>
      <c r="ALN201" s="159"/>
      <c r="ALO201" s="159"/>
      <c r="ALP201" s="159"/>
      <c r="ALQ201" s="159"/>
      <c r="ALR201" s="159"/>
      <c r="ALS201" s="159"/>
      <c r="ALT201" s="159"/>
      <c r="ALU201" s="159"/>
      <c r="ALV201" s="159"/>
      <c r="ALW201" s="159"/>
      <c r="ALX201" s="159"/>
      <c r="ALY201" s="159"/>
      <c r="ALZ201" s="159"/>
      <c r="AMA201" s="159"/>
      <c r="AMB201" s="159"/>
      <c r="AMC201" s="159"/>
      <c r="AMD201" s="159"/>
      <c r="AME201" s="159"/>
      <c r="AMF201" s="159"/>
      <c r="AMG201" s="159"/>
      <c r="AMH201" s="159"/>
      <c r="AMI201" s="159"/>
      <c r="AMJ201" s="159"/>
      <c r="AMK201" s="159"/>
      <c r="AML201" s="159"/>
      <c r="AMM201" s="159"/>
      <c r="AMN201" s="159"/>
      <c r="AMO201" s="159"/>
    </row>
    <row r="202" spans="1:1029" s="161" customFormat="1" ht="33.75" customHeight="1" x14ac:dyDescent="0.25">
      <c r="A202" s="138">
        <v>46303</v>
      </c>
      <c r="B202" s="99" t="s">
        <v>8</v>
      </c>
      <c r="C202" s="99" t="s">
        <v>150</v>
      </c>
      <c r="D202" s="160" t="s">
        <v>21</v>
      </c>
      <c r="E202" s="118" t="s">
        <v>42</v>
      </c>
      <c r="F202" s="149" t="s">
        <v>125</v>
      </c>
      <c r="G202" s="149" t="s">
        <v>31</v>
      </c>
      <c r="H202" s="141" t="b">
        <f t="shared" si="16"/>
        <v>0</v>
      </c>
      <c r="I202" s="121" t="s">
        <v>113</v>
      </c>
      <c r="J202" s="121" t="s">
        <v>10</v>
      </c>
      <c r="K202" s="121" t="s">
        <v>31</v>
      </c>
      <c r="L202" s="141" t="b">
        <f t="shared" si="17"/>
        <v>0</v>
      </c>
      <c r="M202" s="121" t="s">
        <v>193</v>
      </c>
      <c r="N202" s="121" t="s">
        <v>36</v>
      </c>
      <c r="O202" s="121" t="s">
        <v>37</v>
      </c>
      <c r="P202" s="141" t="b">
        <f t="shared" si="18"/>
        <v>0</v>
      </c>
      <c r="Q202" s="149" t="s">
        <v>50</v>
      </c>
      <c r="R202" s="99" t="str">
        <f>F202</f>
        <v>Currywurst</v>
      </c>
      <c r="S202" s="99" t="str">
        <f>G202</f>
        <v>Pommes</v>
      </c>
      <c r="T202" s="141" t="b">
        <f t="shared" si="19"/>
        <v>0</v>
      </c>
      <c r="U202" s="159"/>
      <c r="V202" s="159"/>
      <c r="W202" s="159"/>
      <c r="X202" s="159"/>
      <c r="Y202" s="159"/>
      <c r="Z202" s="159"/>
      <c r="AA202" s="159"/>
      <c r="AB202" s="159"/>
      <c r="AC202" s="159"/>
      <c r="AD202" s="159"/>
      <c r="AE202" s="159"/>
      <c r="AF202" s="159"/>
      <c r="AG202" s="159"/>
      <c r="AH202" s="159"/>
      <c r="AI202" s="159"/>
      <c r="AJ202" s="159"/>
      <c r="AK202" s="159"/>
      <c r="AL202" s="159"/>
      <c r="AM202" s="159"/>
      <c r="AN202" s="159"/>
      <c r="AO202" s="159"/>
      <c r="AP202" s="159"/>
      <c r="AQ202" s="159"/>
      <c r="AR202" s="159"/>
      <c r="AS202" s="159"/>
      <c r="AT202" s="159"/>
      <c r="AU202" s="159"/>
      <c r="AV202" s="159"/>
      <c r="AW202" s="159"/>
      <c r="AX202" s="159"/>
      <c r="AY202" s="159"/>
      <c r="AZ202" s="159"/>
      <c r="BA202" s="159"/>
      <c r="BB202" s="159"/>
      <c r="BC202" s="159"/>
      <c r="BD202" s="159"/>
      <c r="BE202" s="159"/>
      <c r="BF202" s="159"/>
      <c r="BG202" s="159"/>
      <c r="BH202" s="159"/>
      <c r="BI202" s="159"/>
      <c r="BJ202" s="159"/>
      <c r="BK202" s="159"/>
      <c r="BL202" s="159"/>
      <c r="BM202" s="159"/>
      <c r="BN202" s="159"/>
      <c r="BO202" s="159"/>
      <c r="BP202" s="159"/>
      <c r="BQ202" s="159"/>
      <c r="BR202" s="159"/>
      <c r="BS202" s="159"/>
      <c r="BT202" s="159"/>
      <c r="BU202" s="159"/>
      <c r="BV202" s="159"/>
      <c r="BW202" s="159"/>
      <c r="BX202" s="159"/>
      <c r="BY202" s="159"/>
      <c r="BZ202" s="159"/>
      <c r="CA202" s="159"/>
      <c r="CB202" s="159"/>
      <c r="CC202" s="159"/>
      <c r="CD202" s="159"/>
      <c r="CE202" s="159"/>
      <c r="CF202" s="159"/>
      <c r="CG202" s="159"/>
      <c r="CH202" s="159"/>
      <c r="CI202" s="159"/>
      <c r="CJ202" s="159"/>
      <c r="CK202" s="159"/>
      <c r="CL202" s="159"/>
      <c r="CM202" s="159"/>
      <c r="CN202" s="159"/>
      <c r="CO202" s="159"/>
      <c r="CP202" s="159"/>
      <c r="CQ202" s="159"/>
      <c r="CR202" s="159"/>
      <c r="CS202" s="159"/>
      <c r="CT202" s="159"/>
      <c r="CU202" s="159"/>
      <c r="CV202" s="159"/>
      <c r="CW202" s="159"/>
      <c r="CX202" s="159"/>
      <c r="CY202" s="159"/>
      <c r="CZ202" s="159"/>
      <c r="DA202" s="159"/>
      <c r="DB202" s="159"/>
      <c r="DC202" s="159"/>
      <c r="DD202" s="159"/>
      <c r="DE202" s="159"/>
      <c r="DF202" s="159"/>
      <c r="DG202" s="159"/>
      <c r="DH202" s="159"/>
      <c r="DI202" s="159"/>
      <c r="DJ202" s="159"/>
      <c r="DK202" s="159"/>
      <c r="DL202" s="159"/>
      <c r="DM202" s="159"/>
      <c r="DN202" s="159"/>
      <c r="DO202" s="159"/>
      <c r="DP202" s="159"/>
      <c r="DQ202" s="159"/>
      <c r="DR202" s="159"/>
      <c r="DS202" s="159"/>
      <c r="DT202" s="159"/>
      <c r="DU202" s="159"/>
      <c r="DV202" s="159"/>
      <c r="DW202" s="159"/>
      <c r="DX202" s="159"/>
      <c r="DY202" s="159"/>
      <c r="DZ202" s="159"/>
      <c r="EA202" s="159"/>
      <c r="EB202" s="159"/>
      <c r="EC202" s="159"/>
      <c r="ED202" s="159"/>
      <c r="EE202" s="159"/>
      <c r="EF202" s="159"/>
      <c r="EG202" s="159"/>
      <c r="EH202" s="159"/>
      <c r="EI202" s="159"/>
      <c r="EJ202" s="159"/>
      <c r="EK202" s="159"/>
      <c r="EL202" s="159"/>
      <c r="EM202" s="159"/>
      <c r="EN202" s="159"/>
      <c r="EO202" s="159"/>
      <c r="EP202" s="159"/>
      <c r="EQ202" s="159"/>
      <c r="ER202" s="159"/>
      <c r="ES202" s="159"/>
      <c r="ET202" s="159"/>
      <c r="EU202" s="159"/>
      <c r="EV202" s="159"/>
      <c r="EW202" s="159"/>
      <c r="EX202" s="159"/>
      <c r="EY202" s="159"/>
      <c r="EZ202" s="159"/>
      <c r="FA202" s="159"/>
      <c r="FB202" s="159"/>
      <c r="FC202" s="159"/>
      <c r="FD202" s="159"/>
      <c r="FE202" s="159"/>
      <c r="FF202" s="159"/>
      <c r="FG202" s="159"/>
      <c r="FH202" s="159"/>
      <c r="FI202" s="159"/>
      <c r="FJ202" s="159"/>
      <c r="FK202" s="159"/>
      <c r="FL202" s="159"/>
      <c r="FM202" s="159"/>
      <c r="FN202" s="159"/>
      <c r="FO202" s="159"/>
      <c r="FP202" s="159"/>
      <c r="FQ202" s="159"/>
      <c r="FR202" s="159"/>
      <c r="FS202" s="159"/>
      <c r="FT202" s="159"/>
      <c r="FU202" s="159"/>
      <c r="FV202" s="159"/>
      <c r="FW202" s="159"/>
      <c r="FX202" s="159"/>
      <c r="FY202" s="159"/>
      <c r="FZ202" s="159"/>
      <c r="GA202" s="159"/>
      <c r="GB202" s="159"/>
      <c r="GC202" s="159"/>
      <c r="GD202" s="159"/>
      <c r="GE202" s="159"/>
      <c r="GF202" s="159"/>
      <c r="GG202" s="159"/>
      <c r="GH202" s="159"/>
      <c r="GI202" s="159"/>
      <c r="GJ202" s="159"/>
      <c r="GK202" s="159"/>
      <c r="GL202" s="159"/>
      <c r="GM202" s="159"/>
      <c r="GN202" s="159"/>
      <c r="GO202" s="159"/>
      <c r="GP202" s="159"/>
      <c r="GQ202" s="159"/>
      <c r="GR202" s="159"/>
      <c r="GS202" s="159"/>
      <c r="GT202" s="159"/>
      <c r="GU202" s="159"/>
      <c r="GV202" s="159"/>
      <c r="GW202" s="159"/>
      <c r="GX202" s="159"/>
      <c r="GY202" s="159"/>
      <c r="GZ202" s="159"/>
      <c r="HA202" s="159"/>
      <c r="HB202" s="159"/>
      <c r="HC202" s="159"/>
      <c r="HD202" s="159"/>
      <c r="HE202" s="159"/>
      <c r="HF202" s="159"/>
      <c r="HG202" s="159"/>
      <c r="HH202" s="159"/>
      <c r="HI202" s="159"/>
      <c r="HJ202" s="159"/>
      <c r="HK202" s="159"/>
      <c r="HL202" s="159"/>
      <c r="HM202" s="159"/>
      <c r="HN202" s="159"/>
      <c r="HO202" s="159"/>
      <c r="HP202" s="159"/>
      <c r="HQ202" s="159"/>
      <c r="HR202" s="159"/>
      <c r="HS202" s="159"/>
      <c r="HT202" s="159"/>
      <c r="HU202" s="159"/>
      <c r="HV202" s="159"/>
      <c r="HW202" s="159"/>
      <c r="HX202" s="159"/>
      <c r="HY202" s="159"/>
      <c r="HZ202" s="159"/>
      <c r="IA202" s="159"/>
      <c r="IB202" s="159"/>
      <c r="IC202" s="159"/>
      <c r="ID202" s="159"/>
      <c r="IE202" s="159"/>
      <c r="IF202" s="159"/>
      <c r="IG202" s="159"/>
      <c r="IH202" s="159"/>
      <c r="II202" s="159"/>
      <c r="IJ202" s="159"/>
      <c r="IK202" s="159"/>
      <c r="IL202" s="159"/>
      <c r="IM202" s="159"/>
      <c r="IN202" s="159"/>
      <c r="IO202" s="159"/>
      <c r="IP202" s="159"/>
      <c r="IQ202" s="159"/>
      <c r="IR202" s="159"/>
      <c r="IS202" s="159"/>
      <c r="IT202" s="159"/>
      <c r="IU202" s="159"/>
      <c r="IV202" s="159"/>
      <c r="IW202" s="159"/>
      <c r="IX202" s="159"/>
      <c r="IY202" s="159"/>
      <c r="IZ202" s="159"/>
      <c r="JA202" s="159"/>
      <c r="JB202" s="159"/>
      <c r="JC202" s="159"/>
      <c r="JD202" s="159"/>
      <c r="JE202" s="159"/>
      <c r="JF202" s="159"/>
      <c r="JG202" s="159"/>
      <c r="JH202" s="159"/>
      <c r="JI202" s="159"/>
      <c r="JJ202" s="159"/>
      <c r="JK202" s="159"/>
      <c r="JL202" s="159"/>
      <c r="JM202" s="159"/>
      <c r="JN202" s="159"/>
      <c r="JO202" s="159"/>
      <c r="JP202" s="159"/>
      <c r="JQ202" s="159"/>
      <c r="JR202" s="159"/>
      <c r="JS202" s="159"/>
      <c r="JT202" s="159"/>
      <c r="JU202" s="159"/>
      <c r="JV202" s="159"/>
      <c r="JW202" s="159"/>
      <c r="JX202" s="159"/>
      <c r="JY202" s="159"/>
      <c r="JZ202" s="159"/>
      <c r="KA202" s="159"/>
      <c r="KB202" s="159"/>
      <c r="KC202" s="159"/>
      <c r="KD202" s="159"/>
      <c r="KE202" s="159"/>
      <c r="KF202" s="159"/>
      <c r="KG202" s="159"/>
      <c r="KH202" s="159"/>
      <c r="KI202" s="159"/>
      <c r="KJ202" s="159"/>
      <c r="KK202" s="159"/>
      <c r="KL202" s="159"/>
      <c r="KM202" s="159"/>
      <c r="KN202" s="159"/>
      <c r="KO202" s="159"/>
      <c r="KP202" s="159"/>
      <c r="KQ202" s="159"/>
      <c r="KR202" s="159"/>
      <c r="KS202" s="159"/>
      <c r="KT202" s="159"/>
      <c r="KU202" s="159"/>
      <c r="KV202" s="159"/>
      <c r="KW202" s="159"/>
      <c r="KX202" s="159"/>
      <c r="KY202" s="159"/>
      <c r="KZ202" s="159"/>
      <c r="LA202" s="159"/>
      <c r="LB202" s="159"/>
      <c r="LC202" s="159"/>
      <c r="LD202" s="159"/>
      <c r="LE202" s="159"/>
      <c r="LF202" s="159"/>
      <c r="LG202" s="159"/>
      <c r="LH202" s="159"/>
      <c r="LI202" s="159"/>
      <c r="LJ202" s="159"/>
      <c r="LK202" s="159"/>
      <c r="LL202" s="159"/>
      <c r="LM202" s="159"/>
      <c r="LN202" s="159"/>
      <c r="LO202" s="159"/>
      <c r="LP202" s="159"/>
      <c r="LQ202" s="159"/>
      <c r="LR202" s="159"/>
      <c r="LS202" s="159"/>
      <c r="LT202" s="159"/>
      <c r="LU202" s="159"/>
      <c r="LV202" s="159"/>
      <c r="LW202" s="159"/>
      <c r="LX202" s="159"/>
      <c r="LY202" s="159"/>
      <c r="LZ202" s="159"/>
      <c r="MA202" s="159"/>
      <c r="MB202" s="159"/>
      <c r="MC202" s="159"/>
      <c r="MD202" s="159"/>
      <c r="ME202" s="159"/>
      <c r="MF202" s="159"/>
      <c r="MG202" s="159"/>
      <c r="MH202" s="159"/>
      <c r="MI202" s="159"/>
      <c r="MJ202" s="159"/>
      <c r="MK202" s="159"/>
      <c r="ML202" s="159"/>
      <c r="MM202" s="159"/>
      <c r="MN202" s="159"/>
      <c r="MO202" s="159"/>
      <c r="MP202" s="159"/>
      <c r="MQ202" s="159"/>
      <c r="MR202" s="159"/>
      <c r="MS202" s="159"/>
      <c r="MT202" s="159"/>
      <c r="MU202" s="159"/>
      <c r="MV202" s="159"/>
      <c r="MW202" s="159"/>
      <c r="MX202" s="159"/>
      <c r="MY202" s="159"/>
      <c r="MZ202" s="159"/>
      <c r="NA202" s="159"/>
      <c r="NB202" s="159"/>
      <c r="NC202" s="159"/>
      <c r="ND202" s="159"/>
      <c r="NE202" s="159"/>
      <c r="NF202" s="159"/>
      <c r="NG202" s="159"/>
      <c r="NH202" s="159"/>
      <c r="NI202" s="159"/>
      <c r="NJ202" s="159"/>
      <c r="NK202" s="159"/>
      <c r="NL202" s="159"/>
      <c r="NM202" s="159"/>
      <c r="NN202" s="159"/>
      <c r="NO202" s="159"/>
      <c r="NP202" s="159"/>
      <c r="NQ202" s="159"/>
      <c r="NR202" s="159"/>
      <c r="NS202" s="159"/>
      <c r="NT202" s="159"/>
      <c r="NU202" s="159"/>
      <c r="NV202" s="159"/>
      <c r="NW202" s="159"/>
      <c r="NX202" s="159"/>
      <c r="NY202" s="159"/>
      <c r="NZ202" s="159"/>
      <c r="OA202" s="159"/>
      <c r="OB202" s="159"/>
      <c r="OC202" s="159"/>
      <c r="OD202" s="159"/>
      <c r="OE202" s="159"/>
      <c r="OF202" s="159"/>
      <c r="OG202" s="159"/>
      <c r="OH202" s="159"/>
      <c r="OI202" s="159"/>
      <c r="OJ202" s="159"/>
      <c r="OK202" s="159"/>
      <c r="OL202" s="159"/>
      <c r="OM202" s="159"/>
      <c r="ON202" s="159"/>
      <c r="OO202" s="159"/>
      <c r="OP202" s="159"/>
      <c r="OQ202" s="159"/>
      <c r="OR202" s="159"/>
      <c r="OS202" s="159"/>
      <c r="OT202" s="159"/>
      <c r="OU202" s="159"/>
      <c r="OV202" s="159"/>
      <c r="OW202" s="159"/>
      <c r="OX202" s="159"/>
      <c r="OY202" s="159"/>
      <c r="OZ202" s="159"/>
      <c r="PA202" s="159"/>
      <c r="PB202" s="159"/>
      <c r="PC202" s="159"/>
      <c r="PD202" s="159"/>
      <c r="PE202" s="159"/>
      <c r="PF202" s="159"/>
      <c r="PG202" s="159"/>
      <c r="PH202" s="159"/>
      <c r="PI202" s="159"/>
      <c r="PJ202" s="159"/>
      <c r="PK202" s="159"/>
      <c r="PL202" s="159"/>
      <c r="PM202" s="159"/>
      <c r="PN202" s="159"/>
      <c r="PO202" s="159"/>
      <c r="PP202" s="159"/>
      <c r="PQ202" s="159"/>
      <c r="PR202" s="159"/>
      <c r="PS202" s="159"/>
      <c r="PT202" s="159"/>
      <c r="PU202" s="159"/>
      <c r="PV202" s="159"/>
      <c r="PW202" s="159"/>
      <c r="PX202" s="159"/>
      <c r="PY202" s="159"/>
      <c r="PZ202" s="159"/>
      <c r="QA202" s="159"/>
      <c r="QB202" s="159"/>
      <c r="QC202" s="159"/>
      <c r="QD202" s="159"/>
      <c r="QE202" s="159"/>
      <c r="QF202" s="159"/>
      <c r="QG202" s="159"/>
      <c r="QH202" s="159"/>
      <c r="QI202" s="159"/>
      <c r="QJ202" s="159"/>
      <c r="QK202" s="159"/>
      <c r="QL202" s="159"/>
      <c r="QM202" s="159"/>
      <c r="QN202" s="159"/>
      <c r="QO202" s="159"/>
      <c r="QP202" s="159"/>
      <c r="QQ202" s="159"/>
      <c r="QR202" s="159"/>
      <c r="QS202" s="159"/>
      <c r="QT202" s="159"/>
      <c r="QU202" s="159"/>
      <c r="QV202" s="159"/>
      <c r="QW202" s="159"/>
      <c r="QX202" s="159"/>
      <c r="QY202" s="159"/>
      <c r="QZ202" s="159"/>
      <c r="RA202" s="159"/>
      <c r="RB202" s="159"/>
      <c r="RC202" s="159"/>
      <c r="RD202" s="159"/>
      <c r="RE202" s="159"/>
      <c r="RF202" s="159"/>
      <c r="RG202" s="159"/>
      <c r="RH202" s="159"/>
      <c r="RI202" s="159"/>
      <c r="RJ202" s="159"/>
      <c r="RK202" s="159"/>
      <c r="RL202" s="159"/>
      <c r="RM202" s="159"/>
      <c r="RN202" s="159"/>
      <c r="RO202" s="159"/>
      <c r="RP202" s="159"/>
      <c r="RQ202" s="159"/>
      <c r="RR202" s="159"/>
      <c r="RS202" s="159"/>
      <c r="RT202" s="159"/>
      <c r="RU202" s="159"/>
      <c r="RV202" s="159"/>
      <c r="RW202" s="159"/>
      <c r="RX202" s="159"/>
      <c r="RY202" s="159"/>
      <c r="RZ202" s="159"/>
      <c r="SA202" s="159"/>
      <c r="SB202" s="159"/>
      <c r="SC202" s="159"/>
      <c r="SD202" s="159"/>
      <c r="SE202" s="159"/>
      <c r="SF202" s="159"/>
      <c r="SG202" s="159"/>
      <c r="SH202" s="159"/>
      <c r="SI202" s="159"/>
      <c r="SJ202" s="159"/>
      <c r="SK202" s="159"/>
      <c r="SL202" s="159"/>
      <c r="SM202" s="159"/>
      <c r="SN202" s="159"/>
      <c r="SO202" s="159"/>
      <c r="SP202" s="159"/>
      <c r="SQ202" s="159"/>
      <c r="SR202" s="159"/>
      <c r="SS202" s="159"/>
      <c r="ST202" s="159"/>
      <c r="SU202" s="159"/>
      <c r="SV202" s="159"/>
      <c r="SW202" s="159"/>
      <c r="SX202" s="159"/>
      <c r="SY202" s="159"/>
      <c r="SZ202" s="159"/>
      <c r="TA202" s="159"/>
      <c r="TB202" s="159"/>
      <c r="TC202" s="159"/>
      <c r="TD202" s="159"/>
      <c r="TE202" s="159"/>
      <c r="TF202" s="159"/>
      <c r="TG202" s="159"/>
      <c r="TH202" s="159"/>
      <c r="TI202" s="159"/>
      <c r="TJ202" s="159"/>
      <c r="TK202" s="159"/>
      <c r="TL202" s="159"/>
      <c r="TM202" s="159"/>
      <c r="TN202" s="159"/>
      <c r="TO202" s="159"/>
      <c r="TP202" s="159"/>
      <c r="TQ202" s="159"/>
      <c r="TR202" s="159"/>
      <c r="TS202" s="159"/>
      <c r="TT202" s="159"/>
      <c r="TU202" s="159"/>
      <c r="TV202" s="159"/>
      <c r="TW202" s="159"/>
      <c r="TX202" s="159"/>
      <c r="TY202" s="159"/>
      <c r="TZ202" s="159"/>
      <c r="UA202" s="159"/>
      <c r="UB202" s="159"/>
      <c r="UC202" s="159"/>
      <c r="UD202" s="159"/>
      <c r="UE202" s="159"/>
      <c r="UF202" s="159"/>
      <c r="UG202" s="159"/>
      <c r="UH202" s="159"/>
      <c r="UI202" s="159"/>
      <c r="UJ202" s="159"/>
      <c r="UK202" s="159"/>
      <c r="UL202" s="159"/>
      <c r="UM202" s="159"/>
      <c r="UN202" s="159"/>
      <c r="UO202" s="159"/>
      <c r="UP202" s="159"/>
      <c r="UQ202" s="159"/>
      <c r="UR202" s="159"/>
      <c r="US202" s="159"/>
      <c r="UT202" s="159"/>
      <c r="UU202" s="159"/>
      <c r="UV202" s="159"/>
      <c r="UW202" s="159"/>
      <c r="UX202" s="159"/>
      <c r="UY202" s="159"/>
      <c r="UZ202" s="159"/>
      <c r="VA202" s="159"/>
      <c r="VB202" s="159"/>
      <c r="VC202" s="159"/>
      <c r="VD202" s="159"/>
      <c r="VE202" s="159"/>
      <c r="VF202" s="159"/>
      <c r="VG202" s="159"/>
      <c r="VH202" s="159"/>
      <c r="VI202" s="159"/>
      <c r="VJ202" s="159"/>
      <c r="VK202" s="159"/>
      <c r="VL202" s="159"/>
      <c r="VM202" s="159"/>
      <c r="VN202" s="159"/>
      <c r="VO202" s="159"/>
      <c r="VP202" s="159"/>
      <c r="VQ202" s="159"/>
      <c r="VR202" s="159"/>
      <c r="VS202" s="159"/>
      <c r="VT202" s="159"/>
      <c r="VU202" s="159"/>
      <c r="VV202" s="159"/>
      <c r="VW202" s="159"/>
      <c r="VX202" s="159"/>
      <c r="VY202" s="159"/>
      <c r="VZ202" s="159"/>
      <c r="WA202" s="159"/>
      <c r="WB202" s="159"/>
      <c r="WC202" s="159"/>
      <c r="WD202" s="159"/>
      <c r="WE202" s="159"/>
      <c r="WF202" s="159"/>
      <c r="WG202" s="159"/>
      <c r="WH202" s="159"/>
      <c r="WI202" s="159"/>
      <c r="WJ202" s="159"/>
      <c r="WK202" s="159"/>
      <c r="WL202" s="159"/>
      <c r="WM202" s="159"/>
      <c r="WN202" s="159"/>
      <c r="WO202" s="159"/>
      <c r="WP202" s="159"/>
      <c r="WQ202" s="159"/>
      <c r="WR202" s="159"/>
      <c r="WS202" s="159"/>
      <c r="WT202" s="159"/>
      <c r="WU202" s="159"/>
      <c r="WV202" s="159"/>
      <c r="WW202" s="159"/>
      <c r="WX202" s="159"/>
      <c r="WY202" s="159"/>
      <c r="WZ202" s="159"/>
      <c r="XA202" s="159"/>
      <c r="XB202" s="159"/>
      <c r="XC202" s="159"/>
      <c r="XD202" s="159"/>
      <c r="XE202" s="159"/>
      <c r="XF202" s="159"/>
      <c r="XG202" s="159"/>
      <c r="XH202" s="159"/>
      <c r="XI202" s="159"/>
      <c r="XJ202" s="159"/>
      <c r="XK202" s="159"/>
      <c r="XL202" s="159"/>
      <c r="XM202" s="159"/>
      <c r="XN202" s="159"/>
      <c r="XO202" s="159"/>
      <c r="XP202" s="159"/>
      <c r="XQ202" s="159"/>
      <c r="XR202" s="159"/>
      <c r="XS202" s="159"/>
      <c r="XT202" s="159"/>
      <c r="XU202" s="159"/>
      <c r="XV202" s="159"/>
      <c r="XW202" s="159"/>
      <c r="XX202" s="159"/>
      <c r="XY202" s="159"/>
      <c r="XZ202" s="159"/>
      <c r="YA202" s="159"/>
      <c r="YB202" s="159"/>
      <c r="YC202" s="159"/>
      <c r="YD202" s="159"/>
      <c r="YE202" s="159"/>
      <c r="YF202" s="159"/>
      <c r="YG202" s="159"/>
      <c r="YH202" s="159"/>
      <c r="YI202" s="159"/>
      <c r="YJ202" s="159"/>
      <c r="YK202" s="159"/>
      <c r="YL202" s="159"/>
      <c r="YM202" s="159"/>
      <c r="YN202" s="159"/>
      <c r="YO202" s="159"/>
      <c r="YP202" s="159"/>
      <c r="YQ202" s="159"/>
      <c r="YR202" s="159"/>
      <c r="YS202" s="159"/>
      <c r="YT202" s="159"/>
      <c r="YU202" s="159"/>
      <c r="YV202" s="159"/>
      <c r="YW202" s="159"/>
      <c r="YX202" s="159"/>
      <c r="YY202" s="159"/>
      <c r="YZ202" s="159"/>
      <c r="ZA202" s="159"/>
      <c r="ZB202" s="159"/>
      <c r="ZC202" s="159"/>
      <c r="ZD202" s="159"/>
      <c r="ZE202" s="159"/>
      <c r="ZF202" s="159"/>
      <c r="ZG202" s="159"/>
      <c r="ZH202" s="159"/>
      <c r="ZI202" s="159"/>
      <c r="ZJ202" s="159"/>
      <c r="ZK202" s="159"/>
      <c r="ZL202" s="159"/>
      <c r="ZM202" s="159"/>
      <c r="ZN202" s="159"/>
      <c r="ZO202" s="159"/>
      <c r="ZP202" s="159"/>
      <c r="ZQ202" s="159"/>
      <c r="ZR202" s="159"/>
      <c r="ZS202" s="159"/>
      <c r="ZT202" s="159"/>
      <c r="ZU202" s="159"/>
      <c r="ZV202" s="159"/>
      <c r="ZW202" s="159"/>
      <c r="ZX202" s="159"/>
      <c r="ZY202" s="159"/>
      <c r="ZZ202" s="159"/>
      <c r="AAA202" s="159"/>
      <c r="AAB202" s="159"/>
      <c r="AAC202" s="159"/>
      <c r="AAD202" s="159"/>
      <c r="AAE202" s="159"/>
      <c r="AAF202" s="159"/>
      <c r="AAG202" s="159"/>
      <c r="AAH202" s="159"/>
      <c r="AAI202" s="159"/>
      <c r="AAJ202" s="159"/>
      <c r="AAK202" s="159"/>
      <c r="AAL202" s="159"/>
      <c r="AAM202" s="159"/>
      <c r="AAN202" s="159"/>
      <c r="AAO202" s="159"/>
      <c r="AAP202" s="159"/>
      <c r="AAQ202" s="159"/>
      <c r="AAR202" s="159"/>
      <c r="AAS202" s="159"/>
      <c r="AAT202" s="159"/>
      <c r="AAU202" s="159"/>
      <c r="AAV202" s="159"/>
      <c r="AAW202" s="159"/>
      <c r="AAX202" s="159"/>
      <c r="AAY202" s="159"/>
      <c r="AAZ202" s="159"/>
      <c r="ABA202" s="159"/>
      <c r="ABB202" s="159"/>
      <c r="ABC202" s="159"/>
      <c r="ABD202" s="159"/>
      <c r="ABE202" s="159"/>
      <c r="ABF202" s="159"/>
      <c r="ABG202" s="159"/>
      <c r="ABH202" s="159"/>
      <c r="ABI202" s="159"/>
      <c r="ABJ202" s="159"/>
      <c r="ABK202" s="159"/>
      <c r="ABL202" s="159"/>
      <c r="ABM202" s="159"/>
      <c r="ABN202" s="159"/>
      <c r="ABO202" s="159"/>
      <c r="ABP202" s="159"/>
      <c r="ABQ202" s="159"/>
      <c r="ABR202" s="159"/>
      <c r="ABS202" s="159"/>
      <c r="ABT202" s="159"/>
      <c r="ABU202" s="159"/>
      <c r="ABV202" s="159"/>
      <c r="ABW202" s="159"/>
      <c r="ABX202" s="159"/>
      <c r="ABY202" s="159"/>
      <c r="ABZ202" s="159"/>
      <c r="ACA202" s="159"/>
      <c r="ACB202" s="159"/>
      <c r="ACC202" s="159"/>
      <c r="ACD202" s="159"/>
      <c r="ACE202" s="159"/>
      <c r="ACF202" s="159"/>
      <c r="ACG202" s="159"/>
      <c r="ACH202" s="159"/>
      <c r="ACI202" s="159"/>
      <c r="ACJ202" s="159"/>
      <c r="ACK202" s="159"/>
      <c r="ACL202" s="159"/>
      <c r="ACM202" s="159"/>
      <c r="ACN202" s="159"/>
      <c r="ACO202" s="159"/>
      <c r="ACP202" s="159"/>
      <c r="ACQ202" s="159"/>
      <c r="ACR202" s="159"/>
      <c r="ACS202" s="159"/>
      <c r="ACT202" s="159"/>
      <c r="ACU202" s="159"/>
      <c r="ACV202" s="159"/>
      <c r="ACW202" s="159"/>
      <c r="ACX202" s="159"/>
      <c r="ACY202" s="159"/>
      <c r="ACZ202" s="159"/>
      <c r="ADA202" s="159"/>
      <c r="ADB202" s="159"/>
      <c r="ADC202" s="159"/>
      <c r="ADD202" s="159"/>
      <c r="ADE202" s="159"/>
      <c r="ADF202" s="159"/>
      <c r="ADG202" s="159"/>
      <c r="ADH202" s="159"/>
      <c r="ADI202" s="159"/>
      <c r="ADJ202" s="159"/>
      <c r="ADK202" s="159"/>
      <c r="ADL202" s="159"/>
      <c r="ADM202" s="159"/>
      <c r="ADN202" s="159"/>
      <c r="ADO202" s="159"/>
      <c r="ADP202" s="159"/>
      <c r="ADQ202" s="159"/>
      <c r="ADR202" s="159"/>
      <c r="ADS202" s="159"/>
      <c r="ADT202" s="159"/>
      <c r="ADU202" s="159"/>
      <c r="ADV202" s="159"/>
      <c r="ADW202" s="159"/>
      <c r="ADX202" s="159"/>
      <c r="ADY202" s="159"/>
      <c r="ADZ202" s="159"/>
      <c r="AEA202" s="159"/>
      <c r="AEB202" s="159"/>
      <c r="AEC202" s="159"/>
      <c r="AED202" s="159"/>
      <c r="AEE202" s="159"/>
      <c r="AEF202" s="159"/>
      <c r="AEG202" s="159"/>
      <c r="AEH202" s="159"/>
      <c r="AEI202" s="159"/>
      <c r="AEJ202" s="159"/>
      <c r="AEK202" s="159"/>
      <c r="AEL202" s="159"/>
      <c r="AEM202" s="159"/>
      <c r="AEN202" s="159"/>
      <c r="AEO202" s="159"/>
      <c r="AEP202" s="159"/>
      <c r="AEQ202" s="159"/>
      <c r="AER202" s="159"/>
      <c r="AES202" s="159"/>
      <c r="AET202" s="159"/>
      <c r="AEU202" s="159"/>
      <c r="AEV202" s="159"/>
      <c r="AEW202" s="159"/>
      <c r="AEX202" s="159"/>
      <c r="AEY202" s="159"/>
      <c r="AEZ202" s="159"/>
      <c r="AFA202" s="159"/>
      <c r="AFB202" s="159"/>
      <c r="AFC202" s="159"/>
      <c r="AFD202" s="159"/>
      <c r="AFE202" s="159"/>
      <c r="AFF202" s="159"/>
      <c r="AFG202" s="159"/>
      <c r="AFH202" s="159"/>
      <c r="AFI202" s="159"/>
      <c r="AFJ202" s="159"/>
      <c r="AFK202" s="159"/>
      <c r="AFL202" s="159"/>
      <c r="AFM202" s="159"/>
      <c r="AFN202" s="159"/>
      <c r="AFO202" s="159"/>
      <c r="AFP202" s="159"/>
      <c r="AFQ202" s="159"/>
      <c r="AFR202" s="159"/>
      <c r="AFS202" s="159"/>
      <c r="AFT202" s="159"/>
      <c r="AFU202" s="159"/>
      <c r="AFV202" s="159"/>
      <c r="AFW202" s="159"/>
      <c r="AFX202" s="159"/>
      <c r="AFY202" s="159"/>
      <c r="AFZ202" s="159"/>
      <c r="AGA202" s="159"/>
      <c r="AGB202" s="159"/>
      <c r="AGC202" s="159"/>
      <c r="AGD202" s="159"/>
      <c r="AGE202" s="159"/>
      <c r="AGF202" s="159"/>
      <c r="AGG202" s="159"/>
      <c r="AGH202" s="159"/>
      <c r="AGI202" s="159"/>
      <c r="AGJ202" s="159"/>
      <c r="AGK202" s="159"/>
      <c r="AGL202" s="159"/>
      <c r="AGM202" s="159"/>
      <c r="AGN202" s="159"/>
      <c r="AGO202" s="159"/>
      <c r="AGP202" s="159"/>
      <c r="AGQ202" s="159"/>
      <c r="AGR202" s="159"/>
      <c r="AGS202" s="159"/>
      <c r="AGT202" s="159"/>
      <c r="AGU202" s="159"/>
      <c r="AGV202" s="159"/>
      <c r="AGW202" s="159"/>
      <c r="AGX202" s="159"/>
      <c r="AGY202" s="159"/>
      <c r="AGZ202" s="159"/>
      <c r="AHA202" s="159"/>
      <c r="AHB202" s="159"/>
      <c r="AHC202" s="159"/>
      <c r="AHD202" s="159"/>
      <c r="AHE202" s="159"/>
      <c r="AHF202" s="159"/>
      <c r="AHG202" s="159"/>
      <c r="AHH202" s="159"/>
      <c r="AHI202" s="159"/>
      <c r="AHJ202" s="159"/>
      <c r="AHK202" s="159"/>
      <c r="AHL202" s="159"/>
      <c r="AHM202" s="159"/>
      <c r="AHN202" s="159"/>
      <c r="AHO202" s="159"/>
      <c r="AHP202" s="159"/>
      <c r="AHQ202" s="159"/>
      <c r="AHR202" s="159"/>
      <c r="AHS202" s="159"/>
      <c r="AHT202" s="159"/>
      <c r="AHU202" s="159"/>
      <c r="AHV202" s="159"/>
      <c r="AHW202" s="159"/>
      <c r="AHX202" s="159"/>
      <c r="AHY202" s="159"/>
      <c r="AHZ202" s="159"/>
      <c r="AIA202" s="159"/>
      <c r="AIB202" s="159"/>
      <c r="AIC202" s="159"/>
      <c r="AID202" s="159"/>
      <c r="AIE202" s="159"/>
      <c r="AIF202" s="159"/>
      <c r="AIG202" s="159"/>
      <c r="AIH202" s="159"/>
      <c r="AII202" s="159"/>
      <c r="AIJ202" s="159"/>
      <c r="AIK202" s="159"/>
      <c r="AIL202" s="159"/>
      <c r="AIM202" s="159"/>
      <c r="AIN202" s="159"/>
      <c r="AIO202" s="159"/>
      <c r="AIP202" s="159"/>
      <c r="AIQ202" s="159"/>
      <c r="AIR202" s="159"/>
      <c r="AIS202" s="159"/>
      <c r="AIT202" s="159"/>
      <c r="AIU202" s="159"/>
      <c r="AIV202" s="159"/>
      <c r="AIW202" s="159"/>
      <c r="AIX202" s="159"/>
      <c r="AIY202" s="159"/>
      <c r="AIZ202" s="159"/>
      <c r="AJA202" s="159"/>
      <c r="AJB202" s="159"/>
      <c r="AJC202" s="159"/>
      <c r="AJD202" s="159"/>
      <c r="AJE202" s="159"/>
      <c r="AJF202" s="159"/>
      <c r="AJG202" s="159"/>
      <c r="AJH202" s="159"/>
      <c r="AJI202" s="159"/>
      <c r="AJJ202" s="159"/>
      <c r="AJK202" s="159"/>
      <c r="AJL202" s="159"/>
      <c r="AJM202" s="159"/>
      <c r="AJN202" s="159"/>
      <c r="AJO202" s="159"/>
      <c r="AJP202" s="159"/>
      <c r="AJQ202" s="159"/>
      <c r="AJR202" s="159"/>
      <c r="AJS202" s="159"/>
      <c r="AJT202" s="159"/>
      <c r="AJU202" s="159"/>
      <c r="AJV202" s="159"/>
      <c r="AJW202" s="159"/>
      <c r="AJX202" s="159"/>
      <c r="AJY202" s="159"/>
      <c r="AJZ202" s="159"/>
      <c r="AKA202" s="159"/>
      <c r="AKB202" s="159"/>
      <c r="AKC202" s="159"/>
      <c r="AKD202" s="159"/>
      <c r="AKE202" s="159"/>
      <c r="AKF202" s="159"/>
      <c r="AKG202" s="159"/>
      <c r="AKH202" s="159"/>
      <c r="AKI202" s="159"/>
      <c r="AKJ202" s="159"/>
      <c r="AKK202" s="159"/>
      <c r="AKL202" s="159"/>
      <c r="AKM202" s="159"/>
      <c r="AKN202" s="159"/>
      <c r="AKO202" s="159"/>
      <c r="AKP202" s="159"/>
      <c r="AKQ202" s="159"/>
      <c r="AKR202" s="159"/>
      <c r="AKS202" s="159"/>
      <c r="AKT202" s="159"/>
      <c r="AKU202" s="159"/>
      <c r="AKV202" s="159"/>
      <c r="AKW202" s="159"/>
      <c r="AKX202" s="159"/>
      <c r="AKY202" s="159"/>
      <c r="AKZ202" s="159"/>
      <c r="ALA202" s="159"/>
      <c r="ALB202" s="159"/>
      <c r="ALC202" s="159"/>
      <c r="ALD202" s="159"/>
      <c r="ALE202" s="159"/>
      <c r="ALF202" s="159"/>
      <c r="ALG202" s="159"/>
      <c r="ALH202" s="159"/>
      <c r="ALI202" s="159"/>
      <c r="ALJ202" s="159"/>
      <c r="ALK202" s="159"/>
      <c r="ALL202" s="159"/>
      <c r="ALM202" s="159"/>
      <c r="ALN202" s="159"/>
      <c r="ALO202" s="159"/>
      <c r="ALP202" s="159"/>
      <c r="ALQ202" s="159"/>
      <c r="ALR202" s="159"/>
      <c r="ALS202" s="159"/>
      <c r="ALT202" s="159"/>
      <c r="ALU202" s="159"/>
      <c r="ALV202" s="159"/>
      <c r="ALW202" s="159"/>
      <c r="ALX202" s="159"/>
      <c r="ALY202" s="159"/>
      <c r="ALZ202" s="159"/>
      <c r="AMA202" s="159"/>
      <c r="AMB202" s="159"/>
      <c r="AMC202" s="159"/>
      <c r="AMD202" s="159"/>
      <c r="AME202" s="159"/>
      <c r="AMF202" s="159"/>
      <c r="AMG202" s="159"/>
      <c r="AMH202" s="159"/>
      <c r="AMI202" s="159"/>
      <c r="AMJ202" s="159"/>
      <c r="AMK202" s="159"/>
      <c r="AML202" s="159"/>
      <c r="AMM202" s="159"/>
      <c r="AMN202" s="159"/>
      <c r="AMO202" s="159"/>
    </row>
    <row r="203" spans="1:1029" ht="15.75" thickBot="1" x14ac:dyDescent="0.3">
      <c r="A203" s="107">
        <v>46304</v>
      </c>
      <c r="B203" s="69"/>
      <c r="C203" s="69"/>
      <c r="D203" s="108"/>
      <c r="E203" s="109"/>
      <c r="F203" s="110"/>
      <c r="G203" s="110"/>
      <c r="H203" s="148">
        <f t="shared" si="16"/>
        <v>0</v>
      </c>
      <c r="I203" s="116">
        <f>CHOOSE(MATCH(MAX(SUM(H$9:$H202), SUM(P$9:$P202), SUM(T$9:$T202)),CHOOSE({1;2;3}, SUM(H$9:$H202), SUM(P$9:$P202), SUM(T$9:$T202)),0),E203,M203,Q203)</f>
        <v>0</v>
      </c>
      <c r="J203" s="116">
        <f>CHOOSE(MATCH(MAX(SUM($H$9:H202), SUM($P$9:P202), SUM($T$9:T202)),CHOOSE({1;2;3}, SUM($H$9:H202), SUM($P$9:P202), SUM($T$9:T202)),0),F203,N203,R203)</f>
        <v>0</v>
      </c>
      <c r="K203" s="116">
        <f>CHOOSE(MATCH(MAX(SUM($H$9:H202), SUM($P$9:P202), SUM($T$9:T202)),CHOOSE({1;2;3}, SUM($H$9:H202), SUM($P$9:P202), SUM($T$9:T202)),0),G203,O203,S203)</f>
        <v>0</v>
      </c>
      <c r="L203" s="148">
        <f t="shared" si="17"/>
        <v>0</v>
      </c>
      <c r="M203" s="173" t="s">
        <v>64</v>
      </c>
      <c r="N203" s="173" t="s">
        <v>10</v>
      </c>
      <c r="O203" s="173" t="s">
        <v>31</v>
      </c>
      <c r="P203" s="148">
        <f t="shared" si="18"/>
        <v>0</v>
      </c>
      <c r="Q203" s="110"/>
      <c r="R203" s="69"/>
      <c r="S203" s="69"/>
      <c r="T203" s="148">
        <f t="shared" si="19"/>
        <v>0</v>
      </c>
    </row>
    <row r="204" spans="1:1029" ht="15.75" thickTop="1" x14ac:dyDescent="0.25">
      <c r="A204" s="33">
        <v>46307</v>
      </c>
      <c r="B204" s="34"/>
      <c r="C204" s="34"/>
      <c r="D204" s="106"/>
      <c r="E204" s="35"/>
      <c r="F204" s="37"/>
      <c r="G204" s="37"/>
      <c r="H204" s="140">
        <f t="shared" si="16"/>
        <v>0</v>
      </c>
      <c r="I204" s="35">
        <f>CHOOSE(MATCH(MAX(SUM(H$9:$H203), SUM(P$9:$P203), SUM(T$9:$T203)),CHOOSE({1;2;3}, SUM(H$9:$H203), SUM(P$9:$P203), SUM(T$9:$T203)),0),E204,M204,Q204)</f>
        <v>0</v>
      </c>
      <c r="J204" s="37">
        <f>CHOOSE(MATCH(MAX(SUM($H$9:H203), SUM($P$9:P203), SUM($T$9:T203)),CHOOSE({1;2;3}, SUM($H$9:H203), SUM($P$9:P203), SUM($T$9:T203)),0),F204,N204,R204)</f>
        <v>0</v>
      </c>
      <c r="K204" s="37">
        <f>CHOOSE(MATCH(MAX(SUM($H$9:H203), SUM($P$9:P203), SUM($T$9:T203)),CHOOSE({1;2;3}, SUM($H$9:H203), SUM($P$9:P203), SUM($T$9:T203)),0),G204,O204,S204)</f>
        <v>0</v>
      </c>
      <c r="L204" s="140">
        <f t="shared" si="17"/>
        <v>0</v>
      </c>
      <c r="M204" s="37">
        <f>CHOOSE(MATCH(MAX(SUM($H$9:H203), SUM($L$9:L203), SUM($T$9:T203)),CHOOSE({1;2;3}, SUM($H$9:H203), SUM($L$9:L203), SUM($T$9:T203)),0),E204,I204,Q204)</f>
        <v>0</v>
      </c>
      <c r="N204" s="37">
        <f>CHOOSE(MATCH(MAX(SUM($H$9:H203), SUM($L$9:L203), SUM($T$9:T203)),CHOOSE({1;2;3}, SUM($H$9:H203), SUM($L$9:L203), SUM($T$9:T203)),0),F204,J204,R204)</f>
        <v>0</v>
      </c>
      <c r="O204" s="37">
        <f>CHOOSE(MATCH(MAX(SUM($H$9:H203), SUM($L$9:L203), SUM($T$9:T203)),CHOOSE({1;2;3}, SUM($H$9:H203), SUM($L$9:L203), SUM($T$9:T203)),0),G204,K204,S204)</f>
        <v>0</v>
      </c>
      <c r="P204" s="140">
        <f t="shared" si="18"/>
        <v>0</v>
      </c>
      <c r="Q204" s="37"/>
      <c r="R204" s="34"/>
      <c r="S204" s="34"/>
      <c r="T204" s="140">
        <f t="shared" si="19"/>
        <v>0</v>
      </c>
    </row>
    <row r="205" spans="1:1029" x14ac:dyDescent="0.25">
      <c r="A205" s="8">
        <v>46308</v>
      </c>
      <c r="B205" s="16"/>
      <c r="C205" s="16"/>
      <c r="D205" s="105"/>
      <c r="E205" s="18"/>
      <c r="F205" s="19"/>
      <c r="G205" s="19"/>
      <c r="H205" s="17">
        <f t="shared" si="16"/>
        <v>0</v>
      </c>
      <c r="I205" s="11">
        <f>CHOOSE(MATCH(MAX(SUM(H$9:$H204), SUM(P$9:$P204), SUM(T$9:$T204)),CHOOSE({1;2;3}, SUM(H$9:$H204), SUM(P$9:$P204), SUM(T$9:$T204)),0),E205,M205,Q205)</f>
        <v>0</v>
      </c>
      <c r="J205" s="13">
        <f>CHOOSE(MATCH(MAX(SUM($H$9:H204), SUM($P$9:P204), SUM($T$9:T204)),CHOOSE({1;2;3}, SUM($H$9:H204), SUM($P$9:P204), SUM($T$9:T204)),0),F205,N205,R205)</f>
        <v>0</v>
      </c>
      <c r="K205" s="13">
        <f>CHOOSE(MATCH(MAX(SUM($H$9:H204), SUM($P$9:P204), SUM($T$9:T204)),CHOOSE({1;2;3}, SUM($H$9:H204), SUM($P$9:P204), SUM($T$9:T204)),0),G205,O205,S205)</f>
        <v>0</v>
      </c>
      <c r="L205" s="17">
        <f t="shared" si="17"/>
        <v>0</v>
      </c>
      <c r="M205" s="13">
        <f>CHOOSE(MATCH(MAX(SUM($H$9:H204), SUM($L$9:L204), SUM($T$9:T204)),CHOOSE({1;2;3}, SUM($H$9:H204), SUM($L$9:L204), SUM($T$9:T204)),0),E205,I205,Q205)</f>
        <v>0</v>
      </c>
      <c r="N205" s="13">
        <f>CHOOSE(MATCH(MAX(SUM($H$9:H204), SUM($L$9:L204), SUM($T$9:T204)),CHOOSE({1;2;3}, SUM($H$9:H204), SUM($L$9:L204), SUM($T$9:T204)),0),F205,J205,R205)</f>
        <v>0</v>
      </c>
      <c r="O205" s="13">
        <f>CHOOSE(MATCH(MAX(SUM($H$9:H204), SUM($L$9:L204), SUM($T$9:T204)),CHOOSE({1;2;3}, SUM($H$9:H204), SUM($L$9:L204), SUM($T$9:T204)),0),G205,K205,S205)</f>
        <v>0</v>
      </c>
      <c r="P205" s="17">
        <f t="shared" si="18"/>
        <v>0</v>
      </c>
      <c r="Q205" s="19"/>
      <c r="R205" s="16"/>
      <c r="S205" s="16"/>
      <c r="T205" s="17">
        <f t="shared" si="19"/>
        <v>0</v>
      </c>
    </row>
    <row r="206" spans="1:1029" x14ac:dyDescent="0.25">
      <c r="A206" s="8">
        <v>46309</v>
      </c>
      <c r="B206" s="16"/>
      <c r="C206" s="16"/>
      <c r="D206" s="105"/>
      <c r="E206" s="18"/>
      <c r="F206" s="19"/>
      <c r="G206" s="19"/>
      <c r="H206" s="17">
        <f t="shared" si="16"/>
        <v>0</v>
      </c>
      <c r="I206" s="11">
        <f>CHOOSE(MATCH(MAX(SUM(H$9:$H205), SUM(P$9:$P205), SUM(T$9:$T205)),CHOOSE({1;2;3}, SUM(H$9:$H205), SUM(P$9:$P205), SUM(T$9:$T205)),0),E206,M206,Q206)</f>
        <v>0</v>
      </c>
      <c r="J206" s="13">
        <f>CHOOSE(MATCH(MAX(SUM($H$9:H205), SUM($P$9:P205), SUM($T$9:T205)),CHOOSE({1;2;3}, SUM($H$9:H205), SUM($P$9:P205), SUM($T$9:T205)),0),F206,N206,R206)</f>
        <v>0</v>
      </c>
      <c r="K206" s="13">
        <f>CHOOSE(MATCH(MAX(SUM($H$9:H205), SUM($P$9:P205), SUM($T$9:T205)),CHOOSE({1;2;3}, SUM($H$9:H205), SUM($P$9:P205), SUM($T$9:T205)),0),G206,O206,S206)</f>
        <v>0</v>
      </c>
      <c r="L206" s="17">
        <f t="shared" si="17"/>
        <v>0</v>
      </c>
      <c r="M206" s="13">
        <f>CHOOSE(MATCH(MAX(SUM($H$9:H205), SUM($L$9:L205), SUM($T$9:T205)),CHOOSE({1;2;3}, SUM($H$9:H205), SUM($L$9:L205), SUM($T$9:T205)),0),E206,I206,Q206)</f>
        <v>0</v>
      </c>
      <c r="N206" s="13">
        <f>CHOOSE(MATCH(MAX(SUM($H$9:H205), SUM($L$9:L205), SUM($T$9:T205)),CHOOSE({1;2;3}, SUM($H$9:H205), SUM($L$9:L205), SUM($T$9:T205)),0),F206,J206,R206)</f>
        <v>0</v>
      </c>
      <c r="O206" s="13">
        <f>CHOOSE(MATCH(MAX(SUM($H$9:H205), SUM($L$9:L205), SUM($T$9:T205)),CHOOSE({1;2;3}, SUM($H$9:H205), SUM($L$9:L205), SUM($T$9:T205)),0),G206,K206,S206)</f>
        <v>0</v>
      </c>
      <c r="P206" s="17">
        <f t="shared" si="18"/>
        <v>0</v>
      </c>
      <c r="Q206" s="19"/>
      <c r="R206" s="16"/>
      <c r="S206" s="16"/>
      <c r="T206" s="17">
        <f t="shared" si="19"/>
        <v>0</v>
      </c>
    </row>
    <row r="207" spans="1:1029" x14ac:dyDescent="0.25">
      <c r="A207" s="8">
        <v>46310</v>
      </c>
      <c r="B207" s="16"/>
      <c r="C207" s="16"/>
      <c r="D207" s="105"/>
      <c r="E207" s="18"/>
      <c r="F207" s="19"/>
      <c r="G207" s="19"/>
      <c r="H207" s="17">
        <f t="shared" si="16"/>
        <v>0</v>
      </c>
      <c r="I207" s="11">
        <f>CHOOSE(MATCH(MAX(SUM(H$9:$H206), SUM(P$9:$P206), SUM(T$9:$T206)),CHOOSE({1;2;3}, SUM(H$9:$H206), SUM(P$9:$P206), SUM(T$9:$T206)),0),E207,M207,Q207)</f>
        <v>0</v>
      </c>
      <c r="J207" s="13">
        <f>CHOOSE(MATCH(MAX(SUM($H$9:H206), SUM($P$9:P206), SUM($T$9:T206)),CHOOSE({1;2;3}, SUM($H$9:H206), SUM($P$9:P206), SUM($T$9:T206)),0),F207,N207,R207)</f>
        <v>0</v>
      </c>
      <c r="K207" s="13">
        <f>CHOOSE(MATCH(MAX(SUM($H$9:H206), SUM($P$9:P206), SUM($T$9:T206)),CHOOSE({1;2;3}, SUM($H$9:H206), SUM($P$9:P206), SUM($T$9:T206)),0),G207,O207,S207)</f>
        <v>0</v>
      </c>
      <c r="L207" s="17">
        <f t="shared" si="17"/>
        <v>0</v>
      </c>
      <c r="M207" s="13">
        <f>CHOOSE(MATCH(MAX(SUM($H$9:H206), SUM($L$9:L206), SUM($T$9:T206)),CHOOSE({1;2;3}, SUM($H$9:H206), SUM($L$9:L206), SUM($T$9:T206)),0),E207,I207,Q207)</f>
        <v>0</v>
      </c>
      <c r="N207" s="13">
        <f>CHOOSE(MATCH(MAX(SUM($H$9:H206), SUM($L$9:L206), SUM($T$9:T206)),CHOOSE({1;2;3}, SUM($H$9:H206), SUM($L$9:L206), SUM($T$9:T206)),0),F207,J207,R207)</f>
        <v>0</v>
      </c>
      <c r="O207" s="13">
        <f>CHOOSE(MATCH(MAX(SUM($H$9:H206), SUM($L$9:L206), SUM($T$9:T206)),CHOOSE({1;2;3}, SUM($H$9:H206), SUM($L$9:L206), SUM($T$9:T206)),0),G207,K207,S207)</f>
        <v>0</v>
      </c>
      <c r="P207" s="17">
        <f t="shared" si="18"/>
        <v>0</v>
      </c>
      <c r="Q207" s="19"/>
      <c r="R207" s="16"/>
      <c r="S207" s="16"/>
      <c r="T207" s="17">
        <f t="shared" si="19"/>
        <v>0</v>
      </c>
    </row>
    <row r="208" spans="1:1029" ht="15.75" thickBot="1" x14ac:dyDescent="0.3">
      <c r="A208" s="39">
        <v>46311</v>
      </c>
      <c r="B208" s="55"/>
      <c r="C208" s="55"/>
      <c r="D208" s="111"/>
      <c r="E208" s="112"/>
      <c r="F208" s="44"/>
      <c r="G208" s="44"/>
      <c r="H208" s="142">
        <f t="shared" si="16"/>
        <v>0</v>
      </c>
      <c r="I208" s="104">
        <f>CHOOSE(MATCH(MAX(SUM(H$9:$H207), SUM(P$9:$P207), SUM(T$9:$T207)),CHOOSE({1;2;3}, SUM(H$9:$H207), SUM(P$9:$P207), SUM(T$9:$T207)),0),E208,M208,Q208)</f>
        <v>0</v>
      </c>
      <c r="J208" s="103">
        <f>CHOOSE(MATCH(MAX(SUM($H$9:H207), SUM($P$9:P207), SUM($T$9:T207)),CHOOSE({1;2;3}, SUM($H$9:H207), SUM($P$9:P207), SUM($T$9:T207)),0),F208,N208,R208)</f>
        <v>0</v>
      </c>
      <c r="K208" s="103">
        <f>CHOOSE(MATCH(MAX(SUM($H$9:H207), SUM($P$9:P207), SUM($T$9:T207)),CHOOSE({1;2;3}, SUM($H$9:H207), SUM($P$9:P207), SUM($T$9:T207)),0),G208,O208,S208)</f>
        <v>0</v>
      </c>
      <c r="L208" s="142">
        <f t="shared" si="17"/>
        <v>0</v>
      </c>
      <c r="M208" s="103">
        <f>CHOOSE(MATCH(MAX(SUM($H$9:H207), SUM($L$9:L207), SUM($T$9:T207)),CHOOSE({1;2;3}, SUM($H$9:H207), SUM($L$9:L207), SUM($T$9:T207)),0),E208,I208,Q208)</f>
        <v>0</v>
      </c>
      <c r="N208" s="103">
        <f>CHOOSE(MATCH(MAX(SUM($H$9:H207), SUM($L$9:L207), SUM($T$9:T207)),CHOOSE({1;2;3}, SUM($H$9:H207), SUM($L$9:L207), SUM($T$9:T207)),0),F208,J208,R208)</f>
        <v>0</v>
      </c>
      <c r="O208" s="103">
        <f>CHOOSE(MATCH(MAX(SUM($H$9:H207), SUM($L$9:L207), SUM($T$9:T207)),CHOOSE({1;2;3}, SUM($H$9:H207), SUM($L$9:L207), SUM($T$9:T207)),0),G208,K208,S208)</f>
        <v>0</v>
      </c>
      <c r="P208" s="142">
        <f t="shared" si="18"/>
        <v>0</v>
      </c>
      <c r="Q208" s="44"/>
      <c r="R208" s="55"/>
      <c r="S208" s="55"/>
      <c r="T208" s="142">
        <f t="shared" si="19"/>
        <v>0</v>
      </c>
    </row>
    <row r="209" spans="1:20" ht="15.75" thickTop="1" x14ac:dyDescent="0.25">
      <c r="A209" s="8">
        <v>46314</v>
      </c>
      <c r="B209" s="9"/>
      <c r="C209" s="9"/>
      <c r="D209" s="101"/>
      <c r="E209" s="11"/>
      <c r="F209" s="13"/>
      <c r="G209" s="13"/>
      <c r="H209" s="10">
        <f t="shared" si="16"/>
        <v>0</v>
      </c>
      <c r="I209" s="13">
        <f>CHOOSE(MATCH(MAX(SUM(H$9:$H208), SUM(P$9:$P208), SUM(T$9:$T208)),CHOOSE({1;2;3}, SUM(H$9:$H208), SUM(P$9:$P208), SUM(T$9:$T208)),0),E209,M209,Q209)</f>
        <v>0</v>
      </c>
      <c r="J209" s="13">
        <f>CHOOSE(MATCH(MAX(SUM($H$9:H208), SUM($P$9:P208), SUM($T$9:T208)),CHOOSE({1;2;3}, SUM($H$9:H208), SUM($P$9:P208), SUM($T$9:T208)),0),F209,N209,R209)</f>
        <v>0</v>
      </c>
      <c r="K209" s="13">
        <f>CHOOSE(MATCH(MAX(SUM($H$9:H208), SUM($P$9:P208), SUM($T$9:T208)),CHOOSE({1;2;3}, SUM($H$9:H208), SUM($P$9:P208), SUM($T$9:T208)),0),G209,O209,S209)</f>
        <v>0</v>
      </c>
      <c r="L209" s="10">
        <f t="shared" si="17"/>
        <v>0</v>
      </c>
      <c r="M209" s="13">
        <f>CHOOSE(MATCH(MAX(SUM($H$9:H208), SUM($L$9:L208), SUM($T$9:T208)),CHOOSE({1;2;3}, SUM($H$9:H208), SUM($L$9:L208), SUM($T$9:T208)),0),E209,I209,Q209)</f>
        <v>0</v>
      </c>
      <c r="N209" s="13">
        <f>CHOOSE(MATCH(MAX(SUM($H$9:H208), SUM($L$9:L208), SUM($T$9:T208)),CHOOSE({1;2;3}, SUM($H$9:H208), SUM($L$9:L208), SUM($T$9:T208)),0),F209,J209,R209)</f>
        <v>0</v>
      </c>
      <c r="O209" s="13">
        <f>CHOOSE(MATCH(MAX(SUM($H$9:H208), SUM($L$9:L208), SUM($T$9:T208)),CHOOSE({1;2;3}, SUM($H$9:H208), SUM($L$9:L208), SUM($T$9:T208)),0),G209,K209,S209)</f>
        <v>0</v>
      </c>
      <c r="P209" s="10">
        <f t="shared" si="18"/>
        <v>0</v>
      </c>
      <c r="Q209" s="13"/>
      <c r="R209" s="9"/>
      <c r="S209" s="9"/>
      <c r="T209" s="10">
        <f t="shared" si="19"/>
        <v>0</v>
      </c>
    </row>
    <row r="210" spans="1:20" x14ac:dyDescent="0.25">
      <c r="A210" s="8">
        <v>46315</v>
      </c>
      <c r="B210" s="16"/>
      <c r="C210" s="16"/>
      <c r="D210" s="105"/>
      <c r="E210" s="18"/>
      <c r="F210" s="19"/>
      <c r="G210" s="19"/>
      <c r="H210" s="17">
        <f t="shared" si="16"/>
        <v>0</v>
      </c>
      <c r="I210" s="13">
        <f>CHOOSE(MATCH(MAX(SUM(H$9:$H209), SUM(P$9:$P209), SUM(T$9:$T209)),CHOOSE({1;2;3}, SUM(H$9:$H209), SUM(P$9:$P209), SUM(T$9:$T209)),0),E210,M210,Q210)</f>
        <v>0</v>
      </c>
      <c r="J210" s="13">
        <f>CHOOSE(MATCH(MAX(SUM($H$9:H209), SUM($P$9:P209), SUM($T$9:T209)),CHOOSE({1;2;3}, SUM($H$9:H209), SUM($P$9:P209), SUM($T$9:T209)),0),F210,N210,R210)</f>
        <v>0</v>
      </c>
      <c r="K210" s="13">
        <f>CHOOSE(MATCH(MAX(SUM($H$9:H209), SUM($P$9:P209), SUM($T$9:T209)),CHOOSE({1;2;3}, SUM($H$9:H209), SUM($P$9:P209), SUM($T$9:T209)),0),G210,O210,S210)</f>
        <v>0</v>
      </c>
      <c r="L210" s="17">
        <f t="shared" si="17"/>
        <v>0</v>
      </c>
      <c r="M210" s="13">
        <f>CHOOSE(MATCH(MAX(SUM($H$9:H209), SUM($L$9:L209), SUM($T$9:T209)),CHOOSE({1;2;3}, SUM($H$9:H209), SUM($L$9:L209), SUM($T$9:T209)),0),E210,I210,Q210)</f>
        <v>0</v>
      </c>
      <c r="N210" s="13">
        <f>CHOOSE(MATCH(MAX(SUM($H$9:H209), SUM($L$9:L209), SUM($T$9:T209)),CHOOSE({1;2;3}, SUM($H$9:H209), SUM($L$9:L209), SUM($T$9:T209)),0),F210,J210,R210)</f>
        <v>0</v>
      </c>
      <c r="O210" s="13">
        <f>CHOOSE(MATCH(MAX(SUM($H$9:H209), SUM($L$9:L209), SUM($T$9:T209)),CHOOSE({1;2;3}, SUM($H$9:H209), SUM($L$9:L209), SUM($T$9:T209)),0),G210,K210,S210)</f>
        <v>0</v>
      </c>
      <c r="P210" s="17">
        <f t="shared" si="18"/>
        <v>0</v>
      </c>
      <c r="Q210" s="19"/>
      <c r="R210" s="16"/>
      <c r="S210" s="16"/>
      <c r="T210" s="17">
        <f t="shared" si="19"/>
        <v>0</v>
      </c>
    </row>
    <row r="211" spans="1:20" x14ac:dyDescent="0.25">
      <c r="A211" s="8">
        <v>46316</v>
      </c>
      <c r="B211" s="16"/>
      <c r="C211" s="16"/>
      <c r="D211" s="105"/>
      <c r="E211" s="18"/>
      <c r="F211" s="19"/>
      <c r="G211" s="19"/>
      <c r="H211" s="17">
        <f t="shared" si="16"/>
        <v>0</v>
      </c>
      <c r="I211" s="13">
        <f>CHOOSE(MATCH(MAX(SUM(H$9:$H210), SUM(P$9:$P210), SUM(T$9:$T210)),CHOOSE({1;2;3}, SUM(H$9:$H210), SUM(P$9:$P210), SUM(T$9:$T210)),0),E211,M211,Q211)</f>
        <v>0</v>
      </c>
      <c r="J211" s="13">
        <f>CHOOSE(MATCH(MAX(SUM($H$9:H210), SUM($P$9:P210), SUM($T$9:T210)),CHOOSE({1;2;3}, SUM($H$9:H210), SUM($P$9:P210), SUM($T$9:T210)),0),F211,N211,R211)</f>
        <v>0</v>
      </c>
      <c r="K211" s="13">
        <f>CHOOSE(MATCH(MAX(SUM($H$9:H210), SUM($P$9:P210), SUM($T$9:T210)),CHOOSE({1;2;3}, SUM($H$9:H210), SUM($P$9:P210), SUM($T$9:T210)),0),G211,O211,S211)</f>
        <v>0</v>
      </c>
      <c r="L211" s="17">
        <f t="shared" si="17"/>
        <v>0</v>
      </c>
      <c r="M211" s="13">
        <f>CHOOSE(MATCH(MAX(SUM($H$9:H210), SUM($L$9:L210), SUM($T$9:T210)),CHOOSE({1;2;3}, SUM($H$9:H210), SUM($L$9:L210), SUM($T$9:T210)),0),E211,I211,Q211)</f>
        <v>0</v>
      </c>
      <c r="N211" s="13">
        <f>CHOOSE(MATCH(MAX(SUM($H$9:H210), SUM($L$9:L210), SUM($T$9:T210)),CHOOSE({1;2;3}, SUM($H$9:H210), SUM($L$9:L210), SUM($T$9:T210)),0),F211,J211,R211)</f>
        <v>0</v>
      </c>
      <c r="O211" s="13">
        <f>CHOOSE(MATCH(MAX(SUM($H$9:H210), SUM($L$9:L210), SUM($T$9:T210)),CHOOSE({1;2;3}, SUM($H$9:H210), SUM($L$9:L210), SUM($T$9:T210)),0),G211,K211,S211)</f>
        <v>0</v>
      </c>
      <c r="P211" s="17">
        <f t="shared" si="18"/>
        <v>0</v>
      </c>
      <c r="Q211" s="19"/>
      <c r="R211" s="16"/>
      <c r="S211" s="16"/>
      <c r="T211" s="17">
        <f t="shared" si="19"/>
        <v>0</v>
      </c>
    </row>
    <row r="212" spans="1:20" x14ac:dyDescent="0.25">
      <c r="A212" s="8">
        <v>46317</v>
      </c>
      <c r="B212" s="16"/>
      <c r="C212" s="16"/>
      <c r="D212" s="105"/>
      <c r="E212" s="18"/>
      <c r="F212" s="19"/>
      <c r="G212" s="19"/>
      <c r="H212" s="17">
        <f t="shared" si="16"/>
        <v>0</v>
      </c>
      <c r="I212" s="13">
        <f>CHOOSE(MATCH(MAX(SUM(H$9:$H211), SUM(P$9:$P211), SUM(T$9:$T211)),CHOOSE({1;2;3}, SUM(H$9:$H211), SUM(P$9:$P211), SUM(T$9:$T211)),0),E212,M212,Q212)</f>
        <v>0</v>
      </c>
      <c r="J212" s="13">
        <f>CHOOSE(MATCH(MAX(SUM($H$9:H211), SUM($P$9:P211), SUM($T$9:T211)),CHOOSE({1;2;3}, SUM($H$9:H211), SUM($P$9:P211), SUM($T$9:T211)),0),F212,N212,R212)</f>
        <v>0</v>
      </c>
      <c r="K212" s="13">
        <f>CHOOSE(MATCH(MAX(SUM($H$9:H211), SUM($P$9:P211), SUM($T$9:T211)),CHOOSE({1;2;3}, SUM($H$9:H211), SUM($P$9:P211), SUM($T$9:T211)),0),G212,O212,S212)</f>
        <v>0</v>
      </c>
      <c r="L212" s="17">
        <f t="shared" si="17"/>
        <v>0</v>
      </c>
      <c r="M212" s="13">
        <f>CHOOSE(MATCH(MAX(SUM($H$9:H211), SUM($L$9:L211), SUM($T$9:T211)),CHOOSE({1;2;3}, SUM($H$9:H211), SUM($L$9:L211), SUM($T$9:T211)),0),E212,I212,Q212)</f>
        <v>0</v>
      </c>
      <c r="N212" s="13">
        <f>CHOOSE(MATCH(MAX(SUM($H$9:H211), SUM($L$9:L211), SUM($T$9:T211)),CHOOSE({1;2;3}, SUM($H$9:H211), SUM($L$9:L211), SUM($T$9:T211)),0),F212,J212,R212)</f>
        <v>0</v>
      </c>
      <c r="O212" s="13">
        <f>CHOOSE(MATCH(MAX(SUM($H$9:H211), SUM($L$9:L211), SUM($T$9:T211)),CHOOSE({1;2;3}, SUM($H$9:H211), SUM($L$9:L211), SUM($T$9:T211)),0),G212,K212,S212)</f>
        <v>0</v>
      </c>
      <c r="P212" s="17">
        <f t="shared" si="18"/>
        <v>0</v>
      </c>
      <c r="Q212" s="19"/>
      <c r="R212" s="16"/>
      <c r="S212" s="16"/>
      <c r="T212" s="17">
        <f t="shared" si="19"/>
        <v>0</v>
      </c>
    </row>
    <row r="213" spans="1:20" ht="15.75" thickBot="1" x14ac:dyDescent="0.3">
      <c r="A213" s="107">
        <v>46318</v>
      </c>
      <c r="B213" s="69"/>
      <c r="C213" s="69"/>
      <c r="D213" s="108"/>
      <c r="E213" s="109"/>
      <c r="F213" s="110"/>
      <c r="G213" s="110"/>
      <c r="H213" s="148">
        <f t="shared" si="16"/>
        <v>0</v>
      </c>
      <c r="I213" s="116">
        <f>CHOOSE(MATCH(MAX(SUM(H$9:$H212), SUM(P$9:$P212), SUM(T$9:$T212)),CHOOSE({1;2;3}, SUM(H$9:$H212), SUM(P$9:$P212), SUM(T$9:$T212)),0),E213,M213,Q213)</f>
        <v>0</v>
      </c>
      <c r="J213" s="116">
        <f>CHOOSE(MATCH(MAX(SUM($H$9:H212), SUM($P$9:P212), SUM($T$9:T212)),CHOOSE({1;2;3}, SUM($H$9:H212), SUM($P$9:P212), SUM($T$9:T212)),0),F213,N213,R213)</f>
        <v>0</v>
      </c>
      <c r="K213" s="116">
        <f>CHOOSE(MATCH(MAX(SUM($H$9:H212), SUM($P$9:P212), SUM($T$9:T212)),CHOOSE({1;2;3}, SUM($H$9:H212), SUM($P$9:P212), SUM($T$9:T212)),0),G213,O213,S213)</f>
        <v>0</v>
      </c>
      <c r="L213" s="148">
        <f t="shared" si="17"/>
        <v>0</v>
      </c>
      <c r="M213" s="116">
        <f>CHOOSE(MATCH(MAX(SUM($H$9:H212), SUM($L$9:L212), SUM($T$9:T212)),CHOOSE({1;2;3}, SUM($H$9:H212), SUM($L$9:L212), SUM($T$9:T212)),0),E213,I213,Q213)</f>
        <v>0</v>
      </c>
      <c r="N213" s="116">
        <f>CHOOSE(MATCH(MAX(SUM($H$9:H212), SUM($L$9:L212), SUM($T$9:T212)),CHOOSE({1;2;3}, SUM($H$9:H212), SUM($L$9:L212), SUM($T$9:T212)),0),F213,J213,R213)</f>
        <v>0</v>
      </c>
      <c r="O213" s="116">
        <f>CHOOSE(MATCH(MAX(SUM($H$9:H212), SUM($L$9:L212), SUM($T$9:T212)),CHOOSE({1;2;3}, SUM($H$9:H212), SUM($L$9:L212), SUM($T$9:T212)),0),G213,K213,S213)</f>
        <v>0</v>
      </c>
      <c r="P213" s="148">
        <f t="shared" si="18"/>
        <v>0</v>
      </c>
      <c r="Q213" s="110"/>
      <c r="R213" s="69"/>
      <c r="S213" s="69"/>
      <c r="T213" s="148">
        <f t="shared" si="19"/>
        <v>0</v>
      </c>
    </row>
    <row r="214" spans="1:20" ht="15.75" thickTop="1" x14ac:dyDescent="0.25">
      <c r="A214" s="33">
        <v>46321</v>
      </c>
      <c r="B214" s="34"/>
      <c r="C214" s="34"/>
      <c r="D214" s="106"/>
      <c r="E214" s="35"/>
      <c r="F214" s="37"/>
      <c r="G214" s="37"/>
      <c r="H214" s="140">
        <f t="shared" si="16"/>
        <v>0</v>
      </c>
      <c r="I214" s="35">
        <f>CHOOSE(MATCH(MAX(SUM(H$9:$H213), SUM(P$9:$P213), SUM(T$9:$T213)),CHOOSE({1;2;3}, SUM(H$9:$H213), SUM(P$9:$P213), SUM(T$9:$T213)),0),E214,M214,Q214)</f>
        <v>0</v>
      </c>
      <c r="J214" s="37">
        <f>CHOOSE(MATCH(MAX(SUM($H$9:H213), SUM($P$9:P213), SUM($T$9:T213)),CHOOSE({1;2;3}, SUM($H$9:H213), SUM($P$9:P213), SUM($T$9:T213)),0),F214,N214,R214)</f>
        <v>0</v>
      </c>
      <c r="K214" s="37">
        <f>CHOOSE(MATCH(MAX(SUM($H$9:H213), SUM($P$9:P213), SUM($T$9:T213)),CHOOSE({1;2;3}, SUM($H$9:H213), SUM($P$9:P213), SUM($T$9:T213)),0),G214,O214,S214)</f>
        <v>0</v>
      </c>
      <c r="L214" s="140">
        <f t="shared" si="17"/>
        <v>0</v>
      </c>
      <c r="M214" s="37">
        <f>CHOOSE(MATCH(MAX(SUM($H$9:H213), SUM($L$9:L213), SUM($T$9:T213)),CHOOSE({1;2;3}, SUM($H$9:H213), SUM($L$9:L213), SUM($T$9:T213)),0),E214,I214,Q214)</f>
        <v>0</v>
      </c>
      <c r="N214" s="37">
        <f>CHOOSE(MATCH(MAX(SUM($H$9:H213), SUM($L$9:L213), SUM($T$9:T213)),CHOOSE({1;2;3}, SUM($H$9:H213), SUM($L$9:L213), SUM($T$9:T213)),0),F214,J214,R214)</f>
        <v>0</v>
      </c>
      <c r="O214" s="37">
        <f>CHOOSE(MATCH(MAX(SUM($H$9:H213), SUM($L$9:L213), SUM($T$9:T213)),CHOOSE({1;2;3}, SUM($H$9:H213), SUM($L$9:L213), SUM($T$9:T213)),0),G214,K214,S214)</f>
        <v>0</v>
      </c>
      <c r="P214" s="140">
        <f t="shared" si="18"/>
        <v>0</v>
      </c>
      <c r="Q214" s="37"/>
      <c r="R214" s="34"/>
      <c r="S214" s="34"/>
      <c r="T214" s="140">
        <f t="shared" si="19"/>
        <v>0</v>
      </c>
    </row>
    <row r="215" spans="1:20" x14ac:dyDescent="0.25">
      <c r="A215" s="8">
        <v>46322</v>
      </c>
      <c r="B215" s="16"/>
      <c r="C215" s="16"/>
      <c r="D215" s="105"/>
      <c r="E215" s="18"/>
      <c r="F215" s="19"/>
      <c r="G215" s="19"/>
      <c r="H215" s="17">
        <f t="shared" si="16"/>
        <v>0</v>
      </c>
      <c r="I215" s="11">
        <f>CHOOSE(MATCH(MAX(SUM(H$9:$H214), SUM(P$9:$P214), SUM(T$9:$T214)),CHOOSE({1;2;3}, SUM(H$9:$H214), SUM(P$9:$P214), SUM(T$9:$T214)),0),E215,M215,Q215)</f>
        <v>0</v>
      </c>
      <c r="J215" s="13">
        <f>CHOOSE(MATCH(MAX(SUM($H$9:H214), SUM($P$9:P214), SUM($T$9:T214)),CHOOSE({1;2;3}, SUM($H$9:H214), SUM($P$9:P214), SUM($T$9:T214)),0),F215,N215,R215)</f>
        <v>0</v>
      </c>
      <c r="K215" s="13">
        <f>CHOOSE(MATCH(MAX(SUM($H$9:H214), SUM($P$9:P214), SUM($T$9:T214)),CHOOSE({1;2;3}, SUM($H$9:H214), SUM($P$9:P214), SUM($T$9:T214)),0),G215,O215,S215)</f>
        <v>0</v>
      </c>
      <c r="L215" s="17">
        <f t="shared" si="17"/>
        <v>0</v>
      </c>
      <c r="M215" s="13">
        <f>CHOOSE(MATCH(MAX(SUM($H$9:H214), SUM($L$9:L214), SUM($T$9:T214)),CHOOSE({1;2;3}, SUM($H$9:H214), SUM($L$9:L214), SUM($T$9:T214)),0),E215,I215,Q215)</f>
        <v>0</v>
      </c>
      <c r="N215" s="13">
        <f>CHOOSE(MATCH(MAX(SUM($H$9:H214), SUM($L$9:L214), SUM($T$9:T214)),CHOOSE({1;2;3}, SUM($H$9:H214), SUM($L$9:L214), SUM($T$9:T214)),0),F215,J215,R215)</f>
        <v>0</v>
      </c>
      <c r="O215" s="13">
        <f>CHOOSE(MATCH(MAX(SUM($H$9:H214), SUM($L$9:L214), SUM($T$9:T214)),CHOOSE({1;2;3}, SUM($H$9:H214), SUM($L$9:L214), SUM($T$9:T214)),0),G215,K215,S215)</f>
        <v>0</v>
      </c>
      <c r="P215" s="17">
        <f t="shared" si="18"/>
        <v>0</v>
      </c>
      <c r="Q215" s="19"/>
      <c r="R215" s="16"/>
      <c r="S215" s="16"/>
      <c r="T215" s="17">
        <f t="shared" si="19"/>
        <v>0</v>
      </c>
    </row>
    <row r="216" spans="1:20" x14ac:dyDescent="0.25">
      <c r="A216" s="8">
        <v>46323</v>
      </c>
      <c r="B216" s="16"/>
      <c r="C216" s="16"/>
      <c r="D216" s="105"/>
      <c r="E216" s="18"/>
      <c r="F216" s="19"/>
      <c r="G216" s="19"/>
      <c r="H216" s="17">
        <f t="shared" si="16"/>
        <v>0</v>
      </c>
      <c r="I216" s="11">
        <f>CHOOSE(MATCH(MAX(SUM(H$9:$H215), SUM(P$9:$P215), SUM(T$9:$T215)),CHOOSE({1;2;3}, SUM(H$9:$H215), SUM(P$9:$P215), SUM(T$9:$T215)),0),E216,M216,Q216)</f>
        <v>0</v>
      </c>
      <c r="J216" s="13">
        <f>CHOOSE(MATCH(MAX(SUM($H$9:H215), SUM($P$9:P215), SUM($T$9:T215)),CHOOSE({1;2;3}, SUM($H$9:H215), SUM($P$9:P215), SUM($T$9:T215)),0),F216,N216,R216)</f>
        <v>0</v>
      </c>
      <c r="K216" s="13">
        <f>CHOOSE(MATCH(MAX(SUM($H$9:H215), SUM($P$9:P215), SUM($T$9:T215)),CHOOSE({1;2;3}, SUM($H$9:H215), SUM($P$9:P215), SUM($T$9:T215)),0),G216,O216,S216)</f>
        <v>0</v>
      </c>
      <c r="L216" s="17">
        <f t="shared" si="17"/>
        <v>0</v>
      </c>
      <c r="M216" s="13">
        <f>CHOOSE(MATCH(MAX(SUM($H$9:H215), SUM($L$9:L215), SUM($T$9:T215)),CHOOSE({1;2;3}, SUM($H$9:H215), SUM($L$9:L215), SUM($T$9:T215)),0),E216,I216,Q216)</f>
        <v>0</v>
      </c>
      <c r="N216" s="13">
        <f>CHOOSE(MATCH(MAX(SUM($H$9:H215), SUM($L$9:L215), SUM($T$9:T215)),CHOOSE({1;2;3}, SUM($H$9:H215), SUM($L$9:L215), SUM($T$9:T215)),0),F216,J216,R216)</f>
        <v>0</v>
      </c>
      <c r="O216" s="13">
        <f>CHOOSE(MATCH(MAX(SUM($H$9:H215), SUM($L$9:L215), SUM($T$9:T215)),CHOOSE({1;2;3}, SUM($H$9:H215), SUM($L$9:L215), SUM($T$9:T215)),0),G216,K216,S216)</f>
        <v>0</v>
      </c>
      <c r="P216" s="17">
        <f t="shared" si="18"/>
        <v>0</v>
      </c>
      <c r="Q216" s="19"/>
      <c r="R216" s="16"/>
      <c r="S216" s="16"/>
      <c r="T216" s="17">
        <f t="shared" si="19"/>
        <v>0</v>
      </c>
    </row>
    <row r="217" spans="1:20" x14ac:dyDescent="0.25">
      <c r="A217" s="8">
        <v>46324</v>
      </c>
      <c r="B217" s="16"/>
      <c r="C217" s="16"/>
      <c r="D217" s="105"/>
      <c r="E217" s="18"/>
      <c r="F217" s="19"/>
      <c r="G217" s="19"/>
      <c r="H217" s="17">
        <f t="shared" si="16"/>
        <v>0</v>
      </c>
      <c r="I217" s="11">
        <f>CHOOSE(MATCH(MAX(SUM(H$9:$H216), SUM(P$9:$P216), SUM(T$9:$T216)),CHOOSE({1;2;3}, SUM(H$9:$H216), SUM(P$9:$P216), SUM(T$9:$T216)),0),E217,M217,Q217)</f>
        <v>0</v>
      </c>
      <c r="J217" s="13">
        <f>CHOOSE(MATCH(MAX(SUM($H$9:H216), SUM($P$9:P216), SUM($T$9:T216)),CHOOSE({1;2;3}, SUM($H$9:H216), SUM($P$9:P216), SUM($T$9:T216)),0),F217,N217,R217)</f>
        <v>0</v>
      </c>
      <c r="K217" s="13">
        <f>CHOOSE(MATCH(MAX(SUM($H$9:H216), SUM($P$9:P216), SUM($T$9:T216)),CHOOSE({1;2;3}, SUM($H$9:H216), SUM($P$9:P216), SUM($T$9:T216)),0),G217,O217,S217)</f>
        <v>0</v>
      </c>
      <c r="L217" s="17">
        <f t="shared" si="17"/>
        <v>0</v>
      </c>
      <c r="M217" s="13">
        <f>CHOOSE(MATCH(MAX(SUM($H$9:H216), SUM($L$9:L216), SUM($T$9:T216)),CHOOSE({1;2;3}, SUM($H$9:H216), SUM($L$9:L216), SUM($T$9:T216)),0),E217,I217,Q217)</f>
        <v>0</v>
      </c>
      <c r="N217" s="13">
        <f>CHOOSE(MATCH(MAX(SUM($H$9:H216), SUM($L$9:L216), SUM($T$9:T216)),CHOOSE({1;2;3}, SUM($H$9:H216), SUM($L$9:L216), SUM($T$9:T216)),0),F217,J217,R217)</f>
        <v>0</v>
      </c>
      <c r="O217" s="13">
        <f>CHOOSE(MATCH(MAX(SUM($H$9:H216), SUM($L$9:L216), SUM($T$9:T216)),CHOOSE({1;2;3}, SUM($H$9:H216), SUM($L$9:L216), SUM($T$9:T216)),0),G217,K217,S217)</f>
        <v>0</v>
      </c>
      <c r="P217" s="17">
        <f t="shared" si="18"/>
        <v>0</v>
      </c>
      <c r="Q217" s="19"/>
      <c r="R217" s="16"/>
      <c r="S217" s="16"/>
      <c r="T217" s="17">
        <f t="shared" si="19"/>
        <v>0</v>
      </c>
    </row>
    <row r="218" spans="1:20" ht="15.75" thickBot="1" x14ac:dyDescent="0.3">
      <c r="A218" s="39">
        <v>46325</v>
      </c>
      <c r="B218" s="55"/>
      <c r="C218" s="55"/>
      <c r="D218" s="111"/>
      <c r="E218" s="112"/>
      <c r="F218" s="44"/>
      <c r="G218" s="44"/>
      <c r="H218" s="142">
        <f t="shared" si="16"/>
        <v>0</v>
      </c>
      <c r="I218" s="104">
        <f>CHOOSE(MATCH(MAX(SUM(H$9:$H217), SUM(P$9:$P217), SUM(T$9:$T217)),CHOOSE({1;2;3}, SUM(H$9:$H217), SUM(P$9:$P217), SUM(T$9:$T217)),0),E218,M218,Q218)</f>
        <v>0</v>
      </c>
      <c r="J218" s="103">
        <f>CHOOSE(MATCH(MAX(SUM($H$9:H217), SUM($P$9:P217), SUM($T$9:T217)),CHOOSE({1;2;3}, SUM($H$9:H217), SUM($P$9:P217), SUM($T$9:T217)),0),F218,N218,R218)</f>
        <v>0</v>
      </c>
      <c r="K218" s="103">
        <f>CHOOSE(MATCH(MAX(SUM($H$9:H217), SUM($P$9:P217), SUM($T$9:T217)),CHOOSE({1;2;3}, SUM($H$9:H217), SUM($P$9:P217), SUM($T$9:T217)),0),G218,O218,S218)</f>
        <v>0</v>
      </c>
      <c r="L218" s="142">
        <f t="shared" si="17"/>
        <v>0</v>
      </c>
      <c r="M218" s="103">
        <f>CHOOSE(MATCH(MAX(SUM($H$9:H217), SUM($L$9:L217), SUM($T$9:T217)),CHOOSE({1;2;3}, SUM($H$9:H217), SUM($L$9:L217), SUM($T$9:T217)),0),E218,I218,Q218)</f>
        <v>0</v>
      </c>
      <c r="N218" s="103">
        <f>CHOOSE(MATCH(MAX(SUM($H$9:H217), SUM($L$9:L217), SUM($T$9:T217)),CHOOSE({1;2;3}, SUM($H$9:H217), SUM($L$9:L217), SUM($T$9:T217)),0),F218,J218,R218)</f>
        <v>0</v>
      </c>
      <c r="O218" s="103">
        <f>CHOOSE(MATCH(MAX(SUM($H$9:H217), SUM($L$9:L217), SUM($T$9:T217)),CHOOSE({1;2;3}, SUM($H$9:H217), SUM($L$9:L217), SUM($T$9:T217)),0),G218,K218,S218)</f>
        <v>0</v>
      </c>
      <c r="P218" s="142">
        <f t="shared" si="18"/>
        <v>0</v>
      </c>
      <c r="Q218" s="44"/>
      <c r="R218" s="55"/>
      <c r="S218" s="55"/>
      <c r="T218" s="142">
        <f t="shared" si="19"/>
        <v>0</v>
      </c>
    </row>
    <row r="219" spans="1:20" ht="15.75" thickTop="1" x14ac:dyDescent="0.25">
      <c r="A219" s="8">
        <v>46328</v>
      </c>
      <c r="B219" s="9"/>
      <c r="C219" s="9"/>
      <c r="D219" s="101"/>
      <c r="E219" s="11"/>
      <c r="F219" s="13"/>
      <c r="G219" s="13"/>
      <c r="H219" s="10">
        <f t="shared" si="16"/>
        <v>0</v>
      </c>
      <c r="I219" s="13">
        <f>CHOOSE(MATCH(MAX(SUM(H$9:$H218), SUM(P$9:$P218), SUM(T$9:$T218)),CHOOSE({1;2;3}, SUM(H$9:$H218), SUM(P$9:$P218), SUM(T$9:$T218)),0),E219,M219,Q219)</f>
        <v>0</v>
      </c>
      <c r="J219" s="13">
        <f>CHOOSE(MATCH(MAX(SUM($H$9:H218), SUM($P$9:P218), SUM($T$9:T218)),CHOOSE({1;2;3}, SUM($H$9:H218), SUM($P$9:P218), SUM($T$9:T218)),0),F219,N219,R219)</f>
        <v>0</v>
      </c>
      <c r="K219" s="13">
        <f>CHOOSE(MATCH(MAX(SUM($H$9:H218), SUM($P$9:P218), SUM($T$9:T218)),CHOOSE({1;2;3}, SUM($H$9:H218), SUM($P$9:P218), SUM($T$9:T218)),0),G219,O219,S219)</f>
        <v>0</v>
      </c>
      <c r="L219" s="10">
        <f t="shared" si="17"/>
        <v>0</v>
      </c>
      <c r="M219" s="13">
        <f>CHOOSE(MATCH(MAX(SUM($H$9:H218), SUM($L$9:L218), SUM($T$9:T218)),CHOOSE({1;2;3}, SUM($H$9:H218), SUM($L$9:L218), SUM($T$9:T218)),0),E219,I219,Q219)</f>
        <v>0</v>
      </c>
      <c r="N219" s="13">
        <f>CHOOSE(MATCH(MAX(SUM($H$9:H218), SUM($L$9:L218), SUM($T$9:T218)),CHOOSE({1;2;3}, SUM($H$9:H218), SUM($L$9:L218), SUM($T$9:T218)),0),F219,J219,R219)</f>
        <v>0</v>
      </c>
      <c r="O219" s="13">
        <f>CHOOSE(MATCH(MAX(SUM($H$9:H218), SUM($L$9:L218), SUM($T$9:T218)),CHOOSE({1;2;3}, SUM($H$9:H218), SUM($L$9:L218), SUM($T$9:T218)),0),G219,K219,S219)</f>
        <v>0</v>
      </c>
      <c r="P219" s="10">
        <f t="shared" si="18"/>
        <v>0</v>
      </c>
      <c r="Q219" s="13"/>
      <c r="R219" s="9"/>
      <c r="S219" s="9"/>
      <c r="T219" s="10">
        <f t="shared" si="19"/>
        <v>0</v>
      </c>
    </row>
    <row r="220" spans="1:20" x14ac:dyDescent="0.25">
      <c r="A220" s="8">
        <v>46329</v>
      </c>
      <c r="B220" s="16"/>
      <c r="C220" s="16"/>
      <c r="D220" s="105"/>
      <c r="E220" s="18"/>
      <c r="F220" s="19"/>
      <c r="G220" s="19"/>
      <c r="H220" s="17">
        <f t="shared" si="16"/>
        <v>0</v>
      </c>
      <c r="I220" s="13">
        <f>CHOOSE(MATCH(MAX(SUM(H$9:$H219), SUM(P$9:$P219), SUM(T$9:$T219)),CHOOSE({1;2;3}, SUM(H$9:$H219), SUM(P$9:$P219), SUM(T$9:$T219)),0),E220,M220,Q220)</f>
        <v>0</v>
      </c>
      <c r="J220" s="13">
        <f>CHOOSE(MATCH(MAX(SUM($H$9:H219), SUM($P$9:P219), SUM($T$9:T219)),CHOOSE({1;2;3}, SUM($H$9:H219), SUM($P$9:P219), SUM($T$9:T219)),0),F220,N220,R220)</f>
        <v>0</v>
      </c>
      <c r="K220" s="13">
        <f>CHOOSE(MATCH(MAX(SUM($H$9:H219), SUM($P$9:P219), SUM($T$9:T219)),CHOOSE({1;2;3}, SUM($H$9:H219), SUM($P$9:P219), SUM($T$9:T219)),0),G220,O220,S220)</f>
        <v>0</v>
      </c>
      <c r="L220" s="17">
        <f t="shared" si="17"/>
        <v>0</v>
      </c>
      <c r="M220" s="13">
        <f>CHOOSE(MATCH(MAX(SUM($H$9:H219), SUM($L$9:L219), SUM($T$9:T219)),CHOOSE({1;2;3}, SUM($H$9:H219), SUM($L$9:L219), SUM($T$9:T219)),0),E220,I220,Q220)</f>
        <v>0</v>
      </c>
      <c r="N220" s="13">
        <f>CHOOSE(MATCH(MAX(SUM($H$9:H219), SUM($L$9:L219), SUM($T$9:T219)),CHOOSE({1;2;3}, SUM($H$9:H219), SUM($L$9:L219), SUM($T$9:T219)),0),F220,J220,R220)</f>
        <v>0</v>
      </c>
      <c r="O220" s="13">
        <f>CHOOSE(MATCH(MAX(SUM($H$9:H219), SUM($L$9:L219), SUM($T$9:T219)),CHOOSE({1;2;3}, SUM($H$9:H219), SUM($L$9:L219), SUM($T$9:T219)),0),G220,K220,S220)</f>
        <v>0</v>
      </c>
      <c r="P220" s="17">
        <f t="shared" si="18"/>
        <v>0</v>
      </c>
      <c r="Q220" s="19"/>
      <c r="R220" s="16"/>
      <c r="S220" s="16"/>
      <c r="T220" s="17">
        <f t="shared" si="19"/>
        <v>0</v>
      </c>
    </row>
    <row r="221" spans="1:20" x14ac:dyDescent="0.25">
      <c r="A221" s="8">
        <v>46330</v>
      </c>
      <c r="B221" s="16"/>
      <c r="C221" s="16"/>
      <c r="D221" s="105"/>
      <c r="E221" s="18"/>
      <c r="F221" s="19"/>
      <c r="G221" s="19"/>
      <c r="H221" s="17">
        <f t="shared" si="16"/>
        <v>0</v>
      </c>
      <c r="I221" s="13">
        <f>CHOOSE(MATCH(MAX(SUM(H$9:$H220), SUM(P$9:$P220), SUM(T$9:$T220)),CHOOSE({1;2;3}, SUM(H$9:$H220), SUM(P$9:$P220), SUM(T$9:$T220)),0),E221,M221,Q221)</f>
        <v>0</v>
      </c>
      <c r="J221" s="13">
        <f>CHOOSE(MATCH(MAX(SUM($H$9:H220), SUM($P$9:P220), SUM($T$9:T220)),CHOOSE({1;2;3}, SUM($H$9:H220), SUM($P$9:P220), SUM($T$9:T220)),0),F221,N221,R221)</f>
        <v>0</v>
      </c>
      <c r="K221" s="13">
        <f>CHOOSE(MATCH(MAX(SUM($H$9:H220), SUM($P$9:P220), SUM($T$9:T220)),CHOOSE({1;2;3}, SUM($H$9:H220), SUM($P$9:P220), SUM($T$9:T220)),0),G221,O221,S221)</f>
        <v>0</v>
      </c>
      <c r="L221" s="17">
        <f t="shared" si="17"/>
        <v>0</v>
      </c>
      <c r="M221" s="13">
        <f>CHOOSE(MATCH(MAX(SUM($H$9:H220), SUM($L$9:L220), SUM($T$9:T220)),CHOOSE({1;2;3}, SUM($H$9:H220), SUM($L$9:L220), SUM($T$9:T220)),0),E221,I221,Q221)</f>
        <v>0</v>
      </c>
      <c r="N221" s="13">
        <f>CHOOSE(MATCH(MAX(SUM($H$9:H220), SUM($L$9:L220), SUM($T$9:T220)),CHOOSE({1;2;3}, SUM($H$9:H220), SUM($L$9:L220), SUM($T$9:T220)),0),F221,J221,R221)</f>
        <v>0</v>
      </c>
      <c r="O221" s="13">
        <f>CHOOSE(MATCH(MAX(SUM($H$9:H220), SUM($L$9:L220), SUM($T$9:T220)),CHOOSE({1;2;3}, SUM($H$9:H220), SUM($L$9:L220), SUM($T$9:T220)),0),G221,K221,S221)</f>
        <v>0</v>
      </c>
      <c r="P221" s="17">
        <f t="shared" si="18"/>
        <v>0</v>
      </c>
      <c r="Q221" s="19"/>
      <c r="R221" s="16"/>
      <c r="S221" s="16"/>
      <c r="T221" s="17">
        <f t="shared" si="19"/>
        <v>0</v>
      </c>
    </row>
    <row r="222" spans="1:20" x14ac:dyDescent="0.25">
      <c r="A222" s="8">
        <v>46331</v>
      </c>
      <c r="B222" s="16"/>
      <c r="C222" s="16"/>
      <c r="D222" s="105"/>
      <c r="E222" s="18"/>
      <c r="F222" s="19"/>
      <c r="G222" s="19"/>
      <c r="H222" s="17">
        <f t="shared" si="16"/>
        <v>0</v>
      </c>
      <c r="I222" s="13">
        <f>CHOOSE(MATCH(MAX(SUM(H$9:$H221), SUM(P$9:$P221), SUM(T$9:$T221)),CHOOSE({1;2;3}, SUM(H$9:$H221), SUM(P$9:$P221), SUM(T$9:$T221)),0),E222,M222,Q222)</f>
        <v>0</v>
      </c>
      <c r="J222" s="13">
        <f>CHOOSE(MATCH(MAX(SUM($H$9:H221), SUM($P$9:P221), SUM($T$9:T221)),CHOOSE({1;2;3}, SUM($H$9:H221), SUM($P$9:P221), SUM($T$9:T221)),0),F222,N222,R222)</f>
        <v>0</v>
      </c>
      <c r="K222" s="13">
        <f>CHOOSE(MATCH(MAX(SUM($H$9:H221), SUM($P$9:P221), SUM($T$9:T221)),CHOOSE({1;2;3}, SUM($H$9:H221), SUM($P$9:P221), SUM($T$9:T221)),0),G222,O222,S222)</f>
        <v>0</v>
      </c>
      <c r="L222" s="17">
        <f t="shared" si="17"/>
        <v>0</v>
      </c>
      <c r="M222" s="13">
        <f>CHOOSE(MATCH(MAX(SUM($H$9:H221), SUM($L$9:L221), SUM($T$9:T221)),CHOOSE({1;2;3}, SUM($H$9:H221), SUM($L$9:L221), SUM($T$9:T221)),0),E222,I222,Q222)</f>
        <v>0</v>
      </c>
      <c r="N222" s="13">
        <f>CHOOSE(MATCH(MAX(SUM($H$9:H221), SUM($L$9:L221), SUM($T$9:T221)),CHOOSE({1;2;3}, SUM($H$9:H221), SUM($L$9:L221), SUM($T$9:T221)),0),F222,J222,R222)</f>
        <v>0</v>
      </c>
      <c r="O222" s="13">
        <f>CHOOSE(MATCH(MAX(SUM($H$9:H221), SUM($L$9:L221), SUM($T$9:T221)),CHOOSE({1;2;3}, SUM($H$9:H221), SUM($L$9:L221), SUM($T$9:T221)),0),G222,K222,S222)</f>
        <v>0</v>
      </c>
      <c r="P222" s="17">
        <f t="shared" si="18"/>
        <v>0</v>
      </c>
      <c r="Q222" s="19"/>
      <c r="R222" s="16"/>
      <c r="S222" s="16"/>
      <c r="T222" s="17">
        <f t="shared" si="19"/>
        <v>0</v>
      </c>
    </row>
    <row r="223" spans="1:20" ht="15.75" thickBot="1" x14ac:dyDescent="0.3">
      <c r="A223" s="107">
        <v>46332</v>
      </c>
      <c r="B223" s="69"/>
      <c r="C223" s="69"/>
      <c r="D223" s="108"/>
      <c r="E223" s="109"/>
      <c r="F223" s="110"/>
      <c r="G223" s="110"/>
      <c r="H223" s="148">
        <f t="shared" si="16"/>
        <v>0</v>
      </c>
      <c r="I223" s="116">
        <f>CHOOSE(MATCH(MAX(SUM(H$9:$H222), SUM(P$9:$P222), SUM(T$9:$T222)),CHOOSE({1;2;3}, SUM(H$9:$H222), SUM(P$9:$P222), SUM(T$9:$T222)),0),E223,M223,Q223)</f>
        <v>0</v>
      </c>
      <c r="J223" s="116">
        <f>CHOOSE(MATCH(MAX(SUM($H$9:H222), SUM($P$9:P222), SUM($T$9:T222)),CHOOSE({1;2;3}, SUM($H$9:H222), SUM($P$9:P222), SUM($T$9:T222)),0),F223,N223,R223)</f>
        <v>0</v>
      </c>
      <c r="K223" s="116">
        <f>CHOOSE(MATCH(MAX(SUM($H$9:H222), SUM($P$9:P222), SUM($T$9:T222)),CHOOSE({1;2;3}, SUM($H$9:H222), SUM($P$9:P222), SUM($T$9:T222)),0),G223,O223,S223)</f>
        <v>0</v>
      </c>
      <c r="L223" s="148">
        <f t="shared" si="17"/>
        <v>0</v>
      </c>
      <c r="M223" s="116">
        <f>CHOOSE(MATCH(MAX(SUM($H$9:H222), SUM($L$9:L222), SUM($T$9:T222)),CHOOSE({1;2;3}, SUM($H$9:H222), SUM($L$9:L222), SUM($T$9:T222)),0),E223,I223,Q223)</f>
        <v>0</v>
      </c>
      <c r="N223" s="116">
        <f>CHOOSE(MATCH(MAX(SUM($H$9:H222), SUM($L$9:L222), SUM($T$9:T222)),CHOOSE({1;2;3}, SUM($H$9:H222), SUM($L$9:L222), SUM($T$9:T222)),0),F223,J223,R223)</f>
        <v>0</v>
      </c>
      <c r="O223" s="116">
        <f>CHOOSE(MATCH(MAX(SUM($H$9:H222), SUM($L$9:L222), SUM($T$9:T222)),CHOOSE({1;2;3}, SUM($H$9:H222), SUM($L$9:L222), SUM($T$9:T222)),0),G223,K223,S223)</f>
        <v>0</v>
      </c>
      <c r="P223" s="148">
        <f t="shared" si="18"/>
        <v>0</v>
      </c>
      <c r="Q223" s="110"/>
      <c r="R223" s="69"/>
      <c r="S223" s="69"/>
      <c r="T223" s="148">
        <f t="shared" si="19"/>
        <v>0</v>
      </c>
    </row>
    <row r="224" spans="1:20" ht="15.75" thickTop="1" x14ac:dyDescent="0.25">
      <c r="A224" s="33">
        <v>46335</v>
      </c>
      <c r="B224" s="34"/>
      <c r="C224" s="34"/>
      <c r="D224" s="106"/>
      <c r="E224" s="35"/>
      <c r="F224" s="37"/>
      <c r="G224" s="37"/>
      <c r="H224" s="140">
        <f t="shared" si="16"/>
        <v>0</v>
      </c>
      <c r="I224" s="35">
        <f>CHOOSE(MATCH(MAX(SUM(H$9:$H223), SUM(P$9:$P223), SUM(T$9:$T223)),CHOOSE({1;2;3}, SUM(H$9:$H223), SUM(P$9:$P223), SUM(T$9:$T223)),0),E224,M224,Q224)</f>
        <v>0</v>
      </c>
      <c r="J224" s="37">
        <f>CHOOSE(MATCH(MAX(SUM($H$9:H223), SUM($P$9:P223), SUM($T$9:T223)),CHOOSE({1;2;3}, SUM($H$9:H223), SUM($P$9:P223), SUM($T$9:T223)),0),F224,N224,R224)</f>
        <v>0</v>
      </c>
      <c r="K224" s="37">
        <f>CHOOSE(MATCH(MAX(SUM($H$9:H223), SUM($P$9:P223), SUM($T$9:T223)),CHOOSE({1;2;3}, SUM($H$9:H223), SUM($P$9:P223), SUM($T$9:T223)),0),G224,O224,S224)</f>
        <v>0</v>
      </c>
      <c r="L224" s="140">
        <f t="shared" si="17"/>
        <v>0</v>
      </c>
      <c r="M224" s="37">
        <f>CHOOSE(MATCH(MAX(SUM($H$9:H223), SUM($L$9:L223), SUM($T$9:T223)),CHOOSE({1;2;3}, SUM($H$9:H223), SUM($L$9:L223), SUM($T$9:T223)),0),E224,I224,Q224)</f>
        <v>0</v>
      </c>
      <c r="N224" s="37">
        <f>CHOOSE(MATCH(MAX(SUM($H$9:H223), SUM($L$9:L223), SUM($T$9:T223)),CHOOSE({1;2;3}, SUM($H$9:H223), SUM($L$9:L223), SUM($T$9:T223)),0),F224,J224,R224)</f>
        <v>0</v>
      </c>
      <c r="O224" s="37">
        <f>CHOOSE(MATCH(MAX(SUM($H$9:H223), SUM($L$9:L223), SUM($T$9:T223)),CHOOSE({1;2;3}, SUM($H$9:H223), SUM($L$9:L223), SUM($T$9:T223)),0),G224,K224,S224)</f>
        <v>0</v>
      </c>
      <c r="P224" s="140">
        <f t="shared" si="18"/>
        <v>0</v>
      </c>
      <c r="Q224" s="37"/>
      <c r="R224" s="34"/>
      <c r="S224" s="34"/>
      <c r="T224" s="140">
        <f t="shared" si="19"/>
        <v>0</v>
      </c>
    </row>
    <row r="225" spans="1:20" x14ac:dyDescent="0.25">
      <c r="A225" s="8">
        <v>46336</v>
      </c>
      <c r="B225" s="16"/>
      <c r="C225" s="16"/>
      <c r="D225" s="105"/>
      <c r="E225" s="18"/>
      <c r="F225" s="19"/>
      <c r="G225" s="19"/>
      <c r="H225" s="17">
        <f t="shared" si="16"/>
        <v>0</v>
      </c>
      <c r="I225" s="11">
        <f>CHOOSE(MATCH(MAX(SUM(H$9:$H224), SUM(P$9:$P224), SUM(T$9:$T224)),CHOOSE({1;2;3}, SUM(H$9:$H224), SUM(P$9:$P224), SUM(T$9:$T224)),0),E225,M225,Q225)</f>
        <v>0</v>
      </c>
      <c r="J225" s="13">
        <f>CHOOSE(MATCH(MAX(SUM($H$9:H224), SUM($P$9:P224), SUM($T$9:T224)),CHOOSE({1;2;3}, SUM($H$9:H224), SUM($P$9:P224), SUM($T$9:T224)),0),F225,N225,R225)</f>
        <v>0</v>
      </c>
      <c r="K225" s="13">
        <f>CHOOSE(MATCH(MAX(SUM($H$9:H224), SUM($P$9:P224), SUM($T$9:T224)),CHOOSE({1;2;3}, SUM($H$9:H224), SUM($P$9:P224), SUM($T$9:T224)),0),G225,O225,S225)</f>
        <v>0</v>
      </c>
      <c r="L225" s="17">
        <f t="shared" si="17"/>
        <v>0</v>
      </c>
      <c r="M225" s="13">
        <f>CHOOSE(MATCH(MAX(SUM($H$9:H224), SUM($L$9:L224), SUM($T$9:T224)),CHOOSE({1;2;3}, SUM($H$9:H224), SUM($L$9:L224), SUM($T$9:T224)),0),E225,I225,Q225)</f>
        <v>0</v>
      </c>
      <c r="N225" s="13">
        <f>CHOOSE(MATCH(MAX(SUM($H$9:H224), SUM($L$9:L224), SUM($T$9:T224)),CHOOSE({1;2;3}, SUM($H$9:H224), SUM($L$9:L224), SUM($T$9:T224)),0),F225,J225,R225)</f>
        <v>0</v>
      </c>
      <c r="O225" s="13">
        <f>CHOOSE(MATCH(MAX(SUM($H$9:H224), SUM($L$9:L224), SUM($T$9:T224)),CHOOSE({1;2;3}, SUM($H$9:H224), SUM($L$9:L224), SUM($T$9:T224)),0),G225,K225,S225)</f>
        <v>0</v>
      </c>
      <c r="P225" s="17">
        <f t="shared" si="18"/>
        <v>0</v>
      </c>
      <c r="Q225" s="19"/>
      <c r="R225" s="16"/>
      <c r="S225" s="16"/>
      <c r="T225" s="17">
        <f t="shared" si="19"/>
        <v>0</v>
      </c>
    </row>
    <row r="226" spans="1:20" x14ac:dyDescent="0.25">
      <c r="A226" s="8">
        <v>46337</v>
      </c>
      <c r="B226" s="16"/>
      <c r="C226" s="16"/>
      <c r="D226" s="105"/>
      <c r="E226" s="18"/>
      <c r="F226" s="19"/>
      <c r="G226" s="19"/>
      <c r="H226" s="17">
        <f t="shared" si="16"/>
        <v>0</v>
      </c>
      <c r="I226" s="11">
        <f>CHOOSE(MATCH(MAX(SUM(H$9:$H225), SUM(P$9:$P225), SUM(T$9:$T225)),CHOOSE({1;2;3}, SUM(H$9:$H225), SUM(P$9:$P225), SUM(T$9:$T225)),0),E226,M226,Q226)</f>
        <v>0</v>
      </c>
      <c r="J226" s="13">
        <f>CHOOSE(MATCH(MAX(SUM($H$9:H225), SUM($P$9:P225), SUM($T$9:T225)),CHOOSE({1;2;3}, SUM($H$9:H225), SUM($P$9:P225), SUM($T$9:T225)),0),F226,N226,R226)</f>
        <v>0</v>
      </c>
      <c r="K226" s="13">
        <f>CHOOSE(MATCH(MAX(SUM($H$9:H225), SUM($P$9:P225), SUM($T$9:T225)),CHOOSE({1;2;3}, SUM($H$9:H225), SUM($P$9:P225), SUM($T$9:T225)),0),G226,O226,S226)</f>
        <v>0</v>
      </c>
      <c r="L226" s="17">
        <f t="shared" si="17"/>
        <v>0</v>
      </c>
      <c r="M226" s="13">
        <f>CHOOSE(MATCH(MAX(SUM($H$9:H225), SUM($L$9:L225), SUM($T$9:T225)),CHOOSE({1;2;3}, SUM($H$9:H225), SUM($L$9:L225), SUM($T$9:T225)),0),E226,I226,Q226)</f>
        <v>0</v>
      </c>
      <c r="N226" s="13">
        <f>CHOOSE(MATCH(MAX(SUM($H$9:H225), SUM($L$9:L225), SUM($T$9:T225)),CHOOSE({1;2;3}, SUM($H$9:H225), SUM($L$9:L225), SUM($T$9:T225)),0),F226,J226,R226)</f>
        <v>0</v>
      </c>
      <c r="O226" s="13">
        <f>CHOOSE(MATCH(MAX(SUM($H$9:H225), SUM($L$9:L225), SUM($T$9:T225)),CHOOSE({1;2;3}, SUM($H$9:H225), SUM($L$9:L225), SUM($T$9:T225)),0),G226,K226,S226)</f>
        <v>0</v>
      </c>
      <c r="P226" s="17">
        <f t="shared" si="18"/>
        <v>0</v>
      </c>
      <c r="Q226" s="19"/>
      <c r="R226" s="16"/>
      <c r="S226" s="16"/>
      <c r="T226" s="17">
        <f t="shared" si="19"/>
        <v>0</v>
      </c>
    </row>
    <row r="227" spans="1:20" x14ac:dyDescent="0.25">
      <c r="A227" s="8">
        <v>46338</v>
      </c>
      <c r="B227" s="16"/>
      <c r="C227" s="16"/>
      <c r="D227" s="105"/>
      <c r="E227" s="18"/>
      <c r="F227" s="19"/>
      <c r="G227" s="19"/>
      <c r="H227" s="17">
        <f t="shared" si="16"/>
        <v>0</v>
      </c>
      <c r="I227" s="11">
        <f>CHOOSE(MATCH(MAX(SUM(H$9:$H226), SUM(P$9:$P226), SUM(T$9:$T226)),CHOOSE({1;2;3}, SUM(H$9:$H226), SUM(P$9:$P226), SUM(T$9:$T226)),0),E227,M227,Q227)</f>
        <v>0</v>
      </c>
      <c r="J227" s="13">
        <f>CHOOSE(MATCH(MAX(SUM($H$9:H226), SUM($P$9:P226), SUM($T$9:T226)),CHOOSE({1;2;3}, SUM($H$9:H226), SUM($P$9:P226), SUM($T$9:T226)),0),F227,N227,R227)</f>
        <v>0</v>
      </c>
      <c r="K227" s="13">
        <f>CHOOSE(MATCH(MAX(SUM($H$9:H226), SUM($P$9:P226), SUM($T$9:T226)),CHOOSE({1;2;3}, SUM($H$9:H226), SUM($P$9:P226), SUM($T$9:T226)),0),G227,O227,S227)</f>
        <v>0</v>
      </c>
      <c r="L227" s="17">
        <f t="shared" si="17"/>
        <v>0</v>
      </c>
      <c r="M227" s="13">
        <f>CHOOSE(MATCH(MAX(SUM($H$9:H226), SUM($L$9:L226), SUM($T$9:T226)),CHOOSE({1;2;3}, SUM($H$9:H226), SUM($L$9:L226), SUM($T$9:T226)),0),E227,I227,Q227)</f>
        <v>0</v>
      </c>
      <c r="N227" s="13">
        <f>CHOOSE(MATCH(MAX(SUM($H$9:H226), SUM($L$9:L226), SUM($T$9:T226)),CHOOSE({1;2;3}, SUM($H$9:H226), SUM($L$9:L226), SUM($T$9:T226)),0),F227,J227,R227)</f>
        <v>0</v>
      </c>
      <c r="O227" s="13">
        <f>CHOOSE(MATCH(MAX(SUM($H$9:H226), SUM($L$9:L226), SUM($T$9:T226)),CHOOSE({1;2;3}, SUM($H$9:H226), SUM($L$9:L226), SUM($T$9:T226)),0),G227,K227,S227)</f>
        <v>0</v>
      </c>
      <c r="P227" s="17">
        <f t="shared" si="18"/>
        <v>0</v>
      </c>
      <c r="Q227" s="19"/>
      <c r="R227" s="16"/>
      <c r="S227" s="16"/>
      <c r="T227" s="17">
        <f t="shared" si="19"/>
        <v>0</v>
      </c>
    </row>
    <row r="228" spans="1:20" ht="15.75" thickBot="1" x14ac:dyDescent="0.3">
      <c r="A228" s="39">
        <v>46339</v>
      </c>
      <c r="B228" s="55"/>
      <c r="C228" s="55"/>
      <c r="D228" s="111"/>
      <c r="E228" s="112"/>
      <c r="F228" s="44"/>
      <c r="G228" s="44"/>
      <c r="H228" s="142">
        <f t="shared" si="16"/>
        <v>0</v>
      </c>
      <c r="I228" s="104">
        <f>CHOOSE(MATCH(MAX(SUM(H$9:$H227), SUM(P$9:$P227), SUM(T$9:$T227)),CHOOSE({1;2;3}, SUM(H$9:$H227), SUM(P$9:$P227), SUM(T$9:$T227)),0),E228,M228,Q228)</f>
        <v>0</v>
      </c>
      <c r="J228" s="103">
        <f>CHOOSE(MATCH(MAX(SUM($H$9:H227), SUM($P$9:P227), SUM($T$9:T227)),CHOOSE({1;2;3}, SUM($H$9:H227), SUM($P$9:P227), SUM($T$9:T227)),0),F228,N228,R228)</f>
        <v>0</v>
      </c>
      <c r="K228" s="103">
        <f>CHOOSE(MATCH(MAX(SUM($H$9:H227), SUM($P$9:P227), SUM($T$9:T227)),CHOOSE({1;2;3}, SUM($H$9:H227), SUM($P$9:P227), SUM($T$9:T227)),0),G228,O228,S228)</f>
        <v>0</v>
      </c>
      <c r="L228" s="142">
        <f t="shared" si="17"/>
        <v>0</v>
      </c>
      <c r="M228" s="103">
        <f>CHOOSE(MATCH(MAX(SUM($H$9:H227), SUM($L$9:L227), SUM($T$9:T227)),CHOOSE({1;2;3}, SUM($H$9:H227), SUM($L$9:L227), SUM($T$9:T227)),0),E228,I228,Q228)</f>
        <v>0</v>
      </c>
      <c r="N228" s="103">
        <f>CHOOSE(MATCH(MAX(SUM($H$9:H227), SUM($L$9:L227), SUM($T$9:T227)),CHOOSE({1;2;3}, SUM($H$9:H227), SUM($L$9:L227), SUM($T$9:T227)),0),F228,J228,R228)</f>
        <v>0</v>
      </c>
      <c r="O228" s="103">
        <f>CHOOSE(MATCH(MAX(SUM($H$9:H227), SUM($L$9:L227), SUM($T$9:T227)),CHOOSE({1;2;3}, SUM($H$9:H227), SUM($L$9:L227), SUM($T$9:T227)),0),G228,K228,S228)</f>
        <v>0</v>
      </c>
      <c r="P228" s="142">
        <f t="shared" si="18"/>
        <v>0</v>
      </c>
      <c r="Q228" s="44"/>
      <c r="R228" s="55"/>
      <c r="S228" s="55"/>
      <c r="T228" s="142">
        <f t="shared" si="19"/>
        <v>0</v>
      </c>
    </row>
    <row r="229" spans="1:20" ht="15.75" thickTop="1" x14ac:dyDescent="0.25">
      <c r="A229" s="8">
        <v>46342</v>
      </c>
      <c r="B229" s="9"/>
      <c r="C229" s="9"/>
      <c r="D229" s="101"/>
      <c r="E229" s="11"/>
      <c r="F229" s="13"/>
      <c r="G229" s="13"/>
      <c r="H229" s="10">
        <f t="shared" si="16"/>
        <v>0</v>
      </c>
      <c r="I229" s="13">
        <f>CHOOSE(MATCH(MAX(SUM(H$9:$H228), SUM(P$9:$P228), SUM(T$9:$T228)),CHOOSE({1;2;3}, SUM(H$9:$H228), SUM(P$9:$P228), SUM(T$9:$T228)),0),E229,M229,Q229)</f>
        <v>0</v>
      </c>
      <c r="J229" s="13">
        <f>CHOOSE(MATCH(MAX(SUM($H$9:H228), SUM($P$9:P228), SUM($T$9:T228)),CHOOSE({1;2;3}, SUM($H$9:H228), SUM($P$9:P228), SUM($T$9:T228)),0),F229,N229,R229)</f>
        <v>0</v>
      </c>
      <c r="K229" s="13">
        <f>CHOOSE(MATCH(MAX(SUM($H$9:H228), SUM($P$9:P228), SUM($T$9:T228)),CHOOSE({1;2;3}, SUM($H$9:H228), SUM($P$9:P228), SUM($T$9:T228)),0),G229,O229,S229)</f>
        <v>0</v>
      </c>
      <c r="L229" s="10">
        <f t="shared" si="17"/>
        <v>0</v>
      </c>
      <c r="M229" s="13">
        <f>CHOOSE(MATCH(MAX(SUM($H$9:H228), SUM($L$9:L228), SUM($T$9:T228)),CHOOSE({1;2;3}, SUM($H$9:H228), SUM($L$9:L228), SUM($T$9:T228)),0),E229,I229,Q229)</f>
        <v>0</v>
      </c>
      <c r="N229" s="13">
        <f>CHOOSE(MATCH(MAX(SUM($H$9:H228), SUM($L$9:L228), SUM($T$9:T228)),CHOOSE({1;2;3}, SUM($H$9:H228), SUM($L$9:L228), SUM($T$9:T228)),0),F229,J229,R229)</f>
        <v>0</v>
      </c>
      <c r="O229" s="13">
        <f>CHOOSE(MATCH(MAX(SUM($H$9:H228), SUM($L$9:L228), SUM($T$9:T228)),CHOOSE({1;2;3}, SUM($H$9:H228), SUM($L$9:L228), SUM($T$9:T228)),0),G229,K229,S229)</f>
        <v>0</v>
      </c>
      <c r="P229" s="10">
        <f t="shared" si="18"/>
        <v>0</v>
      </c>
      <c r="Q229" s="13"/>
      <c r="R229" s="9"/>
      <c r="S229" s="9"/>
      <c r="T229" s="10">
        <f t="shared" si="19"/>
        <v>0</v>
      </c>
    </row>
    <row r="230" spans="1:20" x14ac:dyDescent="0.25">
      <c r="A230" s="8">
        <v>46343</v>
      </c>
      <c r="B230" s="16"/>
      <c r="C230" s="16"/>
      <c r="D230" s="105"/>
      <c r="E230" s="18"/>
      <c r="F230" s="19"/>
      <c r="G230" s="19"/>
      <c r="H230" s="17">
        <f t="shared" si="16"/>
        <v>0</v>
      </c>
      <c r="I230" s="13">
        <f>CHOOSE(MATCH(MAX(SUM(H$9:$H229), SUM(P$9:$P229), SUM(T$9:$T229)),CHOOSE({1;2;3}, SUM(H$9:$H229), SUM(P$9:$P229), SUM(T$9:$T229)),0),E230,M230,Q230)</f>
        <v>0</v>
      </c>
      <c r="J230" s="13">
        <f>CHOOSE(MATCH(MAX(SUM($H$9:H229), SUM($P$9:P229), SUM($T$9:T229)),CHOOSE({1;2;3}, SUM($H$9:H229), SUM($P$9:P229), SUM($T$9:T229)),0),F230,N230,R230)</f>
        <v>0</v>
      </c>
      <c r="K230" s="13">
        <f>CHOOSE(MATCH(MAX(SUM($H$9:H229), SUM($P$9:P229), SUM($T$9:T229)),CHOOSE({1;2;3}, SUM($H$9:H229), SUM($P$9:P229), SUM($T$9:T229)),0),G230,O230,S230)</f>
        <v>0</v>
      </c>
      <c r="L230" s="17">
        <f t="shared" si="17"/>
        <v>0</v>
      </c>
      <c r="M230" s="13">
        <f>CHOOSE(MATCH(MAX(SUM($H$9:H229), SUM($L$9:L229), SUM($T$9:T229)),CHOOSE({1;2;3}, SUM($H$9:H229), SUM($L$9:L229), SUM($T$9:T229)),0),E230,I230,Q230)</f>
        <v>0</v>
      </c>
      <c r="N230" s="13">
        <f>CHOOSE(MATCH(MAX(SUM($H$9:H229), SUM($L$9:L229), SUM($T$9:T229)),CHOOSE({1;2;3}, SUM($H$9:H229), SUM($L$9:L229), SUM($T$9:T229)),0),F230,J230,R230)</f>
        <v>0</v>
      </c>
      <c r="O230" s="13">
        <f>CHOOSE(MATCH(MAX(SUM($H$9:H229), SUM($L$9:L229), SUM($T$9:T229)),CHOOSE({1;2;3}, SUM($H$9:H229), SUM($L$9:L229), SUM($T$9:T229)),0),G230,K230,S230)</f>
        <v>0</v>
      </c>
      <c r="P230" s="17">
        <f t="shared" si="18"/>
        <v>0</v>
      </c>
      <c r="Q230" s="19"/>
      <c r="R230" s="16"/>
      <c r="S230" s="16"/>
      <c r="T230" s="17">
        <f t="shared" si="19"/>
        <v>0</v>
      </c>
    </row>
    <row r="231" spans="1:20" x14ac:dyDescent="0.25">
      <c r="A231" s="8">
        <v>46344</v>
      </c>
      <c r="B231" s="16"/>
      <c r="C231" s="16"/>
      <c r="D231" s="105"/>
      <c r="E231" s="18"/>
      <c r="F231" s="19"/>
      <c r="G231" s="19"/>
      <c r="H231" s="17">
        <f t="shared" si="16"/>
        <v>0</v>
      </c>
      <c r="I231" s="13">
        <f>CHOOSE(MATCH(MAX(SUM(H$9:$H230), SUM(P$9:$P230), SUM(T$9:$T230)),CHOOSE({1;2;3}, SUM(H$9:$H230), SUM(P$9:$P230), SUM(T$9:$T230)),0),E231,M231,Q231)</f>
        <v>0</v>
      </c>
      <c r="J231" s="13">
        <f>CHOOSE(MATCH(MAX(SUM($H$9:H230), SUM($P$9:P230), SUM($T$9:T230)),CHOOSE({1;2;3}, SUM($H$9:H230), SUM($P$9:P230), SUM($T$9:T230)),0),F231,N231,R231)</f>
        <v>0</v>
      </c>
      <c r="K231" s="13">
        <f>CHOOSE(MATCH(MAX(SUM($H$9:H230), SUM($P$9:P230), SUM($T$9:T230)),CHOOSE({1;2;3}, SUM($H$9:H230), SUM($P$9:P230), SUM($T$9:T230)),0),G231,O231,S231)</f>
        <v>0</v>
      </c>
      <c r="L231" s="17">
        <f t="shared" si="17"/>
        <v>0</v>
      </c>
      <c r="M231" s="13">
        <f>CHOOSE(MATCH(MAX(SUM($H$9:H230), SUM($L$9:L230), SUM($T$9:T230)),CHOOSE({1;2;3}, SUM($H$9:H230), SUM($L$9:L230), SUM($T$9:T230)),0),E231,I231,Q231)</f>
        <v>0</v>
      </c>
      <c r="N231" s="13">
        <f>CHOOSE(MATCH(MAX(SUM($H$9:H230), SUM($L$9:L230), SUM($T$9:T230)),CHOOSE({1;2;3}, SUM($H$9:H230), SUM($L$9:L230), SUM($T$9:T230)),0),F231,J231,R231)</f>
        <v>0</v>
      </c>
      <c r="O231" s="13">
        <f>CHOOSE(MATCH(MAX(SUM($H$9:H230), SUM($L$9:L230), SUM($T$9:T230)),CHOOSE({1;2;3}, SUM($H$9:H230), SUM($L$9:L230), SUM($T$9:T230)),0),G231,K231,S231)</f>
        <v>0</v>
      </c>
      <c r="P231" s="17">
        <f t="shared" si="18"/>
        <v>0</v>
      </c>
      <c r="Q231" s="19"/>
      <c r="R231" s="16"/>
      <c r="S231" s="16"/>
      <c r="T231" s="17">
        <f t="shared" si="19"/>
        <v>0</v>
      </c>
    </row>
    <row r="232" spans="1:20" x14ac:dyDescent="0.25">
      <c r="A232" s="8">
        <v>46345</v>
      </c>
      <c r="B232" s="16"/>
      <c r="C232" s="16"/>
      <c r="D232" s="105"/>
      <c r="E232" s="18"/>
      <c r="F232" s="19"/>
      <c r="G232" s="19"/>
      <c r="H232" s="17">
        <f t="shared" si="16"/>
        <v>0</v>
      </c>
      <c r="I232" s="13">
        <f>CHOOSE(MATCH(MAX(SUM(H$9:$H231), SUM(P$9:$P231), SUM(T$9:$T231)),CHOOSE({1;2;3}, SUM(H$9:$H231), SUM(P$9:$P231), SUM(T$9:$T231)),0),E232,M232,Q232)</f>
        <v>0</v>
      </c>
      <c r="J232" s="13">
        <f>CHOOSE(MATCH(MAX(SUM($H$9:H231), SUM($P$9:P231), SUM($T$9:T231)),CHOOSE({1;2;3}, SUM($H$9:H231), SUM($P$9:P231), SUM($T$9:T231)),0),F232,N232,R232)</f>
        <v>0</v>
      </c>
      <c r="K232" s="13">
        <f>CHOOSE(MATCH(MAX(SUM($H$9:H231), SUM($P$9:P231), SUM($T$9:T231)),CHOOSE({1;2;3}, SUM($H$9:H231), SUM($P$9:P231), SUM($T$9:T231)),0),G232,O232,S232)</f>
        <v>0</v>
      </c>
      <c r="L232" s="17">
        <f t="shared" si="17"/>
        <v>0</v>
      </c>
      <c r="M232" s="13">
        <f>CHOOSE(MATCH(MAX(SUM($H$9:H231), SUM($L$9:L231), SUM($T$9:T231)),CHOOSE({1;2;3}, SUM($H$9:H231), SUM($L$9:L231), SUM($T$9:T231)),0),E232,I232,Q232)</f>
        <v>0</v>
      </c>
      <c r="N232" s="13">
        <f>CHOOSE(MATCH(MAX(SUM($H$9:H231), SUM($L$9:L231), SUM($T$9:T231)),CHOOSE({1;2;3}, SUM($H$9:H231), SUM($L$9:L231), SUM($T$9:T231)),0),F232,J232,R232)</f>
        <v>0</v>
      </c>
      <c r="O232" s="13">
        <f>CHOOSE(MATCH(MAX(SUM($H$9:H231), SUM($L$9:L231), SUM($T$9:T231)),CHOOSE({1;2;3}, SUM($H$9:H231), SUM($L$9:L231), SUM($T$9:T231)),0),G232,K232,S232)</f>
        <v>0</v>
      </c>
      <c r="P232" s="17">
        <f t="shared" si="18"/>
        <v>0</v>
      </c>
      <c r="Q232" s="19"/>
      <c r="R232" s="16"/>
      <c r="S232" s="16"/>
      <c r="T232" s="17">
        <f t="shared" si="19"/>
        <v>0</v>
      </c>
    </row>
    <row r="233" spans="1:20" ht="15.75" thickBot="1" x14ac:dyDescent="0.3">
      <c r="A233" s="107">
        <v>46346</v>
      </c>
      <c r="B233" s="69"/>
      <c r="C233" s="69"/>
      <c r="D233" s="108"/>
      <c r="E233" s="109"/>
      <c r="F233" s="110"/>
      <c r="G233" s="110"/>
      <c r="H233" s="148">
        <f t="shared" si="16"/>
        <v>0</v>
      </c>
      <c r="I233" s="116">
        <f>CHOOSE(MATCH(MAX(SUM(H$9:$H232), SUM(P$9:$P232), SUM(T$9:$T232)),CHOOSE({1;2;3}, SUM(H$9:$H232), SUM(P$9:$P232), SUM(T$9:$T232)),0),E233,M233,Q233)</f>
        <v>0</v>
      </c>
      <c r="J233" s="116">
        <f>CHOOSE(MATCH(MAX(SUM($H$9:H232), SUM($P$9:P232), SUM($T$9:T232)),CHOOSE({1;2;3}, SUM($H$9:H232), SUM($P$9:P232), SUM($T$9:T232)),0),F233,N233,R233)</f>
        <v>0</v>
      </c>
      <c r="K233" s="116">
        <f>CHOOSE(MATCH(MAX(SUM($H$9:H232), SUM($P$9:P232), SUM($T$9:T232)),CHOOSE({1;2;3}, SUM($H$9:H232), SUM($P$9:P232), SUM($T$9:T232)),0),G233,O233,S233)</f>
        <v>0</v>
      </c>
      <c r="L233" s="148">
        <f t="shared" si="17"/>
        <v>0</v>
      </c>
      <c r="M233" s="116">
        <f>CHOOSE(MATCH(MAX(SUM($H$9:H232), SUM($L$9:L232), SUM($T$9:T232)),CHOOSE({1;2;3}, SUM($H$9:H232), SUM($L$9:L232), SUM($T$9:T232)),0),E233,I233,Q233)</f>
        <v>0</v>
      </c>
      <c r="N233" s="116">
        <f>CHOOSE(MATCH(MAX(SUM($H$9:H232), SUM($L$9:L232), SUM($T$9:T232)),CHOOSE({1;2;3}, SUM($H$9:H232), SUM($L$9:L232), SUM($T$9:T232)),0),F233,J233,R233)</f>
        <v>0</v>
      </c>
      <c r="O233" s="116">
        <f>CHOOSE(MATCH(MAX(SUM($H$9:H232), SUM($L$9:L232), SUM($T$9:T232)),CHOOSE({1;2;3}, SUM($H$9:H232), SUM($L$9:L232), SUM($T$9:T232)),0),G233,K233,S233)</f>
        <v>0</v>
      </c>
      <c r="P233" s="148">
        <f t="shared" si="18"/>
        <v>0</v>
      </c>
      <c r="Q233" s="110"/>
      <c r="R233" s="69"/>
      <c r="S233" s="69"/>
      <c r="T233" s="148">
        <f t="shared" si="19"/>
        <v>0</v>
      </c>
    </row>
    <row r="234" spans="1:20" ht="15.75" thickTop="1" x14ac:dyDescent="0.25">
      <c r="A234" s="33">
        <v>46349</v>
      </c>
      <c r="B234" s="34"/>
      <c r="C234" s="34"/>
      <c r="D234" s="106"/>
      <c r="E234" s="35"/>
      <c r="F234" s="37"/>
      <c r="G234" s="37"/>
      <c r="H234" s="140">
        <f t="shared" si="16"/>
        <v>0</v>
      </c>
      <c r="I234" s="35">
        <f>CHOOSE(MATCH(MAX(SUM(H$9:$H233), SUM(P$9:$P233), SUM(T$9:$T233)),CHOOSE({1;2;3}, SUM(H$9:$H233), SUM(P$9:$P233), SUM(T$9:$T233)),0),E234,M234,Q234)</f>
        <v>0</v>
      </c>
      <c r="J234" s="37">
        <f>CHOOSE(MATCH(MAX(SUM($H$9:H233), SUM($P$9:P233), SUM($T$9:T233)),CHOOSE({1;2;3}, SUM($H$9:H233), SUM($P$9:P233), SUM($T$9:T233)),0),F234,N234,R234)</f>
        <v>0</v>
      </c>
      <c r="K234" s="37">
        <f>CHOOSE(MATCH(MAX(SUM($H$9:H233), SUM($P$9:P233), SUM($T$9:T233)),CHOOSE({1;2;3}, SUM($H$9:H233), SUM($P$9:P233), SUM($T$9:T233)),0),G234,O234,S234)</f>
        <v>0</v>
      </c>
      <c r="L234" s="140">
        <f t="shared" si="17"/>
        <v>0</v>
      </c>
      <c r="M234" s="37">
        <f>CHOOSE(MATCH(MAX(SUM($H$9:H233), SUM($L$9:L233), SUM($T$9:T233)),CHOOSE({1;2;3}, SUM($H$9:H233), SUM($L$9:L233), SUM($T$9:T233)),0),E234,I234,Q234)</f>
        <v>0</v>
      </c>
      <c r="N234" s="37">
        <f>CHOOSE(MATCH(MAX(SUM($H$9:H233), SUM($L$9:L233), SUM($T$9:T233)),CHOOSE({1;2;3}, SUM($H$9:H233), SUM($L$9:L233), SUM($T$9:T233)),0),F234,J234,R234)</f>
        <v>0</v>
      </c>
      <c r="O234" s="37">
        <f>CHOOSE(MATCH(MAX(SUM($H$9:H233), SUM($L$9:L233), SUM($T$9:T233)),CHOOSE({1;2;3}, SUM($H$9:H233), SUM($L$9:L233), SUM($T$9:T233)),0),G234,K234,S234)</f>
        <v>0</v>
      </c>
      <c r="P234" s="140">
        <f t="shared" si="18"/>
        <v>0</v>
      </c>
      <c r="Q234" s="37"/>
      <c r="R234" s="34"/>
      <c r="S234" s="34"/>
      <c r="T234" s="140">
        <f t="shared" si="19"/>
        <v>0</v>
      </c>
    </row>
    <row r="235" spans="1:20" x14ac:dyDescent="0.25">
      <c r="A235" s="8">
        <v>46350</v>
      </c>
      <c r="B235" s="16"/>
      <c r="C235" s="16"/>
      <c r="D235" s="105"/>
      <c r="E235" s="18"/>
      <c r="F235" s="19"/>
      <c r="G235" s="19"/>
      <c r="H235" s="17">
        <f t="shared" si="16"/>
        <v>0</v>
      </c>
      <c r="I235" s="11">
        <f>CHOOSE(MATCH(MAX(SUM(H$9:$H234), SUM(P$9:$P234), SUM(T$9:$T234)),CHOOSE({1;2;3}, SUM(H$9:$H234), SUM(P$9:$P234), SUM(T$9:$T234)),0),E235,M235,Q235)</f>
        <v>0</v>
      </c>
      <c r="J235" s="13">
        <f>CHOOSE(MATCH(MAX(SUM($H$9:H234), SUM($P$9:P234), SUM($T$9:T234)),CHOOSE({1;2;3}, SUM($H$9:H234), SUM($P$9:P234), SUM($T$9:T234)),0),F235,N235,R235)</f>
        <v>0</v>
      </c>
      <c r="K235" s="13">
        <f>CHOOSE(MATCH(MAX(SUM($H$9:H234), SUM($P$9:P234), SUM($T$9:T234)),CHOOSE({1;2;3}, SUM($H$9:H234), SUM($P$9:P234), SUM($T$9:T234)),0),G235,O235,S235)</f>
        <v>0</v>
      </c>
      <c r="L235" s="17">
        <f t="shared" si="17"/>
        <v>0</v>
      </c>
      <c r="M235" s="13">
        <f>CHOOSE(MATCH(MAX(SUM($H$9:H234), SUM($L$9:L234), SUM($T$9:T234)),CHOOSE({1;2;3}, SUM($H$9:H234), SUM($L$9:L234), SUM($T$9:T234)),0),E235,I235,Q235)</f>
        <v>0</v>
      </c>
      <c r="N235" s="13">
        <f>CHOOSE(MATCH(MAX(SUM($H$9:H234), SUM($L$9:L234), SUM($T$9:T234)),CHOOSE({1;2;3}, SUM($H$9:H234), SUM($L$9:L234), SUM($T$9:T234)),0),F235,J235,R235)</f>
        <v>0</v>
      </c>
      <c r="O235" s="13">
        <f>CHOOSE(MATCH(MAX(SUM($H$9:H234), SUM($L$9:L234), SUM($T$9:T234)),CHOOSE({1;2;3}, SUM($H$9:H234), SUM($L$9:L234), SUM($T$9:T234)),0),G235,K235,S235)</f>
        <v>0</v>
      </c>
      <c r="P235" s="17">
        <f t="shared" si="18"/>
        <v>0</v>
      </c>
      <c r="Q235" s="19"/>
      <c r="R235" s="16"/>
      <c r="S235" s="16"/>
      <c r="T235" s="17">
        <f t="shared" si="19"/>
        <v>0</v>
      </c>
    </row>
    <row r="236" spans="1:20" x14ac:dyDescent="0.25">
      <c r="A236" s="8">
        <v>46351</v>
      </c>
      <c r="B236" s="16"/>
      <c r="C236" s="16"/>
      <c r="D236" s="105"/>
      <c r="E236" s="18"/>
      <c r="F236" s="19"/>
      <c r="G236" s="19"/>
      <c r="H236" s="17">
        <f t="shared" si="16"/>
        <v>0</v>
      </c>
      <c r="I236" s="11">
        <f>CHOOSE(MATCH(MAX(SUM(H$9:$H235), SUM(P$9:$P235), SUM(T$9:$T235)),CHOOSE({1;2;3}, SUM(H$9:$H235), SUM(P$9:$P235), SUM(T$9:$T235)),0),E236,M236,Q236)</f>
        <v>0</v>
      </c>
      <c r="J236" s="13">
        <f>CHOOSE(MATCH(MAX(SUM($H$9:H235), SUM($P$9:P235), SUM($T$9:T235)),CHOOSE({1;2;3}, SUM($H$9:H235), SUM($P$9:P235), SUM($T$9:T235)),0),F236,N236,R236)</f>
        <v>0</v>
      </c>
      <c r="K236" s="13">
        <f>CHOOSE(MATCH(MAX(SUM($H$9:H235), SUM($P$9:P235), SUM($T$9:T235)),CHOOSE({1;2;3}, SUM($H$9:H235), SUM($P$9:P235), SUM($T$9:T235)),0),G236,O236,S236)</f>
        <v>0</v>
      </c>
      <c r="L236" s="17">
        <f t="shared" si="17"/>
        <v>0</v>
      </c>
      <c r="M236" s="13">
        <f>CHOOSE(MATCH(MAX(SUM($H$9:H235), SUM($L$9:L235), SUM($T$9:T235)),CHOOSE({1;2;3}, SUM($H$9:H235), SUM($L$9:L235), SUM($T$9:T235)),0),E236,I236,Q236)</f>
        <v>0</v>
      </c>
      <c r="N236" s="13">
        <f>CHOOSE(MATCH(MAX(SUM($H$9:H235), SUM($L$9:L235), SUM($T$9:T235)),CHOOSE({1;2;3}, SUM($H$9:H235), SUM($L$9:L235), SUM($T$9:T235)),0),F236,J236,R236)</f>
        <v>0</v>
      </c>
      <c r="O236" s="13">
        <f>CHOOSE(MATCH(MAX(SUM($H$9:H235), SUM($L$9:L235), SUM($T$9:T235)),CHOOSE({1;2;3}, SUM($H$9:H235), SUM($L$9:L235), SUM($T$9:T235)),0),G236,K236,S236)</f>
        <v>0</v>
      </c>
      <c r="P236" s="17">
        <f t="shared" si="18"/>
        <v>0</v>
      </c>
      <c r="Q236" s="19"/>
      <c r="R236" s="16"/>
      <c r="S236" s="16"/>
      <c r="T236" s="17">
        <f t="shared" si="19"/>
        <v>0</v>
      </c>
    </row>
    <row r="237" spans="1:20" x14ac:dyDescent="0.25">
      <c r="A237" s="8">
        <v>46352</v>
      </c>
      <c r="B237" s="16"/>
      <c r="C237" s="16"/>
      <c r="D237" s="105"/>
      <c r="E237" s="18"/>
      <c r="F237" s="19"/>
      <c r="G237" s="19"/>
      <c r="H237" s="17">
        <f t="shared" si="16"/>
        <v>0</v>
      </c>
      <c r="I237" s="11">
        <f>CHOOSE(MATCH(MAX(SUM(H$9:$H236), SUM(P$9:$P236), SUM(T$9:$T236)),CHOOSE({1;2;3}, SUM(H$9:$H236), SUM(P$9:$P236), SUM(T$9:$T236)),0),E237,M237,Q237)</f>
        <v>0</v>
      </c>
      <c r="J237" s="13">
        <f>CHOOSE(MATCH(MAX(SUM($H$9:H236), SUM($P$9:P236), SUM($T$9:T236)),CHOOSE({1;2;3}, SUM($H$9:H236), SUM($P$9:P236), SUM($T$9:T236)),0),F237,N237,R237)</f>
        <v>0</v>
      </c>
      <c r="K237" s="13">
        <f>CHOOSE(MATCH(MAX(SUM($H$9:H236), SUM($P$9:P236), SUM($T$9:T236)),CHOOSE({1;2;3}, SUM($H$9:H236), SUM($P$9:P236), SUM($T$9:T236)),0),G237,O237,S237)</f>
        <v>0</v>
      </c>
      <c r="L237" s="17">
        <f t="shared" si="17"/>
        <v>0</v>
      </c>
      <c r="M237" s="13">
        <f>CHOOSE(MATCH(MAX(SUM($H$9:H236), SUM($L$9:L236), SUM($T$9:T236)),CHOOSE({1;2;3}, SUM($H$9:H236), SUM($L$9:L236), SUM($T$9:T236)),0),E237,I237,Q237)</f>
        <v>0</v>
      </c>
      <c r="N237" s="13">
        <f>CHOOSE(MATCH(MAX(SUM($H$9:H236), SUM($L$9:L236), SUM($T$9:T236)),CHOOSE({1;2;3}, SUM($H$9:H236), SUM($L$9:L236), SUM($T$9:T236)),0),F237,J237,R237)</f>
        <v>0</v>
      </c>
      <c r="O237" s="13">
        <f>CHOOSE(MATCH(MAX(SUM($H$9:H236), SUM($L$9:L236), SUM($T$9:T236)),CHOOSE({1;2;3}, SUM($H$9:H236), SUM($L$9:L236), SUM($T$9:T236)),0),G237,K237,S237)</f>
        <v>0</v>
      </c>
      <c r="P237" s="17">
        <f t="shared" si="18"/>
        <v>0</v>
      </c>
      <c r="Q237" s="19"/>
      <c r="R237" s="16"/>
      <c r="S237" s="16"/>
      <c r="T237" s="17">
        <f t="shared" si="19"/>
        <v>0</v>
      </c>
    </row>
    <row r="238" spans="1:20" ht="15.75" thickBot="1" x14ac:dyDescent="0.3">
      <c r="A238" s="39">
        <v>46353</v>
      </c>
      <c r="B238" s="55"/>
      <c r="C238" s="55"/>
      <c r="D238" s="111"/>
      <c r="E238" s="112"/>
      <c r="F238" s="44"/>
      <c r="G238" s="44"/>
      <c r="H238" s="142">
        <f t="shared" si="16"/>
        <v>0</v>
      </c>
      <c r="I238" s="104">
        <f>CHOOSE(MATCH(MAX(SUM(H$9:$H237), SUM(P$9:$P237), SUM(T$9:$T237)),CHOOSE({1;2;3}, SUM(H$9:$H237), SUM(P$9:$P237), SUM(T$9:$T237)),0),E238,M238,Q238)</f>
        <v>0</v>
      </c>
      <c r="J238" s="103">
        <f>CHOOSE(MATCH(MAX(SUM($H$9:H237), SUM($P$9:P237), SUM($T$9:T237)),CHOOSE({1;2;3}, SUM($H$9:H237), SUM($P$9:P237), SUM($T$9:T237)),0),F238,N238,R238)</f>
        <v>0</v>
      </c>
      <c r="K238" s="103">
        <f>CHOOSE(MATCH(MAX(SUM($H$9:H237), SUM($P$9:P237), SUM($T$9:T237)),CHOOSE({1;2;3}, SUM($H$9:H237), SUM($P$9:P237), SUM($T$9:T237)),0),G238,O238,S238)</f>
        <v>0</v>
      </c>
      <c r="L238" s="142">
        <f t="shared" si="17"/>
        <v>0</v>
      </c>
      <c r="M238" s="103">
        <f>CHOOSE(MATCH(MAX(SUM($H$9:H237), SUM($L$9:L237), SUM($T$9:T237)),CHOOSE({1;2;3}, SUM($H$9:H237), SUM($L$9:L237), SUM($T$9:T237)),0),E238,I238,Q238)</f>
        <v>0</v>
      </c>
      <c r="N238" s="103">
        <f>CHOOSE(MATCH(MAX(SUM($H$9:H237), SUM($L$9:L237), SUM($T$9:T237)),CHOOSE({1;2;3}, SUM($H$9:H237), SUM($L$9:L237), SUM($T$9:T237)),0),F238,J238,R238)</f>
        <v>0</v>
      </c>
      <c r="O238" s="103">
        <f>CHOOSE(MATCH(MAX(SUM($H$9:H237), SUM($L$9:L237), SUM($T$9:T237)),CHOOSE({1;2;3}, SUM($H$9:H237), SUM($L$9:L237), SUM($T$9:T237)),0),G238,K238,S238)</f>
        <v>0</v>
      </c>
      <c r="P238" s="142">
        <f t="shared" si="18"/>
        <v>0</v>
      </c>
      <c r="Q238" s="44"/>
      <c r="R238" s="55"/>
      <c r="S238" s="55"/>
      <c r="T238" s="142">
        <f t="shared" si="19"/>
        <v>0</v>
      </c>
    </row>
    <row r="239" spans="1:20" ht="15.75" thickTop="1" x14ac:dyDescent="0.25">
      <c r="A239" s="33">
        <v>46356</v>
      </c>
      <c r="B239" s="34"/>
      <c r="C239" s="34"/>
      <c r="D239" s="106"/>
      <c r="E239" s="11"/>
      <c r="F239" s="13"/>
      <c r="G239" s="13"/>
      <c r="H239" s="10">
        <f t="shared" si="16"/>
        <v>0</v>
      </c>
      <c r="I239" s="13">
        <f>CHOOSE(MATCH(MAX(SUM(H$9:$H238), SUM(P$9:$P238), SUM(T$9:$T238)),CHOOSE({1;2;3}, SUM(H$9:$H238), SUM(P$9:$P238), SUM(T$9:$T238)),0),E239,M239,Q239)</f>
        <v>0</v>
      </c>
      <c r="J239" s="13">
        <f>CHOOSE(MATCH(MAX(SUM($H$9:H238), SUM($P$9:P238), SUM($T$9:T238)),CHOOSE({1;2;3}, SUM($H$9:H238), SUM($P$9:P238), SUM($T$9:T238)),0),F239,N239,R239)</f>
        <v>0</v>
      </c>
      <c r="K239" s="13">
        <f>CHOOSE(MATCH(MAX(SUM($H$9:H238), SUM($P$9:P238), SUM($T$9:T238)),CHOOSE({1;2;3}, SUM($H$9:H238), SUM($P$9:P238), SUM($T$9:T238)),0),G239,O239,S239)</f>
        <v>0</v>
      </c>
      <c r="L239" s="10">
        <f t="shared" si="17"/>
        <v>0</v>
      </c>
      <c r="M239" s="13">
        <f>CHOOSE(MATCH(MAX(SUM($H$9:H238), SUM($L$9:L238), SUM($T$9:T238)),CHOOSE({1;2;3}, SUM($H$9:H238), SUM($L$9:L238), SUM($T$9:T238)),0),E239,I239,Q239)</f>
        <v>0</v>
      </c>
      <c r="N239" s="13">
        <f>CHOOSE(MATCH(MAX(SUM($H$9:H238), SUM($L$9:L238), SUM($T$9:T238)),CHOOSE({1;2;3}, SUM($H$9:H238), SUM($L$9:L238), SUM($T$9:T238)),0),F239,J239,R239)</f>
        <v>0</v>
      </c>
      <c r="O239" s="13">
        <f>CHOOSE(MATCH(MAX(SUM($H$9:H238), SUM($L$9:L238), SUM($T$9:T238)),CHOOSE({1;2;3}, SUM($H$9:H238), SUM($L$9:L238), SUM($T$9:T238)),0),G239,K239,S239)</f>
        <v>0</v>
      </c>
      <c r="P239" s="10">
        <f t="shared" si="18"/>
        <v>0</v>
      </c>
      <c r="Q239" s="37"/>
      <c r="R239" s="34"/>
      <c r="S239" s="34"/>
      <c r="T239" s="140">
        <f t="shared" si="19"/>
        <v>0</v>
      </c>
    </row>
    <row r="240" spans="1:20" x14ac:dyDescent="0.25">
      <c r="A240" s="8">
        <v>46357</v>
      </c>
      <c r="B240" s="16"/>
      <c r="C240" s="16"/>
      <c r="D240" s="105"/>
      <c r="E240" s="18"/>
      <c r="F240" s="19"/>
      <c r="G240" s="19"/>
      <c r="H240" s="17">
        <f t="shared" si="16"/>
        <v>0</v>
      </c>
      <c r="I240" s="13">
        <f>CHOOSE(MATCH(MAX(SUM(H$9:$H239), SUM(P$9:$P239), SUM(T$9:$T239)),CHOOSE({1;2;3}, SUM(H$9:$H239), SUM(P$9:$P239), SUM(T$9:$T239)),0),E240,M240,Q240)</f>
        <v>0</v>
      </c>
      <c r="J240" s="13">
        <f>CHOOSE(MATCH(MAX(SUM($H$9:H239), SUM($P$9:P239), SUM($T$9:T239)),CHOOSE({1;2;3}, SUM($H$9:H239), SUM($P$9:P239), SUM($T$9:T239)),0),F240,N240,R240)</f>
        <v>0</v>
      </c>
      <c r="K240" s="13">
        <f>CHOOSE(MATCH(MAX(SUM($H$9:H239), SUM($P$9:P239), SUM($T$9:T239)),CHOOSE({1;2;3}, SUM($H$9:H239), SUM($P$9:P239), SUM($T$9:T239)),0),G240,O240,S240)</f>
        <v>0</v>
      </c>
      <c r="L240" s="17">
        <f t="shared" si="17"/>
        <v>0</v>
      </c>
      <c r="M240" s="13">
        <f>CHOOSE(MATCH(MAX(SUM($H$9:H239), SUM($L$9:L239), SUM($T$9:T239)),CHOOSE({1;2;3}, SUM($H$9:H239), SUM($L$9:L239), SUM($T$9:T239)),0),E240,I240,Q240)</f>
        <v>0</v>
      </c>
      <c r="N240" s="13">
        <f>CHOOSE(MATCH(MAX(SUM($H$9:H239), SUM($L$9:L239), SUM($T$9:T239)),CHOOSE({1;2;3}, SUM($H$9:H239), SUM($L$9:L239), SUM($T$9:T239)),0),F240,J240,R240)</f>
        <v>0</v>
      </c>
      <c r="O240" s="13">
        <f>CHOOSE(MATCH(MAX(SUM($H$9:H239), SUM($L$9:L239), SUM($T$9:T239)),CHOOSE({1;2;3}, SUM($H$9:H239), SUM($L$9:L239), SUM($T$9:T239)),0),G240,K240,S240)</f>
        <v>0</v>
      </c>
      <c r="P240" s="17">
        <f t="shared" si="18"/>
        <v>0</v>
      </c>
      <c r="Q240" s="19"/>
      <c r="R240" s="16"/>
      <c r="S240" s="16"/>
      <c r="T240" s="17">
        <f t="shared" si="19"/>
        <v>0</v>
      </c>
    </row>
    <row r="241" spans="1:20" x14ac:dyDescent="0.25">
      <c r="A241" s="8">
        <v>46358</v>
      </c>
      <c r="B241" s="16"/>
      <c r="C241" s="16"/>
      <c r="D241" s="105"/>
      <c r="E241" s="18"/>
      <c r="F241" s="19"/>
      <c r="G241" s="19"/>
      <c r="H241" s="17">
        <f t="shared" si="16"/>
        <v>0</v>
      </c>
      <c r="I241" s="13">
        <f>CHOOSE(MATCH(MAX(SUM(H$9:$H240), SUM(P$9:$P240), SUM(T$9:$T240)),CHOOSE({1;2;3}, SUM(H$9:$H240), SUM(P$9:$P240), SUM(T$9:$T240)),0),E241,M241,Q241)</f>
        <v>0</v>
      </c>
      <c r="J241" s="13">
        <f>CHOOSE(MATCH(MAX(SUM($H$9:H240), SUM($P$9:P240), SUM($T$9:T240)),CHOOSE({1;2;3}, SUM($H$9:H240), SUM($P$9:P240), SUM($T$9:T240)),0),F241,N241,R241)</f>
        <v>0</v>
      </c>
      <c r="K241" s="13">
        <f>CHOOSE(MATCH(MAX(SUM($H$9:H240), SUM($P$9:P240), SUM($T$9:T240)),CHOOSE({1;2;3}, SUM($H$9:H240), SUM($P$9:P240), SUM($T$9:T240)),0),G241,O241,S241)</f>
        <v>0</v>
      </c>
      <c r="L241" s="17">
        <f t="shared" si="17"/>
        <v>0</v>
      </c>
      <c r="M241" s="13">
        <f>CHOOSE(MATCH(MAX(SUM($H$9:H240), SUM($L$9:L240), SUM($T$9:T240)),CHOOSE({1;2;3}, SUM($H$9:H240), SUM($L$9:L240), SUM($T$9:T240)),0),E241,I241,Q241)</f>
        <v>0</v>
      </c>
      <c r="N241" s="13">
        <f>CHOOSE(MATCH(MAX(SUM($H$9:H240), SUM($L$9:L240), SUM($T$9:T240)),CHOOSE({1;2;3}, SUM($H$9:H240), SUM($L$9:L240), SUM($T$9:T240)),0),F241,J241,R241)</f>
        <v>0</v>
      </c>
      <c r="O241" s="13">
        <f>CHOOSE(MATCH(MAX(SUM($H$9:H240), SUM($L$9:L240), SUM($T$9:T240)),CHOOSE({1;2;3}, SUM($H$9:H240), SUM($L$9:L240), SUM($T$9:T240)),0),G241,K241,S241)</f>
        <v>0</v>
      </c>
      <c r="P241" s="17">
        <f t="shared" si="18"/>
        <v>0</v>
      </c>
      <c r="Q241" s="19"/>
      <c r="R241" s="16"/>
      <c r="S241" s="16"/>
      <c r="T241" s="17">
        <f t="shared" si="19"/>
        <v>0</v>
      </c>
    </row>
    <row r="242" spans="1:20" x14ac:dyDescent="0.25">
      <c r="A242" s="8">
        <v>46359</v>
      </c>
      <c r="B242" s="16"/>
      <c r="C242" s="16"/>
      <c r="D242" s="105"/>
      <c r="E242" s="18"/>
      <c r="F242" s="19"/>
      <c r="G242" s="19"/>
      <c r="H242" s="17">
        <f t="shared" si="16"/>
        <v>0</v>
      </c>
      <c r="I242" s="13">
        <f>CHOOSE(MATCH(MAX(SUM(H$9:$H241), SUM(P$9:$P241), SUM(T$9:$T241)),CHOOSE({1;2;3}, SUM(H$9:$H241), SUM(P$9:$P241), SUM(T$9:$T241)),0),E242,M242,Q242)</f>
        <v>0</v>
      </c>
      <c r="J242" s="13">
        <f>CHOOSE(MATCH(MAX(SUM($H$9:H241), SUM($P$9:P241), SUM($T$9:T241)),CHOOSE({1;2;3}, SUM($H$9:H241), SUM($P$9:P241), SUM($T$9:T241)),0),F242,N242,R242)</f>
        <v>0</v>
      </c>
      <c r="K242" s="13">
        <f>CHOOSE(MATCH(MAX(SUM($H$9:H241), SUM($P$9:P241), SUM($T$9:T241)),CHOOSE({1;2;3}, SUM($H$9:H241), SUM($P$9:P241), SUM($T$9:T241)),0),G242,O242,S242)</f>
        <v>0</v>
      </c>
      <c r="L242" s="17">
        <f t="shared" si="17"/>
        <v>0</v>
      </c>
      <c r="M242" s="13">
        <f>CHOOSE(MATCH(MAX(SUM($H$9:H241), SUM($L$9:L241), SUM($T$9:T241)),CHOOSE({1;2;3}, SUM($H$9:H241), SUM($L$9:L241), SUM($T$9:T241)),0),E242,I242,Q242)</f>
        <v>0</v>
      </c>
      <c r="N242" s="13">
        <f>CHOOSE(MATCH(MAX(SUM($H$9:H241), SUM($L$9:L241), SUM($T$9:T241)),CHOOSE({1;2;3}, SUM($H$9:H241), SUM($L$9:L241), SUM($T$9:T241)),0),F242,J242,R242)</f>
        <v>0</v>
      </c>
      <c r="O242" s="13">
        <f>CHOOSE(MATCH(MAX(SUM($H$9:H241), SUM($L$9:L241), SUM($T$9:T241)),CHOOSE({1;2;3}, SUM($H$9:H241), SUM($L$9:L241), SUM($T$9:T241)),0),G242,K242,S242)</f>
        <v>0</v>
      </c>
      <c r="P242" s="17">
        <f t="shared" si="18"/>
        <v>0</v>
      </c>
      <c r="Q242" s="19"/>
      <c r="R242" s="16"/>
      <c r="S242" s="16"/>
      <c r="T242" s="17">
        <f t="shared" si="19"/>
        <v>0</v>
      </c>
    </row>
    <row r="243" spans="1:20" ht="15.75" thickBot="1" x14ac:dyDescent="0.3">
      <c r="A243" s="39">
        <v>46360</v>
      </c>
      <c r="B243" s="55"/>
      <c r="C243" s="55"/>
      <c r="D243" s="111"/>
      <c r="E243" s="109"/>
      <c r="F243" s="110"/>
      <c r="G243" s="110"/>
      <c r="H243" s="148">
        <f t="shared" si="16"/>
        <v>0</v>
      </c>
      <c r="I243" s="116">
        <f>CHOOSE(MATCH(MAX(SUM(H$9:$H242), SUM(P$9:$P242), SUM(T$9:$T242)),CHOOSE({1;2;3}, SUM(H$9:$H242), SUM(P$9:$P242), SUM(T$9:$T242)),0),E243,M243,Q243)</f>
        <v>0</v>
      </c>
      <c r="J243" s="116">
        <f>CHOOSE(MATCH(MAX(SUM($H$9:H242), SUM($P$9:P242), SUM($T$9:T242)),CHOOSE({1;2;3}, SUM($H$9:H242), SUM($P$9:P242), SUM($T$9:T242)),0),F243,N243,R243)</f>
        <v>0</v>
      </c>
      <c r="K243" s="116">
        <f>CHOOSE(MATCH(MAX(SUM($H$9:H242), SUM($P$9:P242), SUM($T$9:T242)),CHOOSE({1;2;3}, SUM($H$9:H242), SUM($P$9:P242), SUM($T$9:T242)),0),G243,O243,S243)</f>
        <v>0</v>
      </c>
      <c r="L243" s="148">
        <f t="shared" si="17"/>
        <v>0</v>
      </c>
      <c r="M243" s="116">
        <f>CHOOSE(MATCH(MAX(SUM($H$9:H242), SUM($L$9:L242), SUM($T$9:T242)),CHOOSE({1;2;3}, SUM($H$9:H242), SUM($L$9:L242), SUM($T$9:T242)),0),E243,I243,Q243)</f>
        <v>0</v>
      </c>
      <c r="N243" s="116">
        <f>CHOOSE(MATCH(MAX(SUM($H$9:H242), SUM($L$9:L242), SUM($T$9:T242)),CHOOSE({1;2;3}, SUM($H$9:H242), SUM($L$9:L242), SUM($T$9:T242)),0),F243,J243,R243)</f>
        <v>0</v>
      </c>
      <c r="O243" s="116">
        <f>CHOOSE(MATCH(MAX(SUM($H$9:H242), SUM($L$9:L242), SUM($T$9:T242)),CHOOSE({1;2;3}, SUM($H$9:H242), SUM($L$9:L242), SUM($T$9:T242)),0),G243,K243,S243)</f>
        <v>0</v>
      </c>
      <c r="P243" s="148">
        <f t="shared" si="18"/>
        <v>0</v>
      </c>
      <c r="Q243" s="44"/>
      <c r="R243" s="55"/>
      <c r="S243" s="55"/>
      <c r="T243" s="142">
        <f t="shared" si="19"/>
        <v>0</v>
      </c>
    </row>
    <row r="244" spans="1:20" ht="15.75" thickTop="1" x14ac:dyDescent="0.25">
      <c r="A244" s="33">
        <v>46363</v>
      </c>
      <c r="B244" s="34"/>
      <c r="C244" s="34"/>
      <c r="D244" s="106"/>
      <c r="E244" s="35"/>
      <c r="F244" s="37"/>
      <c r="G244" s="37"/>
      <c r="H244" s="140">
        <f t="shared" si="16"/>
        <v>0</v>
      </c>
      <c r="I244" s="35">
        <f>CHOOSE(MATCH(MAX(SUM(H$9:$H243), SUM(P$9:$P243), SUM(T$9:$T243)),CHOOSE({1;2;3}, SUM(H$9:$H243), SUM(P$9:$P243), SUM(T$9:$T243)),0),E244,M244,Q244)</f>
        <v>0</v>
      </c>
      <c r="J244" s="37">
        <f>CHOOSE(MATCH(MAX(SUM($H$9:H243), SUM($P$9:P243), SUM($T$9:T243)),CHOOSE({1;2;3}, SUM($H$9:H243), SUM($P$9:P243), SUM($T$9:T243)),0),F244,N244,R244)</f>
        <v>0</v>
      </c>
      <c r="K244" s="37">
        <f>CHOOSE(MATCH(MAX(SUM($H$9:H243), SUM($P$9:P243), SUM($T$9:T243)),CHOOSE({1;2;3}, SUM($H$9:H243), SUM($P$9:P243), SUM($T$9:T243)),0),G244,O244,S244)</f>
        <v>0</v>
      </c>
      <c r="L244" s="140">
        <f t="shared" si="17"/>
        <v>0</v>
      </c>
      <c r="M244" s="37">
        <f>CHOOSE(MATCH(MAX(SUM($H$9:H243), SUM($L$9:L243), SUM($T$9:T243)),CHOOSE({1;2;3}, SUM($H$9:H243), SUM($L$9:L243), SUM($T$9:T243)),0),E244,I244,Q244)</f>
        <v>0</v>
      </c>
      <c r="N244" s="37">
        <f>CHOOSE(MATCH(MAX(SUM($H$9:H243), SUM($L$9:L243), SUM($T$9:T243)),CHOOSE({1;2;3}, SUM($H$9:H243), SUM($L$9:L243), SUM($T$9:T243)),0),F244,J244,R244)</f>
        <v>0</v>
      </c>
      <c r="O244" s="37">
        <f>CHOOSE(MATCH(MAX(SUM($H$9:H243), SUM($L$9:L243), SUM($T$9:T243)),CHOOSE({1;2;3}, SUM($H$9:H243), SUM($L$9:L243), SUM($T$9:T243)),0),G244,K244,S244)</f>
        <v>0</v>
      </c>
      <c r="P244" s="140">
        <f t="shared" si="18"/>
        <v>0</v>
      </c>
      <c r="Q244" s="37"/>
      <c r="R244" s="34"/>
      <c r="S244" s="34"/>
      <c r="T244" s="140">
        <f t="shared" si="19"/>
        <v>0</v>
      </c>
    </row>
    <row r="245" spans="1:20" x14ac:dyDescent="0.25">
      <c r="A245" s="8">
        <v>46364</v>
      </c>
      <c r="B245" s="16" t="s">
        <v>268</v>
      </c>
      <c r="C245" s="16" t="s">
        <v>268</v>
      </c>
      <c r="D245" s="105" t="s">
        <v>268</v>
      </c>
      <c r="E245" s="18"/>
      <c r="F245" s="19"/>
      <c r="G245" s="19"/>
      <c r="H245" s="17" t="b">
        <f t="shared" si="16"/>
        <v>0</v>
      </c>
      <c r="I245" s="11"/>
      <c r="J245" s="13"/>
      <c r="K245" s="13"/>
      <c r="L245" s="17" t="b">
        <f t="shared" si="17"/>
        <v>0</v>
      </c>
      <c r="M245" s="13"/>
      <c r="N245" s="13"/>
      <c r="O245" s="13"/>
      <c r="P245" s="17" t="b">
        <f t="shared" si="18"/>
        <v>0</v>
      </c>
      <c r="Q245" s="19"/>
      <c r="R245" s="16"/>
      <c r="S245" s="16"/>
      <c r="T245" s="17" t="b">
        <f t="shared" si="19"/>
        <v>0</v>
      </c>
    </row>
    <row r="246" spans="1:20" x14ac:dyDescent="0.25">
      <c r="A246" s="8">
        <v>46365</v>
      </c>
      <c r="B246" s="16"/>
      <c r="C246" s="16"/>
      <c r="D246" s="105"/>
      <c r="E246" s="18"/>
      <c r="F246" s="19"/>
      <c r="G246" s="19"/>
      <c r="H246" s="17">
        <f t="shared" si="16"/>
        <v>0</v>
      </c>
      <c r="I246" s="11">
        <f>CHOOSE(MATCH(MAX(SUM(H$9:$H245), SUM(P$9:$P245), SUM(T$9:$T245)),CHOOSE({1;2;3}, SUM(H$9:$H245), SUM(P$9:$P245), SUM(T$9:$T245)),0),E246,M246,Q246)</f>
        <v>0</v>
      </c>
      <c r="J246" s="13">
        <f>CHOOSE(MATCH(MAX(SUM($H$9:H245), SUM($P$9:P245), SUM($T$9:T245)),CHOOSE({1;2;3}, SUM($H$9:H245), SUM($P$9:P245), SUM($T$9:T245)),0),F246,N246,R246)</f>
        <v>0</v>
      </c>
      <c r="K246" s="13">
        <f>CHOOSE(MATCH(MAX(SUM($H$9:H245), SUM($P$9:P245), SUM($T$9:T245)),CHOOSE({1;2;3}, SUM($H$9:H245), SUM($P$9:P245), SUM($T$9:T245)),0),G246,O246,S246)</f>
        <v>0</v>
      </c>
      <c r="L246" s="17">
        <f t="shared" si="17"/>
        <v>0</v>
      </c>
      <c r="M246" s="13">
        <f>CHOOSE(MATCH(MAX(SUM($H$9:H245), SUM($L$9:L245), SUM($T$9:T245)),CHOOSE({1;2;3}, SUM($H$9:H245), SUM($L$9:L245), SUM($T$9:T245)),0),E246,I246,Q246)</f>
        <v>0</v>
      </c>
      <c r="N246" s="13">
        <f>CHOOSE(MATCH(MAX(SUM($H$9:H245), SUM($L$9:L245), SUM($T$9:T245)),CHOOSE({1;2;3}, SUM($H$9:H245), SUM($L$9:L245), SUM($T$9:T245)),0),F246,J246,R246)</f>
        <v>0</v>
      </c>
      <c r="O246" s="13">
        <f>CHOOSE(MATCH(MAX(SUM($H$9:H245), SUM($L$9:L245), SUM($T$9:T245)),CHOOSE({1;2;3}, SUM($H$9:H245), SUM($L$9:L245), SUM($T$9:T245)),0),G246,K246,S246)</f>
        <v>0</v>
      </c>
      <c r="P246" s="17">
        <f t="shared" si="18"/>
        <v>0</v>
      </c>
      <c r="Q246" s="19"/>
      <c r="R246" s="16"/>
      <c r="S246" s="16"/>
      <c r="T246" s="17">
        <f t="shared" si="19"/>
        <v>0</v>
      </c>
    </row>
    <row r="247" spans="1:20" x14ac:dyDescent="0.25">
      <c r="A247" s="8">
        <v>46366</v>
      </c>
      <c r="B247" s="16"/>
      <c r="C247" s="16"/>
      <c r="D247" s="105"/>
      <c r="E247" s="18"/>
      <c r="F247" s="19"/>
      <c r="G247" s="19"/>
      <c r="H247" s="17">
        <f t="shared" si="16"/>
        <v>0</v>
      </c>
      <c r="I247" s="11">
        <f>CHOOSE(MATCH(MAX(SUM(H$9:$H246), SUM(P$9:$P246), SUM(T$9:$T246)),CHOOSE({1;2;3}, SUM(H$9:$H246), SUM(P$9:$P246), SUM(T$9:$T246)),0),E247,M247,Q247)</f>
        <v>0</v>
      </c>
      <c r="J247" s="13">
        <f>CHOOSE(MATCH(MAX(SUM($H$9:H246), SUM($P$9:P246), SUM($T$9:T246)),CHOOSE({1;2;3}, SUM($H$9:H246), SUM($P$9:P246), SUM($T$9:T246)),0),F247,N247,R247)</f>
        <v>0</v>
      </c>
      <c r="K247" s="13">
        <f>CHOOSE(MATCH(MAX(SUM($H$9:H246), SUM($P$9:P246), SUM($T$9:T246)),CHOOSE({1;2;3}, SUM($H$9:H246), SUM($P$9:P246), SUM($T$9:T246)),0),G247,O247,S247)</f>
        <v>0</v>
      </c>
      <c r="L247" s="17">
        <f t="shared" si="17"/>
        <v>0</v>
      </c>
      <c r="M247" s="13">
        <f>CHOOSE(MATCH(MAX(SUM($H$9:H246), SUM($L$9:L246), SUM($T$9:T246)),CHOOSE({1;2;3}, SUM($H$9:H246), SUM($L$9:L246), SUM($T$9:T246)),0),E247,I247,Q247)</f>
        <v>0</v>
      </c>
      <c r="N247" s="13">
        <f>CHOOSE(MATCH(MAX(SUM($H$9:H246), SUM($L$9:L246), SUM($T$9:T246)),CHOOSE({1;2;3}, SUM($H$9:H246), SUM($L$9:L246), SUM($T$9:T246)),0),F247,J247,R247)</f>
        <v>0</v>
      </c>
      <c r="O247" s="13">
        <f>CHOOSE(MATCH(MAX(SUM($H$9:H246), SUM($L$9:L246), SUM($T$9:T246)),CHOOSE({1;2;3}, SUM($H$9:H246), SUM($L$9:L246), SUM($T$9:T246)),0),G247,K247,S247)</f>
        <v>0</v>
      </c>
      <c r="P247" s="17">
        <f t="shared" si="18"/>
        <v>0</v>
      </c>
      <c r="Q247" s="19"/>
      <c r="R247" s="16"/>
      <c r="S247" s="16"/>
      <c r="T247" s="17">
        <f t="shared" si="19"/>
        <v>0</v>
      </c>
    </row>
    <row r="248" spans="1:20" ht="15.75" thickBot="1" x14ac:dyDescent="0.3">
      <c r="A248" s="39">
        <v>46367</v>
      </c>
      <c r="B248" s="55"/>
      <c r="C248" s="55"/>
      <c r="D248" s="111"/>
      <c r="E248" s="112"/>
      <c r="F248" s="44"/>
      <c r="G248" s="44"/>
      <c r="H248" s="142">
        <f t="shared" si="16"/>
        <v>0</v>
      </c>
      <c r="I248" s="104">
        <f>CHOOSE(MATCH(MAX(SUM(H$9:$H247), SUM(P$9:$P247), SUM(T$9:$T247)),CHOOSE({1;2;3}, SUM(H$9:$H247), SUM(P$9:$P247), SUM(T$9:$T247)),0),E248,M248,Q248)</f>
        <v>0</v>
      </c>
      <c r="J248" s="103">
        <f>CHOOSE(MATCH(MAX(SUM($H$9:H247), SUM($P$9:P247), SUM($T$9:T247)),CHOOSE({1;2;3}, SUM($H$9:H247), SUM($P$9:P247), SUM($T$9:T247)),0),F248,N248,R248)</f>
        <v>0</v>
      </c>
      <c r="K248" s="103">
        <f>CHOOSE(MATCH(MAX(SUM($H$9:H247), SUM($P$9:P247), SUM($T$9:T247)),CHOOSE({1;2;3}, SUM($H$9:H247), SUM($P$9:P247), SUM($T$9:T247)),0),G248,O248,S248)</f>
        <v>0</v>
      </c>
      <c r="L248" s="142">
        <f t="shared" si="17"/>
        <v>0</v>
      </c>
      <c r="M248" s="103">
        <f>CHOOSE(MATCH(MAX(SUM($H$9:H247), SUM($L$9:L247), SUM($T$9:T247)),CHOOSE({1;2;3}, SUM($H$9:H247), SUM($L$9:L247), SUM($T$9:T247)),0),E248,I248,Q248)</f>
        <v>0</v>
      </c>
      <c r="N248" s="103">
        <f>CHOOSE(MATCH(MAX(SUM($H$9:H247), SUM($L$9:L247), SUM($T$9:T247)),CHOOSE({1;2;3}, SUM($H$9:H247), SUM($L$9:L247), SUM($T$9:T247)),0),F248,J248,R248)</f>
        <v>0</v>
      </c>
      <c r="O248" s="103">
        <f>CHOOSE(MATCH(MAX(SUM($H$9:H247), SUM($L$9:L247), SUM($T$9:T247)),CHOOSE({1;2;3}, SUM($H$9:H247), SUM($L$9:L247), SUM($T$9:T247)),0),G248,K248,S248)</f>
        <v>0</v>
      </c>
      <c r="P248" s="142">
        <f t="shared" si="18"/>
        <v>0</v>
      </c>
      <c r="Q248" s="44"/>
      <c r="R248" s="55"/>
      <c r="S248" s="55"/>
      <c r="T248" s="142">
        <f t="shared" si="19"/>
        <v>0</v>
      </c>
    </row>
    <row r="249" spans="1:20" ht="15.75" thickTop="1" x14ac:dyDescent="0.25">
      <c r="A249" s="33">
        <v>46370</v>
      </c>
      <c r="B249" s="34"/>
      <c r="C249" s="34"/>
      <c r="D249" s="106"/>
      <c r="E249" s="11"/>
      <c r="F249" s="13"/>
      <c r="G249" s="13"/>
      <c r="H249" s="10">
        <f t="shared" si="16"/>
        <v>0</v>
      </c>
      <c r="I249" s="13">
        <f>CHOOSE(MATCH(MAX(SUM(H$9:$H248), SUM(P$9:$P248), SUM(T$9:$T248)),CHOOSE({1;2;3}, SUM(H$9:$H248), SUM(P$9:$P248), SUM(T$9:$T248)),0),E249,M249,Q249)</f>
        <v>0</v>
      </c>
      <c r="J249" s="13">
        <f>CHOOSE(MATCH(MAX(SUM($H$9:H248), SUM($P$9:P248), SUM($T$9:T248)),CHOOSE({1;2;3}, SUM($H$9:H248), SUM($P$9:P248), SUM($T$9:T248)),0),F249,N249,R249)</f>
        <v>0</v>
      </c>
      <c r="K249" s="13">
        <f>CHOOSE(MATCH(MAX(SUM($H$9:H248), SUM($P$9:P248), SUM($T$9:T248)),CHOOSE({1;2;3}, SUM($H$9:H248), SUM($P$9:P248), SUM($T$9:T248)),0),G249,O249,S249)</f>
        <v>0</v>
      </c>
      <c r="L249" s="10">
        <f t="shared" si="17"/>
        <v>0</v>
      </c>
      <c r="M249" s="13">
        <f>CHOOSE(MATCH(MAX(SUM($H$9:H248), SUM($L$9:L248), SUM($T$9:T248)),CHOOSE({1;2;3}, SUM($H$9:H248), SUM($L$9:L248), SUM($T$9:T248)),0),E249,I249,Q249)</f>
        <v>0</v>
      </c>
      <c r="N249" s="13">
        <f>CHOOSE(MATCH(MAX(SUM($H$9:H248), SUM($L$9:L248), SUM($T$9:T248)),CHOOSE({1;2;3}, SUM($H$9:H248), SUM($L$9:L248), SUM($T$9:T248)),0),F249,J249,R249)</f>
        <v>0</v>
      </c>
      <c r="O249" s="13">
        <f>CHOOSE(MATCH(MAX(SUM($H$9:H248), SUM($L$9:L248), SUM($T$9:T248)),CHOOSE({1;2;3}, SUM($H$9:H248), SUM($L$9:L248), SUM($T$9:T248)),0),G249,K249,S249)</f>
        <v>0</v>
      </c>
      <c r="P249" s="10">
        <f t="shared" si="18"/>
        <v>0</v>
      </c>
      <c r="Q249" s="37"/>
      <c r="R249" s="34"/>
      <c r="S249" s="34"/>
      <c r="T249" s="140">
        <f t="shared" si="19"/>
        <v>0</v>
      </c>
    </row>
    <row r="250" spans="1:20" x14ac:dyDescent="0.25">
      <c r="A250" s="8">
        <v>46371</v>
      </c>
      <c r="B250" s="16"/>
      <c r="C250" s="16"/>
      <c r="D250" s="105"/>
      <c r="E250" s="18"/>
      <c r="F250" s="19"/>
      <c r="G250" s="19"/>
      <c r="H250" s="17">
        <f t="shared" si="16"/>
        <v>0</v>
      </c>
      <c r="I250" s="13">
        <f>CHOOSE(MATCH(MAX(SUM(H$9:$H249), SUM(P$9:$P249), SUM(T$9:$T249)),CHOOSE({1;2;3}, SUM(H$9:$H249), SUM(P$9:$P249), SUM(T$9:$T249)),0),E250,M250,Q250)</f>
        <v>0</v>
      </c>
      <c r="J250" s="13">
        <f>CHOOSE(MATCH(MAX(SUM($H$9:H249), SUM($P$9:P249), SUM($T$9:T249)),CHOOSE({1;2;3}, SUM($H$9:H249), SUM($P$9:P249), SUM($T$9:T249)),0),F250,N250,R250)</f>
        <v>0</v>
      </c>
      <c r="K250" s="13">
        <f>CHOOSE(MATCH(MAX(SUM($H$9:H249), SUM($P$9:P249), SUM($T$9:T249)),CHOOSE({1;2;3}, SUM($H$9:H249), SUM($P$9:P249), SUM($T$9:T249)),0),G250,O250,S250)</f>
        <v>0</v>
      </c>
      <c r="L250" s="17">
        <f t="shared" si="17"/>
        <v>0</v>
      </c>
      <c r="M250" s="13">
        <f>CHOOSE(MATCH(MAX(SUM($H$9:H249), SUM($L$9:L249), SUM($T$9:T249)),CHOOSE({1;2;3}, SUM($H$9:H249), SUM($L$9:L249), SUM($T$9:T249)),0),E250,I250,Q250)</f>
        <v>0</v>
      </c>
      <c r="N250" s="13">
        <f>CHOOSE(MATCH(MAX(SUM($H$9:H249), SUM($L$9:L249), SUM($T$9:T249)),CHOOSE({1;2;3}, SUM($H$9:H249), SUM($L$9:L249), SUM($T$9:T249)),0),F250,J250,R250)</f>
        <v>0</v>
      </c>
      <c r="O250" s="13">
        <f>CHOOSE(MATCH(MAX(SUM($H$9:H249), SUM($L$9:L249), SUM($T$9:T249)),CHOOSE({1;2;3}, SUM($H$9:H249), SUM($L$9:L249), SUM($T$9:T249)),0),G250,K250,S250)</f>
        <v>0</v>
      </c>
      <c r="P250" s="17">
        <f t="shared" si="18"/>
        <v>0</v>
      </c>
      <c r="Q250" s="19"/>
      <c r="R250" s="16"/>
      <c r="S250" s="16"/>
      <c r="T250" s="17">
        <f t="shared" si="19"/>
        <v>0</v>
      </c>
    </row>
    <row r="251" spans="1:20" x14ac:dyDescent="0.25">
      <c r="A251" s="8">
        <v>46372</v>
      </c>
      <c r="B251" s="16"/>
      <c r="C251" s="16"/>
      <c r="D251" s="105"/>
      <c r="E251" s="18"/>
      <c r="F251" s="19"/>
      <c r="G251" s="19"/>
      <c r="H251" s="17">
        <f t="shared" si="16"/>
        <v>0</v>
      </c>
      <c r="I251" s="13">
        <f>CHOOSE(MATCH(MAX(SUM(H$9:$H250), SUM(P$9:$P250), SUM(T$9:$T250)),CHOOSE({1;2;3}, SUM(H$9:$H250), SUM(P$9:$P250), SUM(T$9:$T250)),0),E251,M251,Q251)</f>
        <v>0</v>
      </c>
      <c r="J251" s="13">
        <f>CHOOSE(MATCH(MAX(SUM($H$9:H250), SUM($P$9:P250), SUM($T$9:T250)),CHOOSE({1;2;3}, SUM($H$9:H250), SUM($P$9:P250), SUM($T$9:T250)),0),F251,N251,R251)</f>
        <v>0</v>
      </c>
      <c r="K251" s="13">
        <f>CHOOSE(MATCH(MAX(SUM($H$9:H250), SUM($P$9:P250), SUM($T$9:T250)),CHOOSE({1;2;3}, SUM($H$9:H250), SUM($P$9:P250), SUM($T$9:T250)),0),G251,O251,S251)</f>
        <v>0</v>
      </c>
      <c r="L251" s="17">
        <f t="shared" si="17"/>
        <v>0</v>
      </c>
      <c r="M251" s="13">
        <f>CHOOSE(MATCH(MAX(SUM($H$9:H250), SUM($L$9:L250), SUM($T$9:T250)),CHOOSE({1;2;3}, SUM($H$9:H250), SUM($L$9:L250), SUM($T$9:T250)),0),E251,I251,Q251)</f>
        <v>0</v>
      </c>
      <c r="N251" s="13">
        <f>CHOOSE(MATCH(MAX(SUM($H$9:H250), SUM($L$9:L250), SUM($T$9:T250)),CHOOSE({1;2;3}, SUM($H$9:H250), SUM($L$9:L250), SUM($T$9:T250)),0),F251,J251,R251)</f>
        <v>0</v>
      </c>
      <c r="O251" s="13">
        <f>CHOOSE(MATCH(MAX(SUM($H$9:H250), SUM($L$9:L250), SUM($T$9:T250)),CHOOSE({1;2;3}, SUM($H$9:H250), SUM($L$9:L250), SUM($T$9:T250)),0),G251,K251,S251)</f>
        <v>0</v>
      </c>
      <c r="P251" s="17">
        <f t="shared" si="18"/>
        <v>0</v>
      </c>
      <c r="Q251" s="19"/>
      <c r="R251" s="16"/>
      <c r="S251" s="16"/>
      <c r="T251" s="17">
        <f t="shared" si="19"/>
        <v>0</v>
      </c>
    </row>
    <row r="252" spans="1:20" x14ac:dyDescent="0.25">
      <c r="A252" s="8">
        <v>46373</v>
      </c>
      <c r="B252" s="16"/>
      <c r="C252" s="16"/>
      <c r="D252" s="105"/>
      <c r="E252" s="18"/>
      <c r="F252" s="19"/>
      <c r="G252" s="19"/>
      <c r="H252" s="17">
        <f t="shared" si="16"/>
        <v>0</v>
      </c>
      <c r="I252" s="13">
        <f>CHOOSE(MATCH(MAX(SUM(H$9:$H251), SUM(P$9:$P251), SUM(T$9:$T251)),CHOOSE({1;2;3}, SUM(H$9:$H251), SUM(P$9:$P251), SUM(T$9:$T251)),0),E252,M252,Q252)</f>
        <v>0</v>
      </c>
      <c r="J252" s="13">
        <f>CHOOSE(MATCH(MAX(SUM($H$9:H251), SUM($P$9:P251), SUM($T$9:T251)),CHOOSE({1;2;3}, SUM($H$9:H251), SUM($P$9:P251), SUM($T$9:T251)),0),F252,N252,R252)</f>
        <v>0</v>
      </c>
      <c r="K252" s="13">
        <f>CHOOSE(MATCH(MAX(SUM($H$9:H251), SUM($P$9:P251), SUM($T$9:T251)),CHOOSE({1;2;3}, SUM($H$9:H251), SUM($P$9:P251), SUM($T$9:T251)),0),G252,O252,S252)</f>
        <v>0</v>
      </c>
      <c r="L252" s="17">
        <f t="shared" si="17"/>
        <v>0</v>
      </c>
      <c r="M252" s="13">
        <f>CHOOSE(MATCH(MAX(SUM($H$9:H251), SUM($L$9:L251), SUM($T$9:T251)),CHOOSE({1;2;3}, SUM($H$9:H251), SUM($L$9:L251), SUM($T$9:T251)),0),E252,I252,Q252)</f>
        <v>0</v>
      </c>
      <c r="N252" s="13">
        <f>CHOOSE(MATCH(MAX(SUM($H$9:H251), SUM($L$9:L251), SUM($T$9:T251)),CHOOSE({1;2;3}, SUM($H$9:H251), SUM($L$9:L251), SUM($T$9:T251)),0),F252,J252,R252)</f>
        <v>0</v>
      </c>
      <c r="O252" s="13">
        <f>CHOOSE(MATCH(MAX(SUM($H$9:H251), SUM($L$9:L251), SUM($T$9:T251)),CHOOSE({1;2;3}, SUM($H$9:H251), SUM($L$9:L251), SUM($T$9:T251)),0),G252,K252,S252)</f>
        <v>0</v>
      </c>
      <c r="P252" s="17">
        <f t="shared" si="18"/>
        <v>0</v>
      </c>
      <c r="Q252" s="19"/>
      <c r="R252" s="16"/>
      <c r="S252" s="16"/>
      <c r="T252" s="17">
        <f t="shared" si="19"/>
        <v>0</v>
      </c>
    </row>
    <row r="253" spans="1:20" ht="15.75" thickBot="1" x14ac:dyDescent="0.3">
      <c r="A253" s="39">
        <v>46374</v>
      </c>
      <c r="B253" s="55"/>
      <c r="C253" s="55"/>
      <c r="D253" s="111"/>
      <c r="E253" s="109"/>
      <c r="F253" s="110"/>
      <c r="G253" s="110"/>
      <c r="H253" s="148">
        <f t="shared" si="16"/>
        <v>0</v>
      </c>
      <c r="I253" s="116">
        <f>CHOOSE(MATCH(MAX(SUM(H$9:$H252), SUM(P$9:$P252), SUM(T$9:$T252)),CHOOSE({1;2;3}, SUM(H$9:$H252), SUM(P$9:$P252), SUM(T$9:$T252)),0),E253,M253,Q253)</f>
        <v>0</v>
      </c>
      <c r="J253" s="116">
        <f>CHOOSE(MATCH(MAX(SUM($H$9:H252), SUM($P$9:P252), SUM($T$9:T252)),CHOOSE({1;2;3}, SUM($H$9:H252), SUM($P$9:P252), SUM($T$9:T252)),0),F253,N253,R253)</f>
        <v>0</v>
      </c>
      <c r="K253" s="116">
        <f>CHOOSE(MATCH(MAX(SUM($H$9:H252), SUM($P$9:P252), SUM($T$9:T252)),CHOOSE({1;2;3}, SUM($H$9:H252), SUM($P$9:P252), SUM($T$9:T252)),0),G253,O253,S253)</f>
        <v>0</v>
      </c>
      <c r="L253" s="148">
        <f t="shared" si="17"/>
        <v>0</v>
      </c>
      <c r="M253" s="116">
        <f>CHOOSE(MATCH(MAX(SUM($H$9:H252), SUM($L$9:L252), SUM($T$9:T252)),CHOOSE({1;2;3}, SUM($H$9:H252), SUM($L$9:L252), SUM($T$9:T252)),0),E253,I253,Q253)</f>
        <v>0</v>
      </c>
      <c r="N253" s="116">
        <f>CHOOSE(MATCH(MAX(SUM($H$9:H252), SUM($L$9:L252), SUM($T$9:T252)),CHOOSE({1;2;3}, SUM($H$9:H252), SUM($L$9:L252), SUM($T$9:T252)),0),F253,J253,R253)</f>
        <v>0</v>
      </c>
      <c r="O253" s="116">
        <f>CHOOSE(MATCH(MAX(SUM($H$9:H252), SUM($L$9:L252), SUM($T$9:T252)),CHOOSE({1;2;3}, SUM($H$9:H252), SUM($L$9:L252), SUM($T$9:T252)),0),G253,K253,S253)</f>
        <v>0</v>
      </c>
      <c r="P253" s="148">
        <f t="shared" si="18"/>
        <v>0</v>
      </c>
      <c r="Q253" s="44"/>
      <c r="R253" s="55"/>
      <c r="S253" s="55"/>
      <c r="T253" s="142">
        <f t="shared" si="19"/>
        <v>0</v>
      </c>
    </row>
    <row r="254" spans="1:20" ht="15.75" thickTop="1" x14ac:dyDescent="0.25">
      <c r="A254" s="33">
        <v>46377</v>
      </c>
      <c r="B254" s="34"/>
      <c r="C254" s="34"/>
      <c r="D254" s="106"/>
      <c r="E254" s="35"/>
      <c r="F254" s="37"/>
      <c r="G254" s="37"/>
      <c r="H254" s="140">
        <f t="shared" si="16"/>
        <v>0</v>
      </c>
      <c r="I254" s="35">
        <f>CHOOSE(MATCH(MAX(SUM(H$9:$H253), SUM(P$9:$P253), SUM(T$9:$T253)),CHOOSE({1;2;3}, SUM(H$9:$H253), SUM(P$9:$P253), SUM(T$9:$T253)),0),E254,M254,Q254)</f>
        <v>0</v>
      </c>
      <c r="J254" s="37">
        <f>CHOOSE(MATCH(MAX(SUM($H$9:H253), SUM($P$9:P253), SUM($T$9:T253)),CHOOSE({1;2;3}, SUM($H$9:H253), SUM($P$9:P253), SUM($T$9:T253)),0),F254,N254,R254)</f>
        <v>0</v>
      </c>
      <c r="K254" s="37">
        <f>CHOOSE(MATCH(MAX(SUM($H$9:H253), SUM($P$9:P253), SUM($T$9:T253)),CHOOSE({1;2;3}, SUM($H$9:H253), SUM($P$9:P253), SUM($T$9:T253)),0),G254,O254,S254)</f>
        <v>0</v>
      </c>
      <c r="L254" s="140">
        <f t="shared" si="17"/>
        <v>0</v>
      </c>
      <c r="M254" s="37">
        <f>CHOOSE(MATCH(MAX(SUM($H$9:H253), SUM($L$9:L253), SUM($T$9:T253)),CHOOSE({1;2;3}, SUM($H$9:H253), SUM($L$9:L253), SUM($T$9:T253)),0),E254,I254,Q254)</f>
        <v>0</v>
      </c>
      <c r="N254" s="37">
        <f>CHOOSE(MATCH(MAX(SUM($H$9:H253), SUM($L$9:L253), SUM($T$9:T253)),CHOOSE({1;2;3}, SUM($H$9:H253), SUM($L$9:L253), SUM($T$9:T253)),0),F254,J254,R254)</f>
        <v>0</v>
      </c>
      <c r="O254" s="37">
        <f>CHOOSE(MATCH(MAX(SUM($H$9:H253), SUM($L$9:L253), SUM($T$9:T253)),CHOOSE({1;2;3}, SUM($H$9:H253), SUM($L$9:L253), SUM($T$9:T253)),0),G254,K254,S254)</f>
        <v>0</v>
      </c>
      <c r="P254" s="140">
        <f t="shared" si="18"/>
        <v>0</v>
      </c>
      <c r="Q254" s="37"/>
      <c r="R254" s="34"/>
      <c r="S254" s="34"/>
      <c r="T254" s="140">
        <f t="shared" si="19"/>
        <v>0</v>
      </c>
    </row>
    <row r="255" spans="1:20" x14ac:dyDescent="0.25">
      <c r="A255" s="8">
        <v>46378</v>
      </c>
      <c r="B255" s="16"/>
      <c r="C255" s="16"/>
      <c r="D255" s="105"/>
      <c r="E255" s="18"/>
      <c r="F255" s="19"/>
      <c r="G255" s="19"/>
      <c r="H255" s="17">
        <f t="shared" si="16"/>
        <v>0</v>
      </c>
      <c r="I255" s="11">
        <f>CHOOSE(MATCH(MAX(SUM(H$9:$H254), SUM(P$9:$P254), SUM(T$9:$T254)),CHOOSE({1;2;3}, SUM(H$9:$H254), SUM(P$9:$P254), SUM(T$9:$T254)),0),E255,M255,Q255)</f>
        <v>0</v>
      </c>
      <c r="J255" s="13">
        <f>CHOOSE(MATCH(MAX(SUM($H$9:H254), SUM($P$9:P254), SUM($T$9:T254)),CHOOSE({1;2;3}, SUM($H$9:H254), SUM($P$9:P254), SUM($T$9:T254)),0),F255,N255,R255)</f>
        <v>0</v>
      </c>
      <c r="K255" s="13">
        <f>CHOOSE(MATCH(MAX(SUM($H$9:H254), SUM($P$9:P254), SUM($T$9:T254)),CHOOSE({1;2;3}, SUM($H$9:H254), SUM($P$9:P254), SUM($T$9:T254)),0),G255,O255,S255)</f>
        <v>0</v>
      </c>
      <c r="L255" s="17">
        <f t="shared" si="17"/>
        <v>0</v>
      </c>
      <c r="M255" s="13">
        <f>CHOOSE(MATCH(MAX(SUM($H$9:H254), SUM($L$9:L254), SUM($T$9:T254)),CHOOSE({1;2;3}, SUM($H$9:H254), SUM($L$9:L254), SUM($T$9:T254)),0),E255,I255,Q255)</f>
        <v>0</v>
      </c>
      <c r="N255" s="13">
        <f>CHOOSE(MATCH(MAX(SUM($H$9:H254), SUM($L$9:L254), SUM($T$9:T254)),CHOOSE({1;2;3}, SUM($H$9:H254), SUM($L$9:L254), SUM($T$9:T254)),0),F255,J255,R255)</f>
        <v>0</v>
      </c>
      <c r="O255" s="13">
        <f>CHOOSE(MATCH(MAX(SUM($H$9:H254), SUM($L$9:L254), SUM($T$9:T254)),CHOOSE({1;2;3}, SUM($H$9:H254), SUM($L$9:L254), SUM($T$9:T254)),0),G255,K255,S255)</f>
        <v>0</v>
      </c>
      <c r="P255" s="17">
        <f t="shared" si="18"/>
        <v>0</v>
      </c>
      <c r="Q255" s="19"/>
      <c r="R255" s="16"/>
      <c r="S255" s="16"/>
      <c r="T255" s="17">
        <f t="shared" si="19"/>
        <v>0</v>
      </c>
    </row>
    <row r="256" spans="1:20" ht="15.75" thickBot="1" x14ac:dyDescent="0.3">
      <c r="A256" s="39">
        <v>46379</v>
      </c>
      <c r="B256" s="55"/>
      <c r="C256" s="55"/>
      <c r="D256" s="111"/>
      <c r="E256" s="112"/>
      <c r="F256" s="44"/>
      <c r="G256" s="44"/>
      <c r="H256" s="142">
        <f t="shared" si="16"/>
        <v>0</v>
      </c>
      <c r="I256" s="104">
        <f>CHOOSE(MATCH(MAX(SUM(H$9:$H255), SUM(P$9:$P255), SUM(T$9:$T255)),CHOOSE({1;2;3}, SUM(H$9:$H255), SUM(P$9:$P255), SUM(T$9:$T255)),0),E256,M256,Q256)</f>
        <v>0</v>
      </c>
      <c r="J256" s="103">
        <f>CHOOSE(MATCH(MAX(SUM($H$9:H255), SUM($P$9:P255), SUM($T$9:T255)),CHOOSE({1;2;3}, SUM($H$9:H255), SUM($P$9:P255), SUM($T$9:T255)),0),F256,N256,R256)</f>
        <v>0</v>
      </c>
      <c r="K256" s="103">
        <f>CHOOSE(MATCH(MAX(SUM($H$9:H255), SUM($P$9:P255), SUM($T$9:T255)),CHOOSE({1;2;3}, SUM($H$9:H255), SUM($P$9:P255), SUM($T$9:T255)),0),G256,O256,S256)</f>
        <v>0</v>
      </c>
      <c r="L256" s="142">
        <f t="shared" si="17"/>
        <v>0</v>
      </c>
      <c r="M256" s="103">
        <f>CHOOSE(MATCH(MAX(SUM($H$9:H255), SUM($L$9:L255), SUM($T$9:T255)),CHOOSE({1;2;3}, SUM($H$9:H255), SUM($L$9:L255), SUM($T$9:T255)),0),E256,I256,Q256)</f>
        <v>0</v>
      </c>
      <c r="N256" s="103">
        <f>CHOOSE(MATCH(MAX(SUM($H$9:H255), SUM($L$9:L255), SUM($T$9:T255)),CHOOSE({1;2;3}, SUM($H$9:H255), SUM($L$9:L255), SUM($T$9:T255)),0),F256,J256,R256)</f>
        <v>0</v>
      </c>
      <c r="O256" s="103">
        <f>CHOOSE(MATCH(MAX(SUM($H$9:H255), SUM($L$9:L255), SUM($T$9:T255)),CHOOSE({1;2;3}, SUM($H$9:H255), SUM($L$9:L255), SUM($T$9:T255)),0),G256,K256,S256)</f>
        <v>0</v>
      </c>
      <c r="P256" s="142">
        <f t="shared" si="18"/>
        <v>0</v>
      </c>
      <c r="Q256" s="44"/>
      <c r="R256" s="55"/>
      <c r="S256" s="55"/>
      <c r="T256" s="142">
        <f t="shared" si="19"/>
        <v>0</v>
      </c>
    </row>
    <row r="257" ht="15.75" thickTop="1" x14ac:dyDescent="0.25"/>
  </sheetData>
  <autoFilter ref="A8:T256" xr:uid="{00000000-0001-0000-0100-000000000000}"/>
  <mergeCells count="26">
    <mergeCell ref="Q1:T1"/>
    <mergeCell ref="Q2:S2"/>
    <mergeCell ref="Q3:S3"/>
    <mergeCell ref="Q5:S6"/>
    <mergeCell ref="E7:G7"/>
    <mergeCell ref="E1:H1"/>
    <mergeCell ref="E4:G4"/>
    <mergeCell ref="I4:K4"/>
    <mergeCell ref="M4:O4"/>
    <mergeCell ref="Q4:S4"/>
    <mergeCell ref="Q7:S7"/>
    <mergeCell ref="I5:K6"/>
    <mergeCell ref="A1:D1"/>
    <mergeCell ref="I1:L1"/>
    <mergeCell ref="M1:P1"/>
    <mergeCell ref="E2:G2"/>
    <mergeCell ref="I2:K2"/>
    <mergeCell ref="M2:O2"/>
    <mergeCell ref="A2:D7"/>
    <mergeCell ref="I7:K7"/>
    <mergeCell ref="M7:O7"/>
    <mergeCell ref="M5:O6"/>
    <mergeCell ref="E3:G3"/>
    <mergeCell ref="I3:K3"/>
    <mergeCell ref="M3:O3"/>
    <mergeCell ref="E5:G6"/>
  </mergeCells>
  <conditionalFormatting sqref="A9:T1000">
    <cfRule type="expression" dxfId="16" priority="13">
      <formula>$B9="frei"</formula>
    </cfRule>
  </conditionalFormatting>
  <conditionalFormatting sqref="E9:E1000">
    <cfRule type="expression" dxfId="15" priority="28">
      <formula>$E9=$B9</formula>
    </cfRule>
  </conditionalFormatting>
  <conditionalFormatting sqref="E197">
    <cfRule type="expression" dxfId="14" priority="3">
      <formula>$I197=$B197</formula>
    </cfRule>
  </conditionalFormatting>
  <conditionalFormatting sqref="F9:F1000">
    <cfRule type="expression" dxfId="13" priority="18">
      <formula>$F9=$C9</formula>
    </cfRule>
  </conditionalFormatting>
  <conditionalFormatting sqref="F197">
    <cfRule type="expression" dxfId="12" priority="2">
      <formula>$J197=$C197</formula>
    </cfRule>
  </conditionalFormatting>
  <conditionalFormatting sqref="G9:G1000">
    <cfRule type="expression" dxfId="11" priority="19">
      <formula>$G9=$D9</formula>
    </cfRule>
  </conditionalFormatting>
  <conditionalFormatting sqref="G197">
    <cfRule type="expression" dxfId="10" priority="1">
      <formula>$K197=$D197</formula>
    </cfRule>
  </conditionalFormatting>
  <conditionalFormatting sqref="I9:I1000">
    <cfRule type="expression" dxfId="9" priority="34">
      <formula>$I9=$B9</formula>
    </cfRule>
  </conditionalFormatting>
  <conditionalFormatting sqref="I60:J60">
    <cfRule type="expression" dxfId="8" priority="16">
      <formula>$M60=$B60</formula>
    </cfRule>
  </conditionalFormatting>
  <conditionalFormatting sqref="J9:J1000">
    <cfRule type="expression" dxfId="7" priority="23">
      <formula>$J9=$C9</formula>
    </cfRule>
  </conditionalFormatting>
  <conditionalFormatting sqref="K9:K1000">
    <cfRule type="expression" dxfId="6" priority="39">
      <formula>$K9=$D9</formula>
    </cfRule>
  </conditionalFormatting>
  <conditionalFormatting sqref="M9:M1000">
    <cfRule type="expression" dxfId="5" priority="15">
      <formula>$M9=$B9</formula>
    </cfRule>
  </conditionalFormatting>
  <conditionalFormatting sqref="N9:N1000">
    <cfRule type="expression" dxfId="4" priority="30">
      <formula>$N9=$C9</formula>
    </cfRule>
  </conditionalFormatting>
  <conditionalFormatting sqref="O9:O1000">
    <cfRule type="expression" dxfId="3" priority="32">
      <formula>$O9=$D9</formula>
    </cfRule>
  </conditionalFormatting>
  <conditionalFormatting sqref="Q9:Q256">
    <cfRule type="expression" dxfId="2" priority="20">
      <formula>$Q9=$B9</formula>
    </cfRule>
  </conditionalFormatting>
  <conditionalFormatting sqref="R9:R256">
    <cfRule type="expression" dxfId="1" priority="21">
      <formula>$R9=$C9</formula>
    </cfRule>
  </conditionalFormatting>
  <conditionalFormatting sqref="S9:S256">
    <cfRule type="expression" dxfId="0" priority="22">
      <formula>$S9=$D9</formula>
    </cfRule>
  </conditionalFormatting>
  <pageMargins left="0.7" right="0.7" top="0.78749999999999998" bottom="0.78749999999999998" header="0.51180555555555496" footer="0.51180555555555496"/>
  <pageSetup paperSize="9" firstPageNumber="0"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C687-D430-45ED-B9A1-1C6AD9F3247B}">
  <dimension ref="A1:C29"/>
  <sheetViews>
    <sheetView workbookViewId="0">
      <selection activeCell="C28" sqref="C28"/>
    </sheetView>
  </sheetViews>
  <sheetFormatPr defaultColWidth="11.42578125" defaultRowHeight="15" x14ac:dyDescent="0.25"/>
  <cols>
    <col min="1" max="1" width="11.42578125" style="137"/>
    <col min="2" max="2" width="192.5703125" style="136" bestFit="1" customWidth="1"/>
    <col min="3" max="3" width="216.85546875" style="3" bestFit="1" customWidth="1"/>
    <col min="4" max="16384" width="11.42578125" style="3"/>
  </cols>
  <sheetData>
    <row r="1" spans="1:3" ht="26.25" x14ac:dyDescent="0.25">
      <c r="A1" s="175" t="s">
        <v>201</v>
      </c>
      <c r="B1" s="175"/>
      <c r="C1" s="175"/>
    </row>
    <row r="2" spans="1:3" ht="105" x14ac:dyDescent="0.25">
      <c r="A2" s="137" t="s">
        <v>202</v>
      </c>
      <c r="B2" s="167" t="s">
        <v>173</v>
      </c>
      <c r="C2" s="174" t="str">
        <f>_xlfn.TRANSLATE(B2,"de","it")</f>
        <v>Tutti i consigli riguardano il menù pranzo dei lavoratori della seguente istituzione: 
Hotel Schönwies
Hauptstraße 19 - 39040 Trodena nel Parco Naturale
Provincia di Bolzano - Italia
Tel. +39 0471 869 555
Email: info@schönwies.it
IT02992970216</v>
      </c>
    </row>
    <row r="3" spans="1:3" x14ac:dyDescent="0.25">
      <c r="A3" s="137" t="s">
        <v>204</v>
      </c>
      <c r="B3" s="136" t="s">
        <v>215</v>
      </c>
      <c r="C3" s="174" t="str">
        <f t="shared" ref="C3:C29" si="0">_xlfn.TRANSLATE(B3,"de","it")</f>
        <v>Le cene aziendali o eventi simili sono espressamente esclusi dal gioco delle scommesse.</v>
      </c>
    </row>
    <row r="4" spans="1:3" x14ac:dyDescent="0.25">
      <c r="A4" s="137" t="s">
        <v>205</v>
      </c>
      <c r="B4" s="136" t="s">
        <v>203</v>
      </c>
      <c r="C4" s="174" t="str">
        <f t="shared" si="0"/>
        <v>Le scommesse possono essere inviate solo entro mezzogiorno del giorno calendario rispettivo al più tardi. Le scommesse ricevute dopo questo orario non saranno considerate.</v>
      </c>
    </row>
    <row r="5" spans="1:3" x14ac:dyDescent="0.25">
      <c r="A5" s="137" t="s">
        <v>206</v>
      </c>
      <c r="B5" s="136" t="s">
        <v>247</v>
      </c>
      <c r="C5" s="174" t="str">
        <f t="shared" si="0"/>
        <v>Lo stesso piatto può essere lasciato un massimo di due volte in un periodo di una settimana lavorativa; scommettere su giorni consecutivi non è permesso e non verrà preso in considerazione.</v>
      </c>
    </row>
    <row r="6" spans="1:3" x14ac:dyDescent="0.25">
      <c r="A6" s="137" t="s">
        <v>207</v>
      </c>
      <c r="B6" s="136" t="s">
        <v>295</v>
      </c>
      <c r="C6" s="174" t="str">
        <f t="shared" si="0"/>
        <v>Per antipasto, piatto principale e contorno, si può indovinare un solo piatto ciascuno.</v>
      </c>
    </row>
    <row r="7" spans="1:3" x14ac:dyDescent="0.25">
      <c r="A7" s="137" t="s">
        <v>208</v>
      </c>
      <c r="B7" s="136" t="s">
        <v>260</v>
      </c>
      <c r="C7" s="174" t="str">
        <f t="shared" si="0"/>
        <v>Le scommesse vengono effettuate senza vedere i consigli degli altri giocatori e non possono essere modificate dopo aver visto gli altri consigli. Inoltre, è vietato copiare deliberatamente i consigli degli altri.</v>
      </c>
    </row>
    <row r="8" spans="1:3" x14ac:dyDescent="0.25">
      <c r="A8" s="137" t="s">
        <v>209</v>
      </c>
      <c r="B8" s="136" t="s">
        <v>258</v>
      </c>
      <c r="C8" s="174" t="str">
        <f t="shared" si="0"/>
        <v>Se un partecipante non è presente, ad esempio in vacanza, anche altri partecipanti possono copiare le mance.</v>
      </c>
    </row>
    <row r="9" spans="1:3" x14ac:dyDescent="0.25">
      <c r="A9" s="137" t="s">
        <v>210</v>
      </c>
      <c r="B9" s="136" t="s">
        <v>249</v>
      </c>
      <c r="C9" s="174" t="str">
        <f t="shared" si="0"/>
        <v>Se un partecipante non è presente, ad esempio in vacanza, le segnalazioni possono essere comunicate anche agli altri partecipanti tramite canali telematici in conformità con le regole.</v>
      </c>
    </row>
    <row r="10" spans="1:3" x14ac:dyDescent="0.25">
      <c r="A10" s="137" t="s">
        <v>211</v>
      </c>
      <c r="B10" s="136" t="s">
        <v>213</v>
      </c>
      <c r="C10" s="174" t="str">
        <f t="shared" si="0"/>
        <v>I punti vengono assegnati secondo il seguente schema:</v>
      </c>
    </row>
    <row r="11" spans="1:3" x14ac:dyDescent="0.25">
      <c r="A11" s="172" t="s">
        <v>296</v>
      </c>
      <c r="B11" s="168" t="s">
        <v>304</v>
      </c>
      <c r="C11" s="174" t="str">
        <f t="shared" si="0"/>
        <v>Un (1) punto verrà assegnato per la corretta indicazione di uno degli antipasti offerti.</v>
      </c>
    </row>
    <row r="12" spans="1:3" x14ac:dyDescent="0.25">
      <c r="A12" s="172" t="s">
        <v>297</v>
      </c>
      <c r="B12" s="168" t="s">
        <v>305</v>
      </c>
      <c r="C12" s="174" t="str">
        <f t="shared" si="0"/>
        <v>Per indicare correttamente uno dei piatti principali o contorni offerti, vengono assegnati (0,5) punti in ogni caso.</v>
      </c>
    </row>
    <row r="13" spans="1:3" x14ac:dyDescent="0.25">
      <c r="A13" s="172" t="s">
        <v>298</v>
      </c>
      <c r="B13" s="168" t="s">
        <v>214</v>
      </c>
      <c r="C13" s="174" t="str">
        <f t="shared" si="0"/>
        <v>Un totale di tre (3) punti saranno assegnati per l'indicazione completa e corretta dell'intero menù.</v>
      </c>
    </row>
    <row r="14" spans="1:3" x14ac:dyDescent="0.25">
      <c r="A14" s="172" t="s">
        <v>299</v>
      </c>
      <c r="B14" s="168" t="s">
        <v>228</v>
      </c>
      <c r="C14" s="174" t="str">
        <f t="shared" si="0"/>
        <v>Se un piatto viene presentato in modo errato dalla cameriera, il nome può essere corretto, a condizione che la maggior parte dei partecipanti lo sostenga.</v>
      </c>
    </row>
    <row r="15" spans="1:3" x14ac:dyDescent="0.25">
      <c r="A15" s="172" t="s">
        <v>300</v>
      </c>
      <c r="B15" s="168" t="s">
        <v>226</v>
      </c>
      <c r="C15" s="174" t="str">
        <f t="shared" si="0"/>
        <v>Per i secondi antipasti o contorni, si applica solo l'offerta specificata dalla cameriera di propria iniziativa. Le alternative offerte su richiesta non saranno accettate.</v>
      </c>
    </row>
    <row r="16" spans="1:3" ht="30" x14ac:dyDescent="0.25">
      <c r="A16" s="172" t="s">
        <v>301</v>
      </c>
      <c r="B16" s="169" t="s">
        <v>223</v>
      </c>
      <c r="C16" s="174" t="str">
        <f t="shared" si="0"/>
        <v>Al di fuori della Quaresima, il termine "pesce" può generalmente essere usato come piatto principale per piatti di pesce. Durante la Quaresima, il piatto esatto deve essere indicato. Da questa regola è escluso il piatto "Plent with Scombri"</v>
      </c>
    </row>
    <row r="17" spans="1:3" x14ac:dyDescent="0.25">
      <c r="A17" s="172" t="s">
        <v>302</v>
      </c>
      <c r="B17" s="169" t="s">
        <v>225</v>
      </c>
      <c r="C17" s="174" t="str">
        <f t="shared" si="0"/>
        <v>Il buffet di insalata è escluso dal gioco delle scommesse</v>
      </c>
    </row>
    <row r="18" spans="1:3" x14ac:dyDescent="0.25">
      <c r="A18" s="172" t="s">
        <v>303</v>
      </c>
      <c r="B18" s="169" t="s">
        <v>229</v>
      </c>
      <c r="C18" s="174" t="str">
        <f t="shared" si="0"/>
        <v>Solo i piatti pronti vengono versati, i componenti del piatto non vengono considerati.</v>
      </c>
    </row>
    <row r="19" spans="1:3" x14ac:dyDescent="0.25">
      <c r="A19" s="137" t="s">
        <v>212</v>
      </c>
      <c r="B19" s="167"/>
      <c r="C19" s="174"/>
    </row>
    <row r="20" spans="1:3" x14ac:dyDescent="0.25">
      <c r="A20" s="137" t="s">
        <v>220</v>
      </c>
      <c r="B20" s="136" t="s">
        <v>222</v>
      </c>
      <c r="C20" s="174" t="str">
        <f t="shared" si="0"/>
        <v>Il gioco di scommesse termina alla fine dell'ultimo giorno lavorativo dell'anno, al più tardi il 23.12 dell'anno solare corrispondente alle 12:00.</v>
      </c>
    </row>
    <row r="21" spans="1:3" x14ac:dyDescent="0.25">
      <c r="A21" s="137" t="s">
        <v>224</v>
      </c>
      <c r="B21" s="136" t="s">
        <v>216</v>
      </c>
      <c r="C21" s="174" t="str">
        <f t="shared" si="0"/>
        <v>Il vincitore è il partecipante che ha raggiunto il maggior numero totale di punti entro la scadenza menzionata.</v>
      </c>
    </row>
    <row r="22" spans="1:3" x14ac:dyDescent="0.25">
      <c r="A22" s="137" t="s">
        <v>227</v>
      </c>
      <c r="B22" s="136" t="s">
        <v>217</v>
      </c>
      <c r="C22" s="174" t="str">
        <f t="shared" si="0"/>
        <v>Seik GmbH non ha alcun legame legale, economico o organizzativo con questo gioco di scommesse.</v>
      </c>
    </row>
    <row r="23" spans="1:3" x14ac:dyDescent="0.25">
      <c r="A23" s="137" t="s">
        <v>242</v>
      </c>
      <c r="B23" s="136" t="s">
        <v>218</v>
      </c>
      <c r="C23" s="174" t="str">
        <f t="shared" si="0"/>
        <v>È escluso il ricorso legale.</v>
      </c>
    </row>
    <row r="24" spans="1:3" x14ac:dyDescent="0.25">
      <c r="A24" s="137" t="s">
        <v>255</v>
      </c>
      <c r="B24" s="167" t="s">
        <v>219</v>
      </c>
      <c r="C24" s="174" t="str">
        <f t="shared" si="0"/>
        <v>Partecipando al gioco di scommesse, il partecipante riconosce questi termini e condizioni di partecipazione come vincolanti e ne accetta espressamente la validità.</v>
      </c>
    </row>
    <row r="25" spans="1:3" x14ac:dyDescent="0.25">
      <c r="A25" s="137" t="s">
        <v>257</v>
      </c>
      <c r="C25" s="174"/>
    </row>
    <row r="26" spans="1:3" x14ac:dyDescent="0.25">
      <c r="A26" s="137" t="s">
        <v>262</v>
      </c>
      <c r="B26" s="136" t="s">
        <v>243</v>
      </c>
      <c r="C26" s="174" t="str">
        <f t="shared" si="0"/>
        <v>Nel caso improbabile che esista la "trota salmone", si sottolinea che questo piatto viene generalmente scambiato come trota a causa della sua base biologica.</v>
      </c>
    </row>
    <row r="27" spans="1:3" x14ac:dyDescent="0.25">
      <c r="A27" s="137" t="s">
        <v>263</v>
      </c>
      <c r="B27" s="136" t="s">
        <v>256</v>
      </c>
      <c r="C27" s="174" t="str">
        <f t="shared" si="0"/>
        <v>Qualsiasi modifica alle regole deve essere approvata da una maggioranza di 2/3 dei partecipanti.</v>
      </c>
    </row>
    <row r="28" spans="1:3" x14ac:dyDescent="0.25">
      <c r="A28" s="137" t="s">
        <v>264</v>
      </c>
      <c r="B28" s="136" t="s">
        <v>261</v>
      </c>
      <c r="C28" s="174" t="str">
        <f t="shared" si="0"/>
        <v>Non sono permesse detrazioni o aggiunte di punti arbitrarie.</v>
      </c>
    </row>
    <row r="29" spans="1:3" x14ac:dyDescent="0.25">
      <c r="A29" s="137" t="s">
        <v>265</v>
      </c>
      <c r="B29" s="136" t="s">
        <v>259</v>
      </c>
      <c r="C29" s="174" t="str">
        <f t="shared" si="0"/>
        <v>La correttezza della voce è responsabilità di ciascun giocatore.</v>
      </c>
    </row>
  </sheetData>
  <mergeCells count="1">
    <mergeCell ref="A1:C1"/>
  </mergeCells>
  <phoneticPr fontId="1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Grafische Darstellung</vt:lpstr>
      <vt:lpstr>2024</vt:lpstr>
      <vt:lpstr>2025</vt:lpstr>
      <vt:lpstr>2026</vt:lpstr>
      <vt:lpstr>Regelwerk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Noah Rabanser</dc:creator>
  <dc:description/>
  <cp:lastModifiedBy>Giovanni Gaiotto</cp:lastModifiedBy>
  <cp:revision>65</cp:revision>
  <dcterms:created xsi:type="dcterms:W3CDTF">2024-10-29T09:01:34Z</dcterms:created>
  <dcterms:modified xsi:type="dcterms:W3CDTF">2026-10-09T09:04:48Z</dcterms:modified>
  <dc:language>de-DE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